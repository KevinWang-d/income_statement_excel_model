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hidePivotFieldList="1" defaultThemeVersion="124226"/>
  <xr:revisionPtr revIDLastSave="0" documentId="13_ncr:1_{4FBA2522-9210-4D04-BD14-29817C1E070C}" xr6:coauthVersionLast="47" xr6:coauthVersionMax="47" xr10:uidLastSave="{00000000-0000-0000-0000-000000000000}"/>
  <bookViews>
    <workbookView xWindow="0" yWindow="84" windowWidth="23040" windowHeight="12876" tabRatio="748" xr2:uid="{00000000-000D-0000-FFFF-FFFF00000000}"/>
  </bookViews>
  <sheets>
    <sheet name="YEAR" sheetId="9" r:id="rId1"/>
    <sheet name="TY IS" sheetId="6" r:id="rId2"/>
    <sheet name="NY IS" sheetId="3" r:id="rId3"/>
    <sheet name="DataSource" sheetId="1" r:id="rId4"/>
    <sheet name="REFERENCE" sheetId="4" r:id="rId5"/>
    <sheet name="SPECIAL ACCOUNTS" sheetId="5" r:id="rId6"/>
    <sheet name="SUBGOUP BAL WITH ACCT" sheetId="7" r:id="rId7"/>
    <sheet name="Sheet1" sheetId="8" r:id="rId8"/>
  </sheets>
  <definedNames>
    <definedName name="CBNYM" localSheetId="2">SUMIF(CISS[SubGroup],'NY IS'!$A1,(INDIRECT("CISS[BNY"&amp;'NY IS'!$B$4&amp;"]")))</definedName>
    <definedName name="CBNYM" localSheetId="1">SUMIF(CISS[SubGroup],'TY IS'!$A1,(INDIRECT("CISS[BTY"&amp;'TY IS'!$B$4&amp;"]")))</definedName>
    <definedName name="CBNYM1" localSheetId="0">SUMPRODUCT((CISS[SubGroup]=YEAR!$A1)*(INDIRECT("CISS[["&amp;YEAR!$M$6&amp;"]:["&amp;YEAR!$O$6&amp;"]]")))</definedName>
    <definedName name="CBNYQ" localSheetId="2">SUMPRODUCT((CISS[SubGroup]='NY IS'!$A1)*(INDIRECT("CISS[[BNY"&amp;RIGHT("0"&amp;'NY IS'!$B$3,2)&amp;"]:[BNY"&amp;RIGHT("0"&amp;'NY IS'!$B$4,2)&amp;"]]")))</definedName>
    <definedName name="CBNYQ" localSheetId="1">SUMPRODUCT((CISS[SubGroup]='TY IS'!$A1)*(INDIRECT("CISS[[BTY"&amp;RIGHT("0"&amp;'TY IS'!$B$3,2)&amp;"]:[BTY"&amp;RIGHT("0"&amp;'TY IS'!$B$4,2)&amp;"]]")))</definedName>
    <definedName name="CBNYY" localSheetId="2">SUMPRODUCT((CISS[SubGroup]='NY IS'!$A1)*(INDIRECT("CISS[[BNY01]:[BNY"&amp;RIGHT("0"&amp;'NY IS'!$B$4,2)&amp;"]]")))</definedName>
    <definedName name="CBNYY" localSheetId="1">SUMPRODUCT((CISS[SubGroup]='TY IS'!$A1)*(INDIRECT("CISS[[BTY01]:[BTY"&amp;RIGHT("0"&amp;'TY IS'!$B$4,2)&amp;"]]")))</definedName>
    <definedName name="CNYM" localSheetId="2">SUMIF(CISS[SubGroup],'NY IS'!$A1,(INDIRECT("CISS[NY"&amp;'NY IS'!$B$4&amp;"]")))</definedName>
    <definedName name="CNYM" localSheetId="1">SUMIF(CISS[SubGroup],'TY IS'!$A1,(INDIRECT("CISS[TY"&amp;'TY IS'!$B$4&amp;"]")))</definedName>
    <definedName name="CNYM1" localSheetId="0">SUMPRODUCT((CISS[SubGroup]=YEAR!$A1)*(INDIRECT("CISS[["&amp;YEAR!$M$5&amp;"]:["&amp;YEAR!$O$5&amp;"]]")))</definedName>
    <definedName name="CNYQ" localSheetId="2">SUMPRODUCT((CISS[SubGroup]='NY IS'!$A1)*(INDIRECT("CISS[[NY"&amp;RIGHT("0"&amp;'NY IS'!$B$3,2)&amp;"]:[NY"&amp;RIGHT("0"&amp;'NY IS'!$B$4,2)&amp;"]]")))</definedName>
    <definedName name="CNYQ" localSheetId="1">SUMPRODUCT((CISS[SubGroup]='TY IS'!$A1)*(INDIRECT("CISS[[TY"&amp;RIGHT("0"&amp;'TY IS'!$B$3,2)&amp;"]:[TY"&amp;RIGHT("0"&amp;'TY IS'!$B$4,2)&amp;"]]")))</definedName>
    <definedName name="CNYY" localSheetId="2">SUMPRODUCT((CISS[SubGroup]='NY IS'!$A1)*(INDIRECT("CISS[[NY01]:[NY"&amp;RIGHT("0"&amp;'NY IS'!$B$4,2)&amp;"]]")))</definedName>
    <definedName name="CNYY" localSheetId="1">SUMPRODUCT((CISS[SubGroup]='TY IS'!$A1)*(INDIRECT("CISS[[TY01]:[TY"&amp;RIGHT("0"&amp;'TY IS'!$B$4,2)&amp;"]]")))</definedName>
    <definedName name="DBM" localSheetId="2">SUMIF(CSAS[ACCT],'NY IS'!$A1,(INDIRECT("CSAS[BNY"&amp;'NY IS'!$B$4&amp;"]")))</definedName>
    <definedName name="DBM" localSheetId="1">SUMIF(CSAS[ACCT],'TY IS'!$A1,(INDIRECT("CSAS[BTY"&amp;'TY IS'!$B$4&amp;"]")))</definedName>
    <definedName name="DBQ" localSheetId="2">SUMPRODUCT((CSAS[ACCT]='NY IS'!$A1)*(INDIRECT("CSAS[[BNY"&amp;RIGHT("0"&amp;'NY IS'!$B$3,2)&amp;"]:[BNY"&amp;RIGHT("0"&amp;'NY IS'!$B$4,2)&amp;"]]")))</definedName>
    <definedName name="DBQ" localSheetId="1">SUMPRODUCT((CSAS[ACCT]='TY IS'!$A1)*(INDIRECT("CSAS[[BTY"&amp;RIGHT("0"&amp;'TY IS'!$B$3,2)&amp;"]:[BTY"&amp;RIGHT("0"&amp;'TY IS'!$B$4,2)&amp;"]]")))</definedName>
    <definedName name="DBY" localSheetId="2">SUMPRODUCT((CSAS[ACCT]='NY IS'!$A1)*(INDIRECT("CSAS[[BNY01]:[BNY"&amp;RIGHT("0"&amp;'NY IS'!$B$4,2)&amp;"]]")))</definedName>
    <definedName name="DBY" localSheetId="1">SUMPRODUCT((CSAS[ACCT]='TY IS'!$A1)*(INDIRECT("CSAS[[BTY01]:[BTY"&amp;RIGHT("0"&amp;'TY IS'!$B$4,2)&amp;"]]")))</definedName>
    <definedName name="DM" localSheetId="2">SUMIF(CSAS[ACCT],'NY IS'!$A1,(INDIRECT("CSAS[NY"&amp;'NY IS'!$B$4&amp;"]")))</definedName>
    <definedName name="DM" localSheetId="1">SUMIF(CSAS[ACCT],'TY IS'!$A1,(INDIRECT("CSAS[TY"&amp;'TY IS'!$B$4&amp;"]")))</definedName>
    <definedName name="DM" localSheetId="0">SUMPRODUCT((CSAS[ACCT]=YEAR!$A22)*(INDIRECT("CSAS[["&amp;YEAR!$M$5&amp;"]:["&amp;YEAR!$O$5&amp;"]]")))</definedName>
    <definedName name="DMD" localSheetId="0">SUMPRODUCT((CSAS[ACCT]=YEAR!$A1)*(INDIRECT("CSAS[["&amp;YEAR!$M$5&amp;"]:["&amp;YEAR!$O$5&amp;"]]")))</definedName>
    <definedName name="DMMD" localSheetId="0">SUMPRODUCT((CSAS[ACCT]=YEAR!$A1)*(INDIRECT("CSAS[["&amp;YEAR!$M$6&amp;"]:["&amp;YEAR!$O$6&amp;"]]")))</definedName>
    <definedName name="DQ" localSheetId="2">SUMPRODUCT((CSAS[ACCT]='NY IS'!$A1)*(INDIRECT("CSAS[[NY"&amp;RIGHT("0"&amp;'NY IS'!$B$3,2)&amp;"]:[NY"&amp;RIGHT("0"&amp;'NY IS'!$B$4,2)&amp;"]]")))</definedName>
    <definedName name="DQ" localSheetId="1">SUMPRODUCT((CSAS[ACCT]='TY IS'!$A1)*(INDIRECT("CSAS[[TY"&amp;RIGHT("0"&amp;'TY IS'!$B$3,2)&amp;"]:[TY"&amp;RIGHT("0"&amp;'TY IS'!$B$4,2)&amp;"]]")))</definedName>
    <definedName name="DY" localSheetId="2">SUMPRODUCT((CSAS[ACCT]='NY IS'!$A1)*(INDIRECT("CSAS[[NY01]:[NY"&amp;RIGHT("0"&amp;'NY IS'!$B$4,2)&amp;"]]")))</definedName>
    <definedName name="DY" localSheetId="1">SUMPRODUCT((CSAS[ACCT]='TY IS'!$A1)*(INDIRECT("CSAS[[TY01]:[TY"&amp;RIGHT("0"&amp;'TY IS'!$B$4,2)&amp;"]]")))</definedName>
    <definedName name="LCDE" localSheetId="0">SUMPRODUCT((CSAS[ACCT_NO]=YEAR!$A1)*(INDIRECT("CSAS[["&amp;YEAR!$M$5&amp;"]:["&amp;YEAR!$O$5&amp;"]]")))</definedName>
    <definedName name="LCDESOBM" localSheetId="1">SUMIF(CSAS[ACCT_NO],'TY IS'!$A1,(INDIRECT("CSAS[BTY"&amp;'TY IS'!$B$4&amp;"]")))</definedName>
    <definedName name="LCDESOBM">SUMIF(CSAS[ACCT_NO],'NY IS'!$A1,(INDIRECT("CSAS[BNY"&amp;'NY IS'!$B$4&amp;"]")))</definedName>
    <definedName name="LCDESOBQ" localSheetId="1">SUMPRODUCT((CSAS[ACCT_NO]='TY IS'!$A1)*(INDIRECT("CSAS[[BTY"&amp;RIGHT("0"&amp;'TY IS'!$B$3,2)&amp;"]:[BTY"&amp;RIGHT("0"&amp;'TY IS'!$B$4,2)&amp;"]]")))</definedName>
    <definedName name="LCDESOBQ">SUMPRODUCT((CSAS[ACCT_NO]='NY IS'!$A1)*(INDIRECT("CSAS[[BNY"&amp;RIGHT("0"&amp;'NY IS'!$B$3,2)&amp;"]:[BNY"&amp;RIGHT("0"&amp;'NY IS'!$B$4,2)&amp;"]]")))</definedName>
    <definedName name="LCDESOBY" localSheetId="1">SUMPRODUCT((CSAS[ACCT_NO]='TY IS'!$A1)*(INDIRECT("CSAS[[BTY01]:[BTY"&amp;RIGHT("0"&amp;'TY IS'!$B$4,2)&amp;"]]")))</definedName>
    <definedName name="LCDESOBY">SUMPRODUCT((CSAS[ACCT_NO]='NY IS'!$A1)*(INDIRECT("CSAS[[BNY01]:[BNY"&amp;RIGHT("0"&amp;'NY IS'!$B$4,2)&amp;"]]")))</definedName>
    <definedName name="LCDESOM" localSheetId="1">SUMIF(CSAS[ACCT_NO],'TY IS'!$A1,(INDIRECT("CSAS[TY"&amp;'TY IS'!$B$4&amp;"]")))</definedName>
    <definedName name="LCDESOM">SUMIF(CSAS[ACCT_NO],'NY IS'!$A1,(INDIRECT("CSAS[NY"&amp;'NY IS'!$B$4&amp;"]")))</definedName>
    <definedName name="LCDESOQ" localSheetId="1">SUMPRODUCT((CSAS[ACCT_NO]='TY IS'!$A1)*(INDIRECT("CSAS[[TY"&amp;RIGHT("0"&amp;'TY IS'!$B$3,2)&amp;"]:[TY"&amp;RIGHT("0"&amp;'TY IS'!$B$4,2)&amp;"]]")))</definedName>
    <definedName name="LCDESOQ">SUMPRODUCT((CSAS[ACCT_NO]='NY IS'!$A1)*(INDIRECT("CSAS[[NY"&amp;RIGHT("0"&amp;'NY IS'!$B$3,2)&amp;"]:[NY"&amp;RIGHT("0"&amp;'NY IS'!$B$4,2)&amp;"]]")))</definedName>
    <definedName name="LCDESOY" localSheetId="1">SUMPRODUCT((CSAS[ACCT_NO]='TY IS'!$A1)*(INDIRECT("CSAS[[TY01]:[TY"&amp;RIGHT("0"&amp;'TY IS'!$B$4,2)&amp;"]]")))</definedName>
    <definedName name="LCDESOY">SUMPRODUCT((CSAS[ACCT_NO]='NY IS'!$A1)*(INDIRECT("CSAS[[NY01]:[NY"&amp;RIGHT("0"&amp;'NY IS'!$B$4,2)&amp;"]]")))</definedName>
    <definedName name="LSDM" localSheetId="0">SUMPRODUCT((CSAS[ACCT_NO]=YEAR!$A1)*(INDIRECT("CSAS[["&amp;YEAR!$M$6&amp;"]:["&amp;YEAR!$O$6&amp;"]]")))</definedName>
    <definedName name="_xlnm.Print_Area" localSheetId="2">'NY IS'!$C$1:$L$72</definedName>
    <definedName name="_xlnm.Print_Area" localSheetId="1">'TY IS'!$C$1:$L$72</definedName>
    <definedName name="Report_Queries___Consolidation_IS.accdb" localSheetId="3" hidden="1">DataSource!$A$1:$BV$29</definedName>
    <definedName name="Report_Queries___Consolidation_IS.accdb" localSheetId="5" hidden="1">'SPECIAL ACCOUNTS'!$A$1:$CC$45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9" i="6"/>
  <c r="E12" i="9" a="1"/>
  <c r="E12" i="9" l="1"/>
  <c r="B4" i="6"/>
  <c r="B3" i="6"/>
  <c r="C6" i="6"/>
  <c r="E10" i="9"/>
  <c r="E9" i="9"/>
  <c r="E17" i="6"/>
  <c r="C3" i="9" l="1"/>
  <c r="C4" i="9"/>
  <c r="O3" i="9" l="1"/>
  <c r="O4" i="9"/>
  <c r="M4" i="9"/>
  <c r="M3" i="9"/>
  <c r="M5" i="9" s="1"/>
  <c r="M6" i="9" s="1"/>
  <c r="O5" i="9" l="1"/>
  <c r="O6" i="9" s="1"/>
  <c r="D36" i="8"/>
  <c r="E36" i="8"/>
  <c r="F36" i="8"/>
  <c r="G36" i="8"/>
  <c r="H36" i="8"/>
  <c r="I36" i="8"/>
  <c r="J36" i="8"/>
  <c r="K36" i="8"/>
  <c r="L36" i="8"/>
  <c r="M36" i="8"/>
  <c r="N36" i="8"/>
  <c r="C36" i="8"/>
  <c r="D17" i="8"/>
  <c r="E17" i="8"/>
  <c r="F17" i="8"/>
  <c r="G17" i="8"/>
  <c r="H17" i="8"/>
  <c r="I17" i="8"/>
  <c r="J17" i="8"/>
  <c r="K17" i="8"/>
  <c r="L17" i="8"/>
  <c r="M17" i="8"/>
  <c r="N17" i="8"/>
  <c r="C17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22" i="8"/>
  <c r="O36" i="8" s="1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2" i="8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E61" i="9"/>
  <c r="E41" i="9"/>
  <c r="E39" i="9"/>
  <c r="E34" i="9"/>
  <c r="E44" i="9"/>
  <c r="E48" i="9"/>
  <c r="E17" i="9"/>
  <c r="E18" i="9"/>
  <c r="E32" i="9"/>
  <c r="E15" i="9"/>
  <c r="E50" i="9"/>
  <c r="E45" i="9"/>
  <c r="E59" i="9"/>
  <c r="E42" i="9"/>
  <c r="E60" i="9"/>
  <c r="E14" i="9"/>
  <c r="E67" i="9"/>
  <c r="E47" i="9"/>
  <c r="E65" i="9"/>
  <c r="E62" i="9"/>
  <c r="E53" i="9"/>
  <c r="E38" i="9"/>
  <c r="E26" i="9"/>
  <c r="E68" i="9"/>
  <c r="E49" i="9"/>
  <c r="E40" i="9"/>
  <c r="E25" i="9"/>
  <c r="E66" i="9"/>
  <c r="E31" i="9"/>
  <c r="E51" i="9"/>
  <c r="E46" i="9"/>
  <c r="E43" i="9"/>
  <c r="E33" i="9"/>
  <c r="E16" i="9" l="1"/>
  <c r="E52" i="9"/>
  <c r="E28" i="9"/>
  <c r="E35" i="9"/>
  <c r="E11" i="9"/>
  <c r="O17" i="8"/>
  <c r="S6" i="7"/>
  <c r="F48" i="9"/>
  <c r="F34" i="9"/>
  <c r="F68" i="9"/>
  <c r="F38" i="9"/>
  <c r="F42" i="9"/>
  <c r="F31" i="9"/>
  <c r="F14" i="9"/>
  <c r="F59" i="9"/>
  <c r="F25" i="9"/>
  <c r="F66" i="9"/>
  <c r="F51" i="9"/>
  <c r="F39" i="9"/>
  <c r="F44" i="9"/>
  <c r="F17" i="9"/>
  <c r="F18" i="9"/>
  <c r="F43" i="9"/>
  <c r="F40" i="9"/>
  <c r="F9" i="9"/>
  <c r="F46" i="9"/>
  <c r="F60" i="9"/>
  <c r="F47" i="9"/>
  <c r="F53" i="9"/>
  <c r="F15" i="9"/>
  <c r="F65" i="9"/>
  <c r="F45" i="9"/>
  <c r="F61" i="9"/>
  <c r="F32" i="9"/>
  <c r="F10" i="9"/>
  <c r="F50" i="9"/>
  <c r="F26" i="9"/>
  <c r="F62" i="9"/>
  <c r="F41" i="9"/>
  <c r="F67" i="9"/>
  <c r="F33" i="9"/>
  <c r="F49" i="9"/>
  <c r="G26" i="9" l="1"/>
  <c r="G65" i="9"/>
  <c r="G46" i="9"/>
  <c r="G39" i="9"/>
  <c r="G41" i="9"/>
  <c r="G40" i="9"/>
  <c r="G44" i="9"/>
  <c r="F52" i="9"/>
  <c r="G52" i="9" s="1"/>
  <c r="G38" i="9"/>
  <c r="G60" i="9"/>
  <c r="G43" i="9"/>
  <c r="G34" i="9"/>
  <c r="G62" i="9"/>
  <c r="G47" i="9"/>
  <c r="G32" i="9"/>
  <c r="G66" i="9"/>
  <c r="G45" i="9"/>
  <c r="G10" i="9"/>
  <c r="G48" i="9"/>
  <c r="F11" i="9"/>
  <c r="G11" i="9" s="1"/>
  <c r="G9" i="9"/>
  <c r="G51" i="9"/>
  <c r="G59" i="9"/>
  <c r="G67" i="9"/>
  <c r="G53" i="9"/>
  <c r="F16" i="9"/>
  <c r="F19" i="9" s="1"/>
  <c r="G33" i="9"/>
  <c r="G50" i="9"/>
  <c r="G68" i="9"/>
  <c r="G49" i="9"/>
  <c r="F35" i="9"/>
  <c r="G35" i="9" s="1"/>
  <c r="G31" i="9"/>
  <c r="G61" i="9"/>
  <c r="G18" i="9"/>
  <c r="F28" i="9"/>
  <c r="G25" i="9"/>
  <c r="G17" i="9"/>
  <c r="G42" i="9"/>
  <c r="E19" i="9"/>
  <c r="E20" i="9" s="1"/>
  <c r="E54" i="9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7" i="6"/>
  <c r="AI26" i="6"/>
  <c r="AI25" i="6"/>
  <c r="AI24" i="6"/>
  <c r="AI23" i="6"/>
  <c r="AI22" i="6"/>
  <c r="AI21" i="6"/>
  <c r="AI19" i="6"/>
  <c r="AI18" i="6"/>
  <c r="AI17" i="6"/>
  <c r="AI16" i="6"/>
  <c r="AI15" i="6"/>
  <c r="AI14" i="6"/>
  <c r="AI12" i="6"/>
  <c r="AI11" i="6"/>
  <c r="F20" i="9" l="1"/>
  <c r="G20" i="9" s="1"/>
  <c r="F54" i="9"/>
  <c r="G54" i="9" s="1"/>
  <c r="G28" i="9"/>
  <c r="G16" i="9"/>
  <c r="G19" i="9" s="1"/>
  <c r="E56" i="9"/>
  <c r="E69" i="9" s="1"/>
  <c r="E21" i="9"/>
  <c r="AI20" i="6"/>
  <c r="AI28" i="6" s="1"/>
  <c r="Z18" i="6"/>
  <c r="Z49" i="6"/>
  <c r="Z50" i="6"/>
  <c r="Z51" i="6"/>
  <c r="Z62" i="6"/>
  <c r="Z61" i="6"/>
  <c r="Z60" i="6"/>
  <c r="Z59" i="6"/>
  <c r="Z48" i="6"/>
  <c r="Z47" i="6"/>
  <c r="Z46" i="6"/>
  <c r="Z45" i="6"/>
  <c r="Z44" i="6"/>
  <c r="Z43" i="6"/>
  <c r="Z42" i="6"/>
  <c r="Z41" i="6"/>
  <c r="Z40" i="6"/>
  <c r="Z39" i="6"/>
  <c r="Z38" i="6"/>
  <c r="Z34" i="6"/>
  <c r="Z33" i="6"/>
  <c r="Z32" i="6"/>
  <c r="Z31" i="6"/>
  <c r="Z26" i="6"/>
  <c r="Z25" i="6"/>
  <c r="Z17" i="6"/>
  <c r="Z16" i="6"/>
  <c r="Z11" i="6"/>
  <c r="V69" i="6"/>
  <c r="W69" i="6"/>
  <c r="X69" i="6"/>
  <c r="Y69" i="6"/>
  <c r="R62" i="6"/>
  <c r="R61" i="6"/>
  <c r="R60" i="6"/>
  <c r="R59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4" i="6"/>
  <c r="R33" i="6"/>
  <c r="R32" i="6"/>
  <c r="R31" i="6"/>
  <c r="R27" i="6"/>
  <c r="R26" i="6"/>
  <c r="R25" i="6"/>
  <c r="R18" i="6"/>
  <c r="R17" i="6"/>
  <c r="R16" i="6"/>
  <c r="R11" i="6"/>
  <c r="Q69" i="6"/>
  <c r="P69" i="6"/>
  <c r="O69" i="6"/>
  <c r="N69" i="6"/>
  <c r="K77" i="6"/>
  <c r="E77" i="6"/>
  <c r="F21" i="9" l="1"/>
  <c r="F56" i="9"/>
  <c r="G56" i="9" s="1"/>
  <c r="E57" i="9"/>
  <c r="Z69" i="6"/>
  <c r="R69" i="6"/>
  <c r="J77" i="6"/>
  <c r="D77" i="6"/>
  <c r="D17" i="6"/>
  <c r="K10" i="6"/>
  <c r="J39" i="6"/>
  <c r="G9" i="6" a="1"/>
  <c r="G25" i="6"/>
  <c r="G14" i="6"/>
  <c r="J9" i="6" a="1"/>
  <c r="H67" i="6"/>
  <c r="G18" i="6"/>
  <c r="F57" i="9" l="1"/>
  <c r="G57" i="9" s="1"/>
  <c r="F69" i="9"/>
  <c r="G69" i="9" s="1"/>
  <c r="AA39" i="6"/>
  <c r="AB39" i="6" s="1"/>
  <c r="S17" i="6"/>
  <c r="T17" i="6" s="1"/>
  <c r="J9" i="6"/>
  <c r="G9" i="6"/>
  <c r="B3" i="3"/>
  <c r="B4" i="3"/>
  <c r="J18" i="6"/>
  <c r="D25" i="6"/>
  <c r="E51" i="6"/>
  <c r="K9" i="3"/>
  <c r="E17" i="3"/>
  <c r="H31" i="6"/>
  <c r="G50" i="6"/>
  <c r="J51" i="3"/>
  <c r="G45" i="6"/>
  <c r="G60" i="3"/>
  <c r="G46" i="3"/>
  <c r="E10" i="6"/>
  <c r="K31" i="6"/>
  <c r="E38" i="6"/>
  <c r="G65" i="3"/>
  <c r="K39" i="6"/>
  <c r="J10" i="6"/>
  <c r="D47" i="6"/>
  <c r="H66" i="6"/>
  <c r="E43" i="6"/>
  <c r="E59" i="3"/>
  <c r="G67" i="6"/>
  <c r="D39" i="6"/>
  <c r="K62" i="6"/>
  <c r="H9" i="6"/>
  <c r="H42" i="6"/>
  <c r="K25" i="6"/>
  <c r="K44" i="6"/>
  <c r="G46" i="6"/>
  <c r="J51" i="6"/>
  <c r="K51" i="6"/>
  <c r="J33" i="6"/>
  <c r="D40" i="3"/>
  <c r="H40" i="6"/>
  <c r="J38" i="6"/>
  <c r="E37" i="6"/>
  <c r="E50" i="6"/>
  <c r="G31" i="6"/>
  <c r="E60" i="6"/>
  <c r="J27" i="6"/>
  <c r="J43" i="6"/>
  <c r="E48" i="6"/>
  <c r="E44" i="6"/>
  <c r="D26" i="6"/>
  <c r="K39" i="3"/>
  <c r="K42" i="6"/>
  <c r="K48" i="6"/>
  <c r="E36" i="6"/>
  <c r="G43" i="6"/>
  <c r="E25" i="6"/>
  <c r="K43" i="3"/>
  <c r="J44" i="6"/>
  <c r="H14" i="6"/>
  <c r="H38" i="6"/>
  <c r="G38" i="6"/>
  <c r="E59" i="6"/>
  <c r="G39" i="3"/>
  <c r="D59" i="6"/>
  <c r="J49" i="3"/>
  <c r="G10" i="6"/>
  <c r="H33" i="6"/>
  <c r="K44" i="3"/>
  <c r="D62" i="3"/>
  <c r="E67" i="3"/>
  <c r="J39" i="3"/>
  <c r="K49" i="6"/>
  <c r="D51" i="6"/>
  <c r="J67" i="6"/>
  <c r="D65" i="6"/>
  <c r="J26" i="6"/>
  <c r="K34" i="6"/>
  <c r="K9" i="6"/>
  <c r="J14" i="6"/>
  <c r="K27" i="3"/>
  <c r="J17" i="6"/>
  <c r="J9" i="3" a="1"/>
  <c r="H27" i="6"/>
  <c r="H10" i="6"/>
  <c r="K43" i="6"/>
  <c r="E62" i="3"/>
  <c r="J42" i="6"/>
  <c r="K27" i="6"/>
  <c r="H15" i="6"/>
  <c r="H48" i="6"/>
  <c r="J49" i="6"/>
  <c r="J46" i="3"/>
  <c r="H66" i="3"/>
  <c r="H44" i="6"/>
  <c r="G15" i="6"/>
  <c r="G34" i="6"/>
  <c r="K26" i="6"/>
  <c r="G44" i="6"/>
  <c r="D31" i="6"/>
  <c r="J31" i="6"/>
  <c r="D10" i="6"/>
  <c r="K14" i="6"/>
  <c r="E46" i="6"/>
  <c r="H40" i="3"/>
  <c r="K67" i="6"/>
  <c r="H50" i="6"/>
  <c r="J44" i="3"/>
  <c r="G17" i="3"/>
  <c r="D44" i="6"/>
  <c r="E25" i="3"/>
  <c r="D40" i="6"/>
  <c r="G65" i="6"/>
  <c r="G27" i="6"/>
  <c r="E38" i="3"/>
  <c r="D49" i="6"/>
  <c r="G51" i="6"/>
  <c r="K40" i="6"/>
  <c r="D27" i="6"/>
  <c r="K60" i="6"/>
  <c r="K10" i="3"/>
  <c r="K66" i="6"/>
  <c r="J50" i="6"/>
  <c r="E33" i="6"/>
  <c r="J47" i="3"/>
  <c r="D42" i="6"/>
  <c r="E15" i="6"/>
  <c r="K50" i="6"/>
  <c r="G59" i="6"/>
  <c r="D45" i="6"/>
  <c r="J27" i="3"/>
  <c r="J46" i="6"/>
  <c r="G40" i="6"/>
  <c r="G50" i="3"/>
  <c r="J60" i="6"/>
  <c r="G61" i="6"/>
  <c r="D33" i="6"/>
  <c r="E42" i="3"/>
  <c r="K47" i="6"/>
  <c r="J10" i="3"/>
  <c r="E67" i="6"/>
  <c r="K46" i="6"/>
  <c r="K59" i="6"/>
  <c r="E51" i="3"/>
  <c r="H33" i="3"/>
  <c r="D10" i="3"/>
  <c r="E49" i="3"/>
  <c r="H39" i="3"/>
  <c r="D48" i="6"/>
  <c r="J17" i="3"/>
  <c r="D66" i="6"/>
  <c r="K15" i="6"/>
  <c r="E26" i="6"/>
  <c r="E61" i="6"/>
  <c r="H49" i="6"/>
  <c r="G49" i="6"/>
  <c r="E37" i="3"/>
  <c r="D62" i="6"/>
  <c r="G17" i="6"/>
  <c r="J45" i="6"/>
  <c r="G60" i="6"/>
  <c r="D61" i="6"/>
  <c r="E31" i="6"/>
  <c r="D18" i="3"/>
  <c r="H59" i="3"/>
  <c r="J25" i="6"/>
  <c r="G39" i="6"/>
  <c r="E27" i="6"/>
  <c r="H62" i="6"/>
  <c r="H65" i="6"/>
  <c r="K38" i="6"/>
  <c r="H25" i="6"/>
  <c r="H43" i="6"/>
  <c r="K17" i="6"/>
  <c r="H49" i="3"/>
  <c r="D47" i="3"/>
  <c r="E65" i="6"/>
  <c r="H26" i="6"/>
  <c r="H17" i="6"/>
  <c r="D43" i="3"/>
  <c r="D38" i="6"/>
  <c r="E18" i="6"/>
  <c r="H50" i="3"/>
  <c r="H47" i="6"/>
  <c r="J62" i="6"/>
  <c r="E34" i="6"/>
  <c r="H59" i="6"/>
  <c r="E42" i="6"/>
  <c r="G33" i="6"/>
  <c r="D14" i="6"/>
  <c r="K65" i="6"/>
  <c r="D50" i="6"/>
  <c r="K45" i="6"/>
  <c r="J61" i="6"/>
  <c r="D34" i="6"/>
  <c r="D43" i="6"/>
  <c r="G48" i="6"/>
  <c r="H45" i="6"/>
  <c r="D18" i="6"/>
  <c r="H61" i="6"/>
  <c r="J15" i="6"/>
  <c r="G62" i="6"/>
  <c r="H44" i="3"/>
  <c r="H39" i="6"/>
  <c r="E27" i="3"/>
  <c r="G47" i="6"/>
  <c r="E66" i="6"/>
  <c r="G25" i="3"/>
  <c r="K47" i="3"/>
  <c r="D46" i="6"/>
  <c r="D59" i="3"/>
  <c r="E62" i="6"/>
  <c r="E49" i="6"/>
  <c r="G66" i="6"/>
  <c r="J34" i="6"/>
  <c r="J66" i="6"/>
  <c r="H34" i="6"/>
  <c r="H18" i="6"/>
  <c r="E9" i="6"/>
  <c r="K18" i="6"/>
  <c r="E45" i="6"/>
  <c r="J47" i="6"/>
  <c r="E47" i="6"/>
  <c r="J14" i="3"/>
  <c r="H46" i="6"/>
  <c r="E39" i="6"/>
  <c r="G42" i="6"/>
  <c r="E34" i="3"/>
  <c r="K33" i="6"/>
  <c r="J48" i="6"/>
  <c r="J40" i="6"/>
  <c r="J59" i="6"/>
  <c r="K61" i="6"/>
  <c r="D61" i="3"/>
  <c r="E14" i="6"/>
  <c r="G26" i="6"/>
  <c r="D60" i="6"/>
  <c r="H60" i="6"/>
  <c r="E40" i="6"/>
  <c r="K48" i="3"/>
  <c r="J65" i="6"/>
  <c r="D15" i="6"/>
  <c r="H51" i="6"/>
  <c r="F9" i="6" l="1"/>
  <c r="F10" i="6"/>
  <c r="I61" i="6"/>
  <c r="L44" i="6"/>
  <c r="AA44" i="6"/>
  <c r="AB44" i="6" s="1"/>
  <c r="S45" i="6"/>
  <c r="T45" i="6" s="1"/>
  <c r="F45" i="6"/>
  <c r="I59" i="6"/>
  <c r="AA43" i="6"/>
  <c r="AB43" i="6" s="1"/>
  <c r="L43" i="6"/>
  <c r="D28" i="6"/>
  <c r="S25" i="6"/>
  <c r="T25" i="6" s="1"/>
  <c r="F25" i="6"/>
  <c r="I38" i="6"/>
  <c r="S38" i="6"/>
  <c r="T38" i="6" s="1"/>
  <c r="F38" i="6"/>
  <c r="L34" i="6"/>
  <c r="AA34" i="6"/>
  <c r="AB34" i="6" s="1"/>
  <c r="S43" i="6"/>
  <c r="T43" i="6" s="1"/>
  <c r="F43" i="6"/>
  <c r="F47" i="6"/>
  <c r="S47" i="6"/>
  <c r="T47" i="6" s="1"/>
  <c r="I31" i="6"/>
  <c r="I40" i="6"/>
  <c r="L42" i="6"/>
  <c r="AA42" i="6"/>
  <c r="AB42" i="6" s="1"/>
  <c r="L33" i="6"/>
  <c r="AA33" i="6"/>
  <c r="AB33" i="6" s="1"/>
  <c r="I46" i="6"/>
  <c r="S61" i="6"/>
  <c r="T61" i="6" s="1"/>
  <c r="F61" i="6"/>
  <c r="H11" i="6"/>
  <c r="I44" i="6"/>
  <c r="I50" i="6"/>
  <c r="S34" i="6"/>
  <c r="T34" i="6" s="1"/>
  <c r="F34" i="6"/>
  <c r="F49" i="6"/>
  <c r="S49" i="6"/>
  <c r="T49" i="6" s="1"/>
  <c r="I62" i="6"/>
  <c r="S46" i="6"/>
  <c r="T46" i="6" s="1"/>
  <c r="F46" i="6"/>
  <c r="I26" i="6"/>
  <c r="G28" i="6"/>
  <c r="F59" i="6"/>
  <c r="S59" i="6"/>
  <c r="T59" i="6" s="1"/>
  <c r="K16" i="6"/>
  <c r="K19" i="6" s="1"/>
  <c r="I49" i="6"/>
  <c r="AA49" i="6"/>
  <c r="AB49" i="6" s="1"/>
  <c r="L49" i="6"/>
  <c r="F50" i="6"/>
  <c r="S50" i="6"/>
  <c r="T50" i="6" s="1"/>
  <c r="AA59" i="6"/>
  <c r="AB59" i="6" s="1"/>
  <c r="L59" i="6"/>
  <c r="F31" i="6"/>
  <c r="S31" i="6"/>
  <c r="T31" i="6" s="1"/>
  <c r="S60" i="6"/>
  <c r="T60" i="6" s="1"/>
  <c r="F60" i="6"/>
  <c r="J11" i="6"/>
  <c r="F40" i="6"/>
  <c r="S40" i="6"/>
  <c r="T40" i="6" s="1"/>
  <c r="F48" i="6"/>
  <c r="S48" i="6"/>
  <c r="T48" i="6" s="1"/>
  <c r="S33" i="6"/>
  <c r="T33" i="6" s="1"/>
  <c r="F33" i="6"/>
  <c r="AA51" i="6"/>
  <c r="AB51" i="6" s="1"/>
  <c r="L26" i="6"/>
  <c r="AA26" i="6"/>
  <c r="AB26" i="6" s="1"/>
  <c r="S39" i="6"/>
  <c r="T39" i="6" s="1"/>
  <c r="F39" i="6"/>
  <c r="I47" i="6"/>
  <c r="AA48" i="6"/>
  <c r="AB48" i="6" s="1"/>
  <c r="L48" i="6"/>
  <c r="I43" i="6"/>
  <c r="F18" i="6"/>
  <c r="S18" i="6"/>
  <c r="T18" i="6" s="1"/>
  <c r="L45" i="6"/>
  <c r="AA45" i="6"/>
  <c r="AB45" i="6" s="1"/>
  <c r="L62" i="6"/>
  <c r="AA62" i="6"/>
  <c r="AB62" i="6" s="1"/>
  <c r="L31" i="6"/>
  <c r="AA31" i="6"/>
  <c r="AB31" i="6" s="1"/>
  <c r="AA61" i="6"/>
  <c r="AB61" i="6" s="1"/>
  <c r="L61" i="6"/>
  <c r="AA46" i="6"/>
  <c r="AB46" i="6" s="1"/>
  <c r="L46" i="6"/>
  <c r="K11" i="6"/>
  <c r="I45" i="6"/>
  <c r="AA17" i="6"/>
  <c r="AB17" i="6" s="1"/>
  <c r="L17" i="6"/>
  <c r="AA25" i="6"/>
  <c r="AB25" i="6" s="1"/>
  <c r="J28" i="6"/>
  <c r="L25" i="6"/>
  <c r="I17" i="6"/>
  <c r="AA18" i="6"/>
  <c r="AB18" i="6" s="1"/>
  <c r="L18" i="6"/>
  <c r="I39" i="6"/>
  <c r="K11" i="3"/>
  <c r="L60" i="6"/>
  <c r="AA60" i="6"/>
  <c r="AB60" i="6" s="1"/>
  <c r="S44" i="6"/>
  <c r="T44" i="6" s="1"/>
  <c r="F44" i="6"/>
  <c r="F42" i="6"/>
  <c r="S42" i="6"/>
  <c r="T42" i="6" s="1"/>
  <c r="E28" i="6"/>
  <c r="D11" i="6"/>
  <c r="J9" i="3"/>
  <c r="J11" i="3" s="1"/>
  <c r="F17" i="6"/>
  <c r="S51" i="6"/>
  <c r="T51" i="6" s="1"/>
  <c r="G11" i="6"/>
  <c r="I33" i="6"/>
  <c r="F62" i="6"/>
  <c r="S62" i="6"/>
  <c r="T62" i="6" s="1"/>
  <c r="L39" i="6"/>
  <c r="I18" i="6"/>
  <c r="K28" i="6"/>
  <c r="I25" i="6"/>
  <c r="H28" i="6"/>
  <c r="H16" i="6"/>
  <c r="H19" i="6" s="1"/>
  <c r="L50" i="6"/>
  <c r="AA50" i="6"/>
  <c r="AB50" i="6" s="1"/>
  <c r="I48" i="6"/>
  <c r="G16" i="6"/>
  <c r="E11" i="6"/>
  <c r="AA38" i="6"/>
  <c r="AB38" i="6" s="1"/>
  <c r="L38" i="6"/>
  <c r="E16" i="6"/>
  <c r="E19" i="6" s="1"/>
  <c r="I42" i="6"/>
  <c r="L47" i="6"/>
  <c r="AA47" i="6"/>
  <c r="AB47" i="6" s="1"/>
  <c r="S27" i="6"/>
  <c r="T27" i="6" s="1"/>
  <c r="L40" i="6"/>
  <c r="AA40" i="6"/>
  <c r="AB40" i="6" s="1"/>
  <c r="S26" i="6"/>
  <c r="T26" i="6" s="1"/>
  <c r="F26" i="6"/>
  <c r="D16" i="6"/>
  <c r="J16" i="6"/>
  <c r="I34" i="6"/>
  <c r="I60" i="6"/>
  <c r="D50" i="3"/>
  <c r="J38" i="3"/>
  <c r="H10" i="3"/>
  <c r="K32" i="6"/>
  <c r="J66" i="3"/>
  <c r="J50" i="3"/>
  <c r="J33" i="3"/>
  <c r="K26" i="3"/>
  <c r="E65" i="3"/>
  <c r="J32" i="6"/>
  <c r="H14" i="3"/>
  <c r="E41" i="6"/>
  <c r="J25" i="3"/>
  <c r="D17" i="3"/>
  <c r="D25" i="3"/>
  <c r="K51" i="3"/>
  <c r="G49" i="3"/>
  <c r="G38" i="3"/>
  <c r="E46" i="3"/>
  <c r="J41" i="6"/>
  <c r="G51" i="3"/>
  <c r="J61" i="3"/>
  <c r="K33" i="3"/>
  <c r="E31" i="3"/>
  <c r="K18" i="3"/>
  <c r="D51" i="3"/>
  <c r="H47" i="3"/>
  <c r="D38" i="3"/>
  <c r="H9" i="3"/>
  <c r="K46" i="3"/>
  <c r="K41" i="6"/>
  <c r="G67" i="3"/>
  <c r="G33" i="3"/>
  <c r="J34" i="3"/>
  <c r="E36" i="3"/>
  <c r="G41" i="6"/>
  <c r="G27" i="3"/>
  <c r="H67" i="3"/>
  <c r="D31" i="3"/>
  <c r="E43" i="3"/>
  <c r="K62" i="3"/>
  <c r="K40" i="3"/>
  <c r="G10" i="3"/>
  <c r="H27" i="3"/>
  <c r="K65" i="3"/>
  <c r="H41" i="6"/>
  <c r="E9" i="3"/>
  <c r="J40" i="3"/>
  <c r="G18" i="3"/>
  <c r="H51" i="3"/>
  <c r="G62" i="3"/>
  <c r="H46" i="3"/>
  <c r="D65" i="3"/>
  <c r="E33" i="3"/>
  <c r="G15" i="3"/>
  <c r="K31" i="3"/>
  <c r="G14" i="3"/>
  <c r="H62" i="3"/>
  <c r="D46" i="3"/>
  <c r="H43" i="3"/>
  <c r="J45" i="3"/>
  <c r="D66" i="3"/>
  <c r="J18" i="3"/>
  <c r="K34" i="3"/>
  <c r="G43" i="3"/>
  <c r="G48" i="3"/>
  <c r="G31" i="3"/>
  <c r="H42" i="3"/>
  <c r="K14" i="3"/>
  <c r="H31" i="3"/>
  <c r="J43" i="3"/>
  <c r="D41" i="6"/>
  <c r="E14" i="3"/>
  <c r="K25" i="3"/>
  <c r="E15" i="3"/>
  <c r="D44" i="3"/>
  <c r="H25" i="3"/>
  <c r="K60" i="3"/>
  <c r="D42" i="3"/>
  <c r="H26" i="3"/>
  <c r="J65" i="3"/>
  <c r="E61" i="3"/>
  <c r="G47" i="3"/>
  <c r="H17" i="3"/>
  <c r="D60" i="3"/>
  <c r="H34" i="3"/>
  <c r="E45" i="3"/>
  <c r="K49" i="3"/>
  <c r="D26" i="3"/>
  <c r="D14" i="3"/>
  <c r="H65" i="3"/>
  <c r="E47" i="3"/>
  <c r="D33" i="3"/>
  <c r="E32" i="6"/>
  <c r="J59" i="3"/>
  <c r="K42" i="3"/>
  <c r="K50" i="3"/>
  <c r="D15" i="3"/>
  <c r="K67" i="3"/>
  <c r="E39" i="3"/>
  <c r="D34" i="3"/>
  <c r="D27" i="3"/>
  <c r="H32" i="3"/>
  <c r="J62" i="3"/>
  <c r="G61" i="3"/>
  <c r="D32" i="6"/>
  <c r="G42" i="3"/>
  <c r="E41" i="3"/>
  <c r="J26" i="3"/>
  <c r="E50" i="3"/>
  <c r="H18" i="3"/>
  <c r="G9" i="3" a="1"/>
  <c r="H48" i="3"/>
  <c r="K61" i="3"/>
  <c r="K38" i="3"/>
  <c r="H61" i="3"/>
  <c r="E66" i="3"/>
  <c r="K17" i="3"/>
  <c r="D9" i="3"/>
  <c r="G66" i="3"/>
  <c r="E40" i="3"/>
  <c r="E26" i="3"/>
  <c r="D49" i="3"/>
  <c r="G45" i="3"/>
  <c r="H32" i="6"/>
  <c r="J67" i="3"/>
  <c r="G40" i="3"/>
  <c r="H15" i="3"/>
  <c r="J31" i="3"/>
  <c r="H38" i="3"/>
  <c r="G26" i="3"/>
  <c r="G59" i="3"/>
  <c r="K15" i="3"/>
  <c r="G34" i="3"/>
  <c r="J48" i="3"/>
  <c r="J15" i="3"/>
  <c r="E18" i="3"/>
  <c r="J60" i="3"/>
  <c r="H60" i="3"/>
  <c r="E10" i="3"/>
  <c r="K59" i="3"/>
  <c r="E44" i="3"/>
  <c r="E48" i="3"/>
  <c r="G32" i="6"/>
  <c r="J42" i="3"/>
  <c r="H45" i="3"/>
  <c r="D39" i="3"/>
  <c r="E60" i="3"/>
  <c r="D48" i="3"/>
  <c r="K66" i="3"/>
  <c r="G44" i="3"/>
  <c r="D45" i="3"/>
  <c r="K45" i="3"/>
  <c r="E20" i="6" l="1"/>
  <c r="E21" i="6" s="1"/>
  <c r="K20" i="6"/>
  <c r="K21" i="6" s="1"/>
  <c r="D11" i="3"/>
  <c r="J28" i="3"/>
  <c r="E16" i="3"/>
  <c r="E19" i="3" s="1"/>
  <c r="G28" i="3"/>
  <c r="D16" i="3"/>
  <c r="D19" i="3" s="1"/>
  <c r="E11" i="3"/>
  <c r="K28" i="3"/>
  <c r="K16" i="3"/>
  <c r="K19" i="3" s="1"/>
  <c r="K20" i="3" s="1"/>
  <c r="K21" i="3" s="1"/>
  <c r="D28" i="3"/>
  <c r="G16" i="3"/>
  <c r="G19" i="3" s="1"/>
  <c r="H11" i="3"/>
  <c r="J16" i="3"/>
  <c r="J19" i="3" s="1"/>
  <c r="J20" i="3" s="1"/>
  <c r="J21" i="3" s="1"/>
  <c r="H28" i="3"/>
  <c r="G9" i="3"/>
  <c r="G11" i="3" s="1"/>
  <c r="E28" i="3"/>
  <c r="H16" i="3"/>
  <c r="H19" i="3" s="1"/>
  <c r="H20" i="6"/>
  <c r="H21" i="6" s="1"/>
  <c r="I11" i="6"/>
  <c r="H35" i="6"/>
  <c r="S32" i="6"/>
  <c r="T32" i="6" s="1"/>
  <c r="F32" i="6"/>
  <c r="D35" i="6"/>
  <c r="E35" i="6"/>
  <c r="AA41" i="6"/>
  <c r="AB41" i="6" s="1"/>
  <c r="L41" i="6"/>
  <c r="J52" i="6"/>
  <c r="S41" i="6"/>
  <c r="T41" i="6" s="1"/>
  <c r="F41" i="6"/>
  <c r="D52" i="6"/>
  <c r="K52" i="6"/>
  <c r="I32" i="6"/>
  <c r="G35" i="6"/>
  <c r="E52" i="6"/>
  <c r="H35" i="3"/>
  <c r="I41" i="6"/>
  <c r="G52" i="6"/>
  <c r="K35" i="6"/>
  <c r="E52" i="3"/>
  <c r="H52" i="6"/>
  <c r="AA32" i="6"/>
  <c r="AB32" i="6" s="1"/>
  <c r="L32" i="6"/>
  <c r="J35" i="6"/>
  <c r="S16" i="6"/>
  <c r="T16" i="6" s="1"/>
  <c r="D19" i="6"/>
  <c r="D20" i="6" s="1"/>
  <c r="F16" i="6"/>
  <c r="F19" i="6" s="1"/>
  <c r="AA11" i="6"/>
  <c r="AB11" i="6" s="1"/>
  <c r="L11" i="6"/>
  <c r="F28" i="6"/>
  <c r="AA16" i="6"/>
  <c r="AB16" i="6" s="1"/>
  <c r="J19" i="6"/>
  <c r="J20" i="6" s="1"/>
  <c r="L16" i="6"/>
  <c r="L19" i="6" s="1"/>
  <c r="G19" i="6"/>
  <c r="G20" i="6" s="1"/>
  <c r="I16" i="6"/>
  <c r="I19" i="6" s="1"/>
  <c r="L28" i="6"/>
  <c r="I28" i="6"/>
  <c r="S11" i="6"/>
  <c r="T11" i="6" s="1"/>
  <c r="F11" i="6"/>
  <c r="D32" i="3"/>
  <c r="E32" i="3"/>
  <c r="H41" i="3"/>
  <c r="J32" i="3"/>
  <c r="K32" i="3"/>
  <c r="D41" i="3"/>
  <c r="G41" i="3"/>
  <c r="G32" i="3"/>
  <c r="K41" i="3"/>
  <c r="J41" i="3"/>
  <c r="E20" i="3" l="1"/>
  <c r="E21" i="3" s="1"/>
  <c r="G20" i="3"/>
  <c r="G21" i="3" s="1"/>
  <c r="D20" i="3"/>
  <c r="D21" i="3" s="1"/>
  <c r="D52" i="3"/>
  <c r="H52" i="3"/>
  <c r="H54" i="3" s="1"/>
  <c r="G52" i="3"/>
  <c r="G35" i="3"/>
  <c r="K52" i="3"/>
  <c r="E35" i="3"/>
  <c r="E54" i="3" s="1"/>
  <c r="K35" i="3"/>
  <c r="J52" i="3"/>
  <c r="D35" i="3"/>
  <c r="J35" i="3"/>
  <c r="H20" i="3"/>
  <c r="H21" i="3" s="1"/>
  <c r="G54" i="6"/>
  <c r="G56" i="6" s="1"/>
  <c r="K54" i="6"/>
  <c r="K56" i="6" s="1"/>
  <c r="K69" i="6" s="1"/>
  <c r="K78" i="6" s="1"/>
  <c r="L35" i="6"/>
  <c r="F35" i="6"/>
  <c r="E54" i="6"/>
  <c r="E56" i="6" s="1"/>
  <c r="H54" i="6"/>
  <c r="H56" i="6" s="1"/>
  <c r="H69" i="6" s="1"/>
  <c r="I52" i="6"/>
  <c r="I35" i="6"/>
  <c r="J21" i="6"/>
  <c r="L20" i="6"/>
  <c r="D21" i="6"/>
  <c r="F20" i="6"/>
  <c r="J54" i="6"/>
  <c r="G21" i="6"/>
  <c r="I20" i="6"/>
  <c r="F52" i="6"/>
  <c r="L52" i="6"/>
  <c r="D54" i="6"/>
  <c r="E56" i="3" l="1"/>
  <c r="E69" i="3" s="1"/>
  <c r="D54" i="3"/>
  <c r="D56" i="3" s="1"/>
  <c r="D57" i="3" s="1"/>
  <c r="J54" i="3"/>
  <c r="J56" i="3" s="1"/>
  <c r="J57" i="3" s="1"/>
  <c r="K54" i="3"/>
  <c r="K56" i="3" s="1"/>
  <c r="K57" i="3" s="1"/>
  <c r="G54" i="3"/>
  <c r="G56" i="3" s="1"/>
  <c r="G57" i="3" s="1"/>
  <c r="H57" i="6"/>
  <c r="H56" i="3"/>
  <c r="K57" i="6"/>
  <c r="L54" i="6"/>
  <c r="J56" i="6"/>
  <c r="J57" i="6" s="1"/>
  <c r="I54" i="6"/>
  <c r="D56" i="6"/>
  <c r="D69" i="6" s="1"/>
  <c r="F54" i="6"/>
  <c r="G57" i="6"/>
  <c r="G69" i="6"/>
  <c r="I69" i="6" s="1"/>
  <c r="I56" i="6"/>
  <c r="E69" i="6"/>
  <c r="E78" i="6" s="1"/>
  <c r="E57" i="6"/>
  <c r="E57" i="3" l="1"/>
  <c r="J69" i="6"/>
  <c r="AA69" i="6" s="1"/>
  <c r="AB69" i="6" s="1"/>
  <c r="K69" i="3"/>
  <c r="K72" i="3" s="1"/>
  <c r="D69" i="3"/>
  <c r="J69" i="3"/>
  <c r="L56" i="6"/>
  <c r="G69" i="3"/>
  <c r="H69" i="3"/>
  <c r="H57" i="3"/>
  <c r="F56" i="6"/>
  <c r="D57" i="6"/>
  <c r="J78" i="6" l="1"/>
  <c r="L69" i="6"/>
  <c r="S69" i="6"/>
  <c r="T69" i="6" s="1"/>
  <c r="D78" i="6"/>
  <c r="F6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D:\ProgramData\BV\Reports\Report Queries - Consolidation IS.accdb" keepAlive="1" name="Report Queries - Consolidation IS" type="5" refreshedVersion="4" background="1" saveData="1">
    <dbPr connection="Provider=Microsoft.ACE.OLEDB.12.0;User ID=Admin;Data Source=D:\ProgramData\BV\Reports\Report Queries - Consolidation I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Retail Consolidation IS" commandType="3"/>
  </connection>
  <connection id="2" xr16:uid="{00000000-0015-0000-FFFF-FFFF01000000}" sourceFile="D:\ProgramData\BV\Reports\Report Queries - Consolidation IS.accdb" keepAlive="1" name="Report Queries - Consolidation IS1" type="5" refreshedVersion="4" background="1" saveData="1">
    <dbPr connection="Provider=Microsoft.ACE.OLEDB.12.0;User ID=Admin;Data Source=D:\ProgramData\BV\Reports\Report Queries - Consolidation I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INCOME STATEMENT - SPECIAL ACCOUNTS" commandType="3"/>
  </connection>
  <connection id="3" xr16:uid="{00000000-0015-0000-FFFF-FFFF02000000}" sourceFile="D:\ProgramData\BV\Reports\Report Queries - Consolidation IS.accdb" keepAlive="1" name="Report Queries - Consolidation IS2" type="5" refreshedVersion="4">
    <dbPr connection="Provider=Microsoft.ACE.OLEDB.12.0;User ID=Admin;Data Source=D:\ProgramData\BV\Reports\Report Queries - Consolidation I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GROUP BALANCE WITH ACCT" commandType="3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<sst xmlns="http://schemas.openxmlformats.org/spreadsheetml/2006/main" count="1212" uniqueCount="464">
  <si>
    <t>SubGroup</t>
  </si>
  <si>
    <t>SubGroup_Name</t>
  </si>
  <si>
    <t>LY01</t>
  </si>
  <si>
    <t>LY02</t>
  </si>
  <si>
    <t>LY03</t>
  </si>
  <si>
    <t>LY04</t>
  </si>
  <si>
    <t>LY05</t>
  </si>
  <si>
    <t>LY06</t>
  </si>
  <si>
    <t>LY07</t>
  </si>
  <si>
    <t>LY08</t>
  </si>
  <si>
    <t>LY09</t>
  </si>
  <si>
    <t>LY10</t>
  </si>
  <si>
    <t>LY11</t>
  </si>
  <si>
    <t>LY12</t>
  </si>
  <si>
    <t>TY01</t>
  </si>
  <si>
    <t>TY02</t>
  </si>
  <si>
    <t>TY03</t>
  </si>
  <si>
    <t>TY04</t>
  </si>
  <si>
    <t>TY05</t>
  </si>
  <si>
    <t>TY06</t>
  </si>
  <si>
    <t>TY07</t>
  </si>
  <si>
    <t>TY08</t>
  </si>
  <si>
    <t>TY09</t>
  </si>
  <si>
    <t>TY10</t>
  </si>
  <si>
    <t>TY11</t>
  </si>
  <si>
    <t>TY12</t>
  </si>
  <si>
    <t>NY01</t>
  </si>
  <si>
    <t>NY02</t>
  </si>
  <si>
    <t>NY03</t>
  </si>
  <si>
    <t>NY04</t>
  </si>
  <si>
    <t>NY05</t>
  </si>
  <si>
    <t>NY06</t>
  </si>
  <si>
    <t>NY07</t>
  </si>
  <si>
    <t>NY08</t>
  </si>
  <si>
    <t>NY09</t>
  </si>
  <si>
    <t>NY10</t>
  </si>
  <si>
    <t>NY11</t>
  </si>
  <si>
    <t>NY12</t>
  </si>
  <si>
    <t>BLY01</t>
  </si>
  <si>
    <t>BLY02</t>
  </si>
  <si>
    <t>BLY03</t>
  </si>
  <si>
    <t>BLY04</t>
  </si>
  <si>
    <t>BLY05</t>
  </si>
  <si>
    <t>BLY06</t>
  </si>
  <si>
    <t>BLY07</t>
  </si>
  <si>
    <t>BLY08</t>
  </si>
  <si>
    <t>BLY09</t>
  </si>
  <si>
    <t>BLY10</t>
  </si>
  <si>
    <t>BLY11</t>
  </si>
  <si>
    <t>BLY12</t>
  </si>
  <si>
    <t>BTY01</t>
  </si>
  <si>
    <t>BTY02</t>
  </si>
  <si>
    <t>BTY03</t>
  </si>
  <si>
    <t>BTY04</t>
  </si>
  <si>
    <t>BTY05</t>
  </si>
  <si>
    <t>BTY06</t>
  </si>
  <si>
    <t>BTY07</t>
  </si>
  <si>
    <t>BTY08</t>
  </si>
  <si>
    <t>BTY09</t>
  </si>
  <si>
    <t>BTY10</t>
  </si>
  <si>
    <t>BTY11</t>
  </si>
  <si>
    <t>BTY12</t>
  </si>
  <si>
    <t>BNY01</t>
  </si>
  <si>
    <t>BNY02</t>
  </si>
  <si>
    <t>BNY03</t>
  </si>
  <si>
    <t>BNY04</t>
  </si>
  <si>
    <t>BNY05</t>
  </si>
  <si>
    <t>BNY06</t>
  </si>
  <si>
    <t>BNY07</t>
  </si>
  <si>
    <t>BNY08</t>
  </si>
  <si>
    <t>BNY09</t>
  </si>
  <si>
    <t>BNY10</t>
  </si>
  <si>
    <t>BNY11</t>
  </si>
  <si>
    <t>BNY12</t>
  </si>
  <si>
    <t xml:space="preserve">104   </t>
  </si>
  <si>
    <t xml:space="preserve">Revenue                                                     </t>
  </si>
  <si>
    <t xml:space="preserve">106   </t>
  </si>
  <si>
    <t xml:space="preserve">Revenues: De Sousa (Toronto)                                </t>
  </si>
  <si>
    <t xml:space="preserve">201   </t>
  </si>
  <si>
    <t xml:space="preserve">COGS: DEWS (HO)                                             </t>
  </si>
  <si>
    <t xml:space="preserve">204   </t>
  </si>
  <si>
    <t xml:space="preserve">COGS: Product                                               </t>
  </si>
  <si>
    <t xml:space="preserve">401   </t>
  </si>
  <si>
    <t xml:space="preserve">SG&amp;A: Advertising                                           </t>
  </si>
  <si>
    <t xml:space="preserve">404   </t>
  </si>
  <si>
    <t xml:space="preserve">SG&amp;A: Automotive                                            </t>
  </si>
  <si>
    <t xml:space="preserve">405   </t>
  </si>
  <si>
    <t xml:space="preserve">SG&amp;A: Bad Debts                                             </t>
  </si>
  <si>
    <t xml:space="preserve">407   </t>
  </si>
  <si>
    <t xml:space="preserve">SG&amp;A: Commissions                                           </t>
  </si>
  <si>
    <t xml:space="preserve">409   </t>
  </si>
  <si>
    <t xml:space="preserve">SG&amp;A: Employee Benefits                                     </t>
  </si>
  <si>
    <t xml:space="preserve">412   </t>
  </si>
  <si>
    <t xml:space="preserve">SG&amp;A: Insurance                                             </t>
  </si>
  <si>
    <t xml:space="preserve">415   </t>
  </si>
  <si>
    <t xml:space="preserve">SG&amp;A: Management Fees                                       </t>
  </si>
  <si>
    <t xml:space="preserve">416   </t>
  </si>
  <si>
    <t xml:space="preserve">SG&amp;A: Occupancy Costs                                       </t>
  </si>
  <si>
    <t xml:space="preserve">417   </t>
  </si>
  <si>
    <t xml:space="preserve">SG&amp;A: Office &amp; General                                      </t>
  </si>
  <si>
    <t xml:space="preserve">418   </t>
  </si>
  <si>
    <t xml:space="preserve">SG&amp;A: Professional Fees                                     </t>
  </si>
  <si>
    <t xml:space="preserve">421   </t>
  </si>
  <si>
    <t xml:space="preserve">SG&amp;A: Repairs/Maintenance                                   </t>
  </si>
  <si>
    <t xml:space="preserve">426   </t>
  </si>
  <si>
    <t xml:space="preserve">SG&amp;A: Telephone                                             </t>
  </si>
  <si>
    <t xml:space="preserve">428   </t>
  </si>
  <si>
    <t xml:space="preserve">SG&amp;A: Utilities                                             </t>
  </si>
  <si>
    <t xml:space="preserve">440   </t>
  </si>
  <si>
    <t xml:space="preserve">Royalties                                                   </t>
  </si>
  <si>
    <t xml:space="preserve">444   </t>
  </si>
  <si>
    <t xml:space="preserve">Freight/Warehousing                                         </t>
  </si>
  <si>
    <t xml:space="preserve">445   </t>
  </si>
  <si>
    <t xml:space="preserve">Membership/Dues/Licenses                                    </t>
  </si>
  <si>
    <t xml:space="preserve">446   </t>
  </si>
  <si>
    <t xml:space="preserve">Financing Fees                                              </t>
  </si>
  <si>
    <t xml:space="preserve">700   </t>
  </si>
  <si>
    <t xml:space="preserve">COGS - Other                                                </t>
  </si>
  <si>
    <t xml:space="preserve">701   </t>
  </si>
  <si>
    <t xml:space="preserve">Depreciation - Capital Assets                               </t>
  </si>
  <si>
    <t xml:space="preserve">702   </t>
  </si>
  <si>
    <t xml:space="preserve">Amortization - Intangibles                                  </t>
  </si>
  <si>
    <t xml:space="preserve">711   </t>
  </si>
  <si>
    <t xml:space="preserve">Interest - LTD                                              </t>
  </si>
  <si>
    <t xml:space="preserve">740   </t>
  </si>
  <si>
    <t xml:space="preserve">Gain/Loss on Sale of Assets                                 </t>
  </si>
  <si>
    <t xml:space="preserve">805   </t>
  </si>
  <si>
    <t xml:space="preserve">Reorganization costs                                        </t>
  </si>
  <si>
    <t xml:space="preserve">901   </t>
  </si>
  <si>
    <t xml:space="preserve">Other Expenses                                              </t>
  </si>
  <si>
    <t>REVENUE</t>
  </si>
  <si>
    <t>COGS</t>
  </si>
  <si>
    <t>Cost of Product</t>
  </si>
  <si>
    <t>Cost of Product - Other</t>
  </si>
  <si>
    <t>Freight and Warehousing</t>
  </si>
  <si>
    <t>Total COGS</t>
  </si>
  <si>
    <t>Gross Margin</t>
  </si>
  <si>
    <t>Gross Margin %</t>
  </si>
  <si>
    <t>Personnel costs</t>
  </si>
  <si>
    <t>Employee Comp &amp; benefits</t>
  </si>
  <si>
    <t>Automobile</t>
  </si>
  <si>
    <t>Share Based payments</t>
  </si>
  <si>
    <t>Total Personnel Costs</t>
  </si>
  <si>
    <t>Sales &amp; Marketing</t>
  </si>
  <si>
    <t>Commissions</t>
  </si>
  <si>
    <t>Advertising &amp; Promotions</t>
  </si>
  <si>
    <t>Donations</t>
  </si>
  <si>
    <t>Royalties</t>
  </si>
  <si>
    <t>Total Sales &amp; Marketing</t>
  </si>
  <si>
    <t>G&amp;A</t>
  </si>
  <si>
    <t>Bad Debts</t>
  </si>
  <si>
    <t>Insurance</t>
  </si>
  <si>
    <t>Management Fees</t>
  </si>
  <si>
    <t>Occupancy costs</t>
  </si>
  <si>
    <t>Lease Costs - Beamsville</t>
  </si>
  <si>
    <t>Office and General</t>
  </si>
  <si>
    <t>Professional Fees</t>
  </si>
  <si>
    <t>R&amp;M</t>
  </si>
  <si>
    <t>Telephone</t>
  </si>
  <si>
    <t>Utilities</t>
  </si>
  <si>
    <t>Memberships/dues/licenses</t>
  </si>
  <si>
    <t>Re-organization costs</t>
  </si>
  <si>
    <t>899</t>
  </si>
  <si>
    <t>Other expenses</t>
  </si>
  <si>
    <t>Total G&amp;A</t>
  </si>
  <si>
    <t>TOTAL EXPENSES</t>
  </si>
  <si>
    <t>EBITDA</t>
  </si>
  <si>
    <t>EBITDA %</t>
  </si>
  <si>
    <t>Interest on bank indebtedness</t>
  </si>
  <si>
    <t>Financing Costs</t>
  </si>
  <si>
    <t>Depreciation of PP&amp;E</t>
  </si>
  <si>
    <t>Amortization of Intangible Assets</t>
  </si>
  <si>
    <t>Extraordinary</t>
  </si>
  <si>
    <t>Loss from Operations</t>
  </si>
  <si>
    <t>Loss on disposal - assets held for sale</t>
  </si>
  <si>
    <t>Restructuring charges</t>
  </si>
  <si>
    <t>Net Income/Loss</t>
  </si>
  <si>
    <t>MTD</t>
  </si>
  <si>
    <t>BMTD</t>
  </si>
  <si>
    <t>VAR</t>
  </si>
  <si>
    <t>QTD</t>
  </si>
  <si>
    <t>BQTD</t>
  </si>
  <si>
    <t>YTD</t>
  </si>
  <si>
    <t>BYTD</t>
  </si>
  <si>
    <t>MONTH</t>
  </si>
  <si>
    <t>CON</t>
  </si>
  <si>
    <t>QUA</t>
  </si>
  <si>
    <t>JANUARY</t>
  </si>
  <si>
    <t>10</t>
  </si>
  <si>
    <t>FEBRUARY</t>
  </si>
  <si>
    <t>11</t>
  </si>
  <si>
    <t>MARCH</t>
  </si>
  <si>
    <t>12</t>
  </si>
  <si>
    <t>APRIL</t>
  </si>
  <si>
    <t>01</t>
  </si>
  <si>
    <t>MAY</t>
  </si>
  <si>
    <t>02</t>
  </si>
  <si>
    <t>JUNE</t>
  </si>
  <si>
    <t>03</t>
  </si>
  <si>
    <t>JULY</t>
  </si>
  <si>
    <t>04</t>
  </si>
  <si>
    <t>AUGUST</t>
  </si>
  <si>
    <t>05</t>
  </si>
  <si>
    <t>SEPTEMBER</t>
  </si>
  <si>
    <t>06</t>
  </si>
  <si>
    <t>OCTOBER</t>
  </si>
  <si>
    <t>07</t>
  </si>
  <si>
    <t>NOVEMBER</t>
  </si>
  <si>
    <t>08</t>
  </si>
  <si>
    <t>DECEMBER</t>
  </si>
  <si>
    <t>09</t>
  </si>
  <si>
    <t>CONSOLIDATED INCOME STATEMENT</t>
  </si>
  <si>
    <t xml:space="preserve">YEAR:    </t>
  </si>
  <si>
    <t xml:space="preserve">MONTH:    </t>
  </si>
  <si>
    <t>YEAR</t>
  </si>
  <si>
    <t>CODE</t>
  </si>
  <si>
    <t>LAST YEAR</t>
  </si>
  <si>
    <t>THIS YEAR</t>
  </si>
  <si>
    <t>NEXT YEAR</t>
  </si>
  <si>
    <t>LY</t>
  </si>
  <si>
    <t>TY</t>
  </si>
  <si>
    <t>NY</t>
  </si>
  <si>
    <t>CNYM</t>
  </si>
  <si>
    <t>CBNYM</t>
  </si>
  <si>
    <t>CNYQ</t>
  </si>
  <si>
    <t>CBNYQ</t>
  </si>
  <si>
    <t>DIV</t>
  </si>
  <si>
    <t>ACCT_NO</t>
  </si>
  <si>
    <t>DEP</t>
  </si>
  <si>
    <t>ACCT</t>
  </si>
  <si>
    <t>CHANNEL</t>
  </si>
  <si>
    <t>BRAND</t>
  </si>
  <si>
    <t>NAME</t>
  </si>
  <si>
    <t xml:space="preserve">EXE71470                </t>
  </si>
  <si>
    <t xml:space="preserve">71470                   </t>
  </si>
  <si>
    <t>DEST</t>
  </si>
  <si>
    <t xml:space="preserve">71550                   </t>
  </si>
  <si>
    <t xml:space="preserve">NC </t>
  </si>
  <si>
    <t>EXPENSE</t>
  </si>
  <si>
    <t>Check:</t>
  </si>
  <si>
    <t>NC</t>
  </si>
  <si>
    <t>DS</t>
  </si>
  <si>
    <t>HO</t>
  </si>
  <si>
    <t>DESTO</t>
  </si>
  <si>
    <t>Total</t>
  </si>
  <si>
    <t>000</t>
  </si>
  <si>
    <t xml:space="preserve">MKT71550                </t>
  </si>
  <si>
    <t xml:space="preserve">MKT71550ABHONO          </t>
  </si>
  <si>
    <t xml:space="preserve">MKT71550AGHONO          </t>
  </si>
  <si>
    <t xml:space="preserve">MKT71550DUHONO          </t>
  </si>
  <si>
    <t xml:space="preserve">MKT71550EXHONO          </t>
  </si>
  <si>
    <t xml:space="preserve">MKT71550FMHONO          </t>
  </si>
  <si>
    <t xml:space="preserve">MKT71550INHONO          </t>
  </si>
  <si>
    <t xml:space="preserve">MKT71550LIHONO          </t>
  </si>
  <si>
    <t xml:space="preserve">MKT71550MAHONO          </t>
  </si>
  <si>
    <t xml:space="preserve">MKT71550NBHONO          </t>
  </si>
  <si>
    <t xml:space="preserve">MKT71550NLHONO          </t>
  </si>
  <si>
    <t xml:space="preserve">MKT71550NSHONO          </t>
  </si>
  <si>
    <t xml:space="preserve">MKT71550OBHONO          </t>
  </si>
  <si>
    <t xml:space="preserve">MKT71550ONHONO          </t>
  </si>
  <si>
    <t xml:space="preserve">MKT71550PEHONO          </t>
  </si>
  <si>
    <t xml:space="preserve">MKT71550QCHONO          </t>
  </si>
  <si>
    <t xml:space="preserve">MKT71550ROHONO          </t>
  </si>
  <si>
    <t xml:space="preserve">MKT71550SKHONO          </t>
  </si>
  <si>
    <t xml:space="preserve">MKT71550WIHONO          </t>
  </si>
  <si>
    <t xml:space="preserve">MKT71550WTHONO          </t>
  </si>
  <si>
    <t xml:space="preserve">DS </t>
  </si>
  <si>
    <t>Grand Total</t>
  </si>
  <si>
    <t>SUBGROUP</t>
  </si>
  <si>
    <t>Sum of TY01</t>
  </si>
  <si>
    <t>Values</t>
  </si>
  <si>
    <t>Sum of TY02</t>
  </si>
  <si>
    <t>Sum of TY03</t>
  </si>
  <si>
    <t>Sum of TY04</t>
  </si>
  <si>
    <t>Sum of TY05</t>
  </si>
  <si>
    <t>Sum of TY06</t>
  </si>
  <si>
    <t>Sum of TY07</t>
  </si>
  <si>
    <t>Sum of TY08</t>
  </si>
  <si>
    <t>Sum of TY09</t>
  </si>
  <si>
    <t>Sum of TY10</t>
  </si>
  <si>
    <t>Sum of TY11</t>
  </si>
  <si>
    <t>Sum of TY12</t>
  </si>
  <si>
    <t>ACCT_NO_3</t>
  </si>
  <si>
    <t>GLGROUP</t>
  </si>
  <si>
    <t>DSTO</t>
  </si>
  <si>
    <t>Total BV</t>
  </si>
  <si>
    <t>RL</t>
  </si>
  <si>
    <t>CBNYY</t>
  </si>
  <si>
    <t>CNYY</t>
  </si>
  <si>
    <t>DBM</t>
  </si>
  <si>
    <t>DBQ</t>
  </si>
  <si>
    <t>DBY</t>
  </si>
  <si>
    <t>DM</t>
  </si>
  <si>
    <t>DQ</t>
  </si>
  <si>
    <t>DY</t>
  </si>
  <si>
    <t>LCDESOBM</t>
  </si>
  <si>
    <t>LCDESOBQ</t>
  </si>
  <si>
    <t>LCDESOBY</t>
  </si>
  <si>
    <t>LCDESOM</t>
  </si>
  <si>
    <t>LCDESOQ</t>
  </si>
  <si>
    <t>LCDESOY</t>
  </si>
  <si>
    <t>Print_Area</t>
  </si>
  <si>
    <t>SUMIF(CISS[SubGroup],'TY IS'!$A97,(INDIRECT("CISS[BTY"&amp;'TY IS'!$B$4&amp;"]")))</t>
  </si>
  <si>
    <t>SUMPRODUCT((CISS[SubGroup]='TY IS'!$A98)*(INDIRECT("CISS[[BTY"&amp;RIGHT("0"&amp;'TY IS'!$B$3,2)&amp;"]:[BTY"&amp;RIGHT("0"&amp;'TY IS'!$B$4,2)&amp;"]]")))</t>
  </si>
  <si>
    <t>SUMPRODUCT((CISS[SubGroup]='TY IS'!$A99)*(INDIRECT("CISS[[BTY01]:[BTY"&amp;RIGHT("0"&amp;'TY IS'!$B$4,2)&amp;"]]")))</t>
  </si>
  <si>
    <t>SUMIF(CISS[SubGroup],'TY IS'!$A100,(INDIRECT("CISS[TY"&amp;'TY IS'!$B$4&amp;"]")))</t>
  </si>
  <si>
    <t>SUMPRODUCT((CISS[SubGroup]='TY IS'!$A101)*(INDIRECT("CISS[[TY"&amp;RIGHT("0"&amp;'TY IS'!$B$3,2)&amp;"]:[TY"&amp;RIGHT("0"&amp;'TY IS'!$B$4,2)&amp;"]]")))</t>
  </si>
  <si>
    <t>SUMPRODUCT((CISS[SubGroup]='TY IS'!$A102)*(INDIRECT("CISS[[TY01]:[TY"&amp;RIGHT("0"&amp;'TY IS'!$B$4,2)&amp;"]]")))</t>
  </si>
  <si>
    <t>SUMIF(CSAS[ACCT],'TY IS'!$A103,(INDIRECT("CSAS[BTY"&amp;'TY IS'!$B$4&amp;"]")))</t>
  </si>
  <si>
    <t>SUMPRODUCT((CSAS[ACCT]='TY IS'!$A104)*(INDIRECT("CSAS[[BTY"&amp;RIGHT("0"&amp;'TY IS'!$B$3,2)&amp;"]:[BTY"&amp;RIGHT("0"&amp;'TY IS'!$B$4,2)&amp;"]]")))</t>
  </si>
  <si>
    <t>SUMPRODUCT((CSAS[ACCT]='TY IS'!$A105)*(INDIRECT("CSAS[[BTY01]:[BTY"&amp;RIGHT("0"&amp;'TY IS'!$B$4,2)&amp;"]]")))</t>
  </si>
  <si>
    <t>SUMIF(CSAS[ACCT],'TY IS'!$A106,(INDIRECT("CSAS[TY"&amp;'TY IS'!$B$4&amp;"]")))</t>
  </si>
  <si>
    <t>SUMPRODUCT((CSAS[ACCT]='TY IS'!$A107)*(INDIRECT("CSAS[[TY"&amp;RIGHT("0"&amp;'TY IS'!$B$3,2)&amp;"]:[TY"&amp;RIGHT("0"&amp;'TY IS'!$B$4,2)&amp;"]]")))</t>
  </si>
  <si>
    <t>SUMPRODUCT((CSAS[ACCT]='TY IS'!$A108)*(INDIRECT("CSAS[[TY01]:[TY"&amp;RIGHT("0"&amp;'TY IS'!$B$4,2)&amp;"]]")))</t>
  </si>
  <si>
    <t>SUMIF(CSAS[ACCT_NO],'TY IS'!$A109,(INDIRECT("CSAS[BTY"&amp;'TY IS'!$B$4&amp;"]")))</t>
  </si>
  <si>
    <t>SUMPRODUCT((CSAS[ACCT_NO]='TY IS'!$A110)*(INDIRECT("CSAS[[BTY"&amp;RIGHT("0"&amp;'TY IS'!$B$3,2)&amp;"]:[BTY"&amp;RIGHT("0"&amp;'TY IS'!$B$4,2)&amp;"]]")))</t>
  </si>
  <si>
    <t>SUMPRODUCT((CSAS[ACCT_NO]='TY IS'!$A111)*(INDIRECT("CSAS[[BTY01]:[BTY"&amp;RIGHT("0"&amp;'TY IS'!$B$4,2)&amp;"]]")))</t>
  </si>
  <si>
    <t>SUMIF(CSAS[ACCT_NO],'TY IS'!$A112,(INDIRECT("CSAS[TY"&amp;'TY IS'!$B$4&amp;"]")))</t>
  </si>
  <si>
    <t>SUMPRODUCT((CSAS[ACCT_NO]='TY IS'!$A113)*(INDIRECT("CSAS[[TY"&amp;RIGHT("0"&amp;'TY IS'!$B$3,2)&amp;"]:[TY"&amp;RIGHT("0"&amp;'TY IS'!$B$4,2)&amp;"]]")))</t>
  </si>
  <si>
    <t>SUMPRODUCT((CSAS[ACCT_NO]='TY IS'!$A114)*(INDIRECT("CSAS[[TY01]:[TY"&amp;RIGHT("0"&amp;'TY IS'!$B$4,2)&amp;"]]")))</t>
  </si>
  <si>
    <t>'TY IS'!$C$1:$L$72</t>
  </si>
  <si>
    <t>Formula</t>
  </si>
  <si>
    <t>SUMIF(CISS[SubGroup],'NY IS'!$A80,(INDIRECT("CISS[BNY"&amp;'NY IS'!$B$4&amp;"]")))</t>
  </si>
  <si>
    <t>SUMPRODUCT((CISS[SubGroup]='NY IS'!$A81)*(INDIRECT("CISS[[BNY"&amp;RIGHT("0"&amp;'NY IS'!$B$3,2)&amp;"]:[BNY"&amp;RIGHT("0"&amp;'NY IS'!$B$4,2)&amp;"]]")))</t>
  </si>
  <si>
    <t>SUMPRODUCT((CISS[SubGroup]='NY IS'!$A82)*(INDIRECT("CISS[[BNY01]:[BNY"&amp;RIGHT("0"&amp;'NY IS'!$B$4,2)&amp;"]]")))</t>
  </si>
  <si>
    <t>SUMIF(CISS[SubGroup],'NY IS'!$A83,(INDIRECT("CISS[NY"&amp;'NY IS'!$B$4&amp;"]")))</t>
  </si>
  <si>
    <t>SUMPRODUCT((CISS[SubGroup]='NY IS'!$A84)*(INDIRECT("CISS[[NY"&amp;RIGHT("0"&amp;'NY IS'!$B$3,2)&amp;"]:[NY"&amp;RIGHT("0"&amp;'NY IS'!$B$4,2)&amp;"]]")))</t>
  </si>
  <si>
    <t>SUMPRODUCT((CISS[SubGroup]='NY IS'!$A85)*(INDIRECT("CISS[[NY01]:[NY"&amp;RIGHT("0"&amp;'NY IS'!$B$4,2)&amp;"]]")))</t>
  </si>
  <si>
    <t>SUMIF(CSAS[ACCT],'NY IS'!$A86,(INDIRECT("CSAS[BNY"&amp;'NY IS'!$B$4&amp;"]")))</t>
  </si>
  <si>
    <t>SUMPRODUCT((CSAS[ACCT]='NY IS'!$A87)*(INDIRECT("CSAS[[BNY"&amp;RIGHT("0"&amp;'NY IS'!$B$3,2)&amp;"]:[BNY"&amp;RIGHT("0"&amp;'NY IS'!$B$4,2)&amp;"]]")))</t>
  </si>
  <si>
    <t>SUMPRODUCT((CSAS[ACCT]='NY IS'!$A88)*(INDIRECT("CSAS[[BNY01]:[BNY"&amp;RIGHT("0"&amp;'NY IS'!$B$4,2)&amp;"]]")))</t>
  </si>
  <si>
    <t>SUMIF(CSAS[ACCT],'NY IS'!$A89,(INDIRECT("CSAS[NY"&amp;'NY IS'!$B$4&amp;"]")))</t>
  </si>
  <si>
    <t>SUMPRODUCT((CSAS[ACCT]='NY IS'!$A90)*(INDIRECT("CSAS[[NY"&amp;RIGHT("0"&amp;'NY IS'!$B$3,2)&amp;"]:[NY"&amp;RIGHT("0"&amp;'NY IS'!$B$4,2)&amp;"]]")))</t>
  </si>
  <si>
    <t>SUMPRODUCT((CSAS[ACCT]='NY IS'!$A91)*(INDIRECT("CSAS[[NY01]:[NY"&amp;RIGHT("0"&amp;'NY IS'!$B$4,2)&amp;"]]")))</t>
  </si>
  <si>
    <t>SUMIF(CSAS[ACCT_NO],'NY IS'!$A92,(INDIRECT("CSAS[BNY"&amp;'NY IS'!$B$4&amp;"]")))</t>
  </si>
  <si>
    <t>SUMPRODUCT((CSAS[ACCT_NO]='NY IS'!$A93)*(INDIRECT("CSAS[[BNY"&amp;RIGHT("0"&amp;'NY IS'!$B$3,2)&amp;"]:[BNY"&amp;RIGHT("0"&amp;'NY IS'!$B$4,2)&amp;"]]")))</t>
  </si>
  <si>
    <t>SUMPRODUCT((CSAS[ACCT_NO]='NY IS'!$A94)*(INDIRECT("CSAS[[BNY01]:[BNY"&amp;RIGHT("0"&amp;'NY IS'!$B$4,2)&amp;"]]")))</t>
  </si>
  <si>
    <t>SUMIF(CSAS[ACCT_NO],'NY IS'!$A95,(INDIRECT("CSAS[NY"&amp;'NY IS'!$B$4&amp;"]")))</t>
  </si>
  <si>
    <t>SUMPRODUCT((CSAS[ACCT_NO]='NY IS'!$A96)*(INDIRECT("CSAS[[NY"&amp;RIGHT("0"&amp;'NY IS'!$B$3,2)&amp;"]:[NY"&amp;RIGHT("0"&amp;'NY IS'!$B$4,2)&amp;"]]")))</t>
  </si>
  <si>
    <t>SUMPRODUCT((CSAS[ACCT_NO]='NY IS'!$A97)*(INDIRECT("CSAS[[NY01]:[NY"&amp;RIGHT("0"&amp;'NY IS'!$B$4,2)&amp;"]]")))</t>
  </si>
  <si>
    <t>'NY IS'!$C$1:$L$72</t>
  </si>
  <si>
    <t>DST</t>
  </si>
  <si>
    <t>Total Gross Sales</t>
  </si>
  <si>
    <t>Cost of Goods Sold</t>
  </si>
  <si>
    <t>COGS: Product</t>
  </si>
  <si>
    <t>COGS - Other</t>
  </si>
  <si>
    <t>Total Cost of Goods Sold</t>
  </si>
  <si>
    <t>GROSS PROFIT</t>
  </si>
  <si>
    <t>Operating Expense</t>
  </si>
  <si>
    <t>SG&amp;A: Advertising</t>
  </si>
  <si>
    <t>SG&amp;A: Commissions</t>
  </si>
  <si>
    <t>SG&amp;A: Employee Benefits</t>
  </si>
  <si>
    <t>Freight/Warehousing</t>
  </si>
  <si>
    <t>Total Operating Expense</t>
  </si>
  <si>
    <t>OPERATING INCOME (LOSS)</t>
  </si>
  <si>
    <t>General &amp; Admin Expense</t>
  </si>
  <si>
    <t>SG&amp;A: Automotive</t>
  </si>
  <si>
    <t>SG&amp;A: Bad Debts</t>
  </si>
  <si>
    <t>SG&amp;A: Insurance</t>
  </si>
  <si>
    <t>SG&amp;A: Management Fees</t>
  </si>
  <si>
    <t>SG&amp;A: Occupancy Costs</t>
  </si>
  <si>
    <t>SG&amp;A: Office &amp; General</t>
  </si>
  <si>
    <t>SG&amp;A: Professional Fees</t>
  </si>
  <si>
    <t>SG&amp;A: Repairs/Maintenance</t>
  </si>
  <si>
    <t>SG&amp;A: Telephone</t>
  </si>
  <si>
    <t>SG&amp;A: Utilities</t>
  </si>
  <si>
    <t>Membership/Dues/Licenses</t>
  </si>
  <si>
    <t>Total General &amp; Admin Expense</t>
  </si>
  <si>
    <t>Interest Expense</t>
  </si>
  <si>
    <t>Financing Fees</t>
  </si>
  <si>
    <t>Depreciation - Capital Assets</t>
  </si>
  <si>
    <t>Amortization - Intangibles</t>
  </si>
  <si>
    <t>Interest - LTD</t>
  </si>
  <si>
    <t>Total Interest Expense</t>
  </si>
  <si>
    <t>Gain/Loss on Asset Disposal</t>
  </si>
  <si>
    <t>Gain/Loss on Sale of Assets</t>
  </si>
  <si>
    <t>Total Gain/Loss on Asset Disposal</t>
  </si>
  <si>
    <t>INCOME (LOSS) BEFORE TAXES</t>
  </si>
  <si>
    <t>Income Tax Expense</t>
  </si>
  <si>
    <t>Other Expenses</t>
  </si>
  <si>
    <t>Total Income Tax Expense</t>
  </si>
  <si>
    <t>NET INCOME (LOSS)</t>
  </si>
  <si>
    <t>(Multiple Items)</t>
  </si>
  <si>
    <t xml:space="preserve">C-1030                                                          </t>
  </si>
  <si>
    <t xml:space="preserve">C-1210                                                          </t>
  </si>
  <si>
    <t xml:space="preserve">C-1020                                                          </t>
  </si>
  <si>
    <t>C-1000</t>
  </si>
  <si>
    <t>Wine Clearing COGS</t>
  </si>
  <si>
    <t>C-1010</t>
  </si>
  <si>
    <t>Retail Onsite COGS</t>
  </si>
  <si>
    <t>C-1020</t>
  </si>
  <si>
    <t>Retail Invoiced COGS</t>
  </si>
  <si>
    <t>C-1030</t>
  </si>
  <si>
    <t>Licensee COGS</t>
  </si>
  <si>
    <t>C-1040</t>
  </si>
  <si>
    <t>LCBO COGS</t>
  </si>
  <si>
    <t>C-1045</t>
  </si>
  <si>
    <t>Duty Free COGS</t>
  </si>
  <si>
    <t>C-1050</t>
  </si>
  <si>
    <t>Export COGS</t>
  </si>
  <si>
    <t>C-1060</t>
  </si>
  <si>
    <t>Extra-Provincial COGS</t>
  </si>
  <si>
    <t>C-1190</t>
  </si>
  <si>
    <t>Grape Juice COGS</t>
  </si>
  <si>
    <t>C-1200</t>
  </si>
  <si>
    <t>Bulk Wine COGS</t>
  </si>
  <si>
    <t>C-1210</t>
  </si>
  <si>
    <t>Other COGS</t>
  </si>
  <si>
    <t>C-1230</t>
  </si>
  <si>
    <t>C-1240</t>
  </si>
  <si>
    <t>C-1250</t>
  </si>
  <si>
    <t>C-2000</t>
  </si>
  <si>
    <t>Grape COGS</t>
  </si>
  <si>
    <t xml:space="preserve">C-1010                                                          </t>
  </si>
  <si>
    <t xml:space="preserve">C-1040                                                          </t>
  </si>
  <si>
    <t xml:space="preserve">C-1045                                                          </t>
  </si>
  <si>
    <t xml:space="preserve">C-1050                                                          </t>
  </si>
  <si>
    <t xml:space="preserve">C-1060                                                          </t>
  </si>
  <si>
    <t xml:space="preserve">C-1200                                                          </t>
  </si>
  <si>
    <t xml:space="preserve">C-1230                                                          </t>
  </si>
  <si>
    <t xml:space="preserve">C-2000                                                          </t>
  </si>
  <si>
    <t xml:space="preserve">X-1250                                                          </t>
  </si>
  <si>
    <t xml:space="preserve">C-1240                                                          </t>
  </si>
  <si>
    <t xml:space="preserve">C-1250                                                          </t>
  </si>
  <si>
    <t>(All)</t>
  </si>
  <si>
    <t>ACCT_NO_4</t>
  </si>
  <si>
    <t xml:space="preserve">                        </t>
  </si>
  <si>
    <t xml:space="preserve">20BE                    </t>
  </si>
  <si>
    <t xml:space="preserve">BENC                    </t>
  </si>
  <si>
    <t xml:space="preserve">CAND                    </t>
  </si>
  <si>
    <t xml:space="preserve">CELI                    </t>
  </si>
  <si>
    <t xml:space="preserve">CROO                    </t>
  </si>
  <si>
    <t xml:space="preserve">DANA                    </t>
  </si>
  <si>
    <t xml:space="preserve">DESO                    </t>
  </si>
  <si>
    <t xml:space="preserve">EAST                    </t>
  </si>
  <si>
    <t xml:space="preserve">FRES                    </t>
  </si>
  <si>
    <t xml:space="preserve">HATT                    </t>
  </si>
  <si>
    <t xml:space="preserve">HONO                    </t>
  </si>
  <si>
    <t xml:space="preserve">LAKE                    </t>
  </si>
  <si>
    <t xml:space="preserve">MCMI                    </t>
  </si>
  <si>
    <t xml:space="preserve">PRIV                    </t>
  </si>
  <si>
    <t xml:space="preserve">RIDE                    </t>
  </si>
  <si>
    <t xml:space="preserve">SEAS                    </t>
  </si>
  <si>
    <t xml:space="preserve">SUND                    </t>
  </si>
  <si>
    <t xml:space="preserve">TZAF                    </t>
  </si>
  <si>
    <t xml:space="preserve">HO </t>
  </si>
  <si>
    <t xml:space="preserve">DARE                    </t>
  </si>
  <si>
    <t xml:space="preserve">MADD                    </t>
  </si>
  <si>
    <t xml:space="preserve">BEGIN YEAR:    </t>
  </si>
  <si>
    <t xml:space="preserve">BEGIN MONTH:    </t>
  </si>
  <si>
    <t>ACTUAL</t>
  </si>
  <si>
    <t>BUDGET</t>
  </si>
  <si>
    <t>BEGIN YEAR:</t>
  </si>
  <si>
    <t>BEGIN MONTH:</t>
  </si>
  <si>
    <t>END YEAR:</t>
  </si>
  <si>
    <t>END MONTH:</t>
  </si>
  <si>
    <t>Begin</t>
  </si>
  <si>
    <t>End</t>
  </si>
  <si>
    <t xml:space="preserve">ACTUAL </t>
  </si>
  <si>
    <t>VARIANCE</t>
  </si>
  <si>
    <t>INDEX</t>
  </si>
  <si>
    <t>EDPYPF CONSOLIDATED INCOME STATEMENT</t>
  </si>
  <si>
    <t>SUMIF(CISS[SubGroup],'LY IS'!$A97,(INDIRECT("CISS[BLY"&amp;'LY IS'!$B$4&amp;"]")))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</si>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</sst>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;;;"/>
    <numFmt numFmtId="166" formatCode="_(* #,##0_);_(* \(#,##0\);_(* &quot;-&quot;??_);_(@_)"/>
    <numFmt numFmtId="167" formatCode="[$$-409]* #,##0.00_);[$$-409]* \(#,##0.0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26"/>
      <color theme="3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3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3" tint="-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3" tint="-0.499984740745262"/>
      </right>
      <top style="thick">
        <color theme="3" tint="-0.499984740745262"/>
      </top>
      <bottom/>
      <diagonal/>
    </border>
    <border>
      <left/>
      <right style="double">
        <color theme="3" tint="-0.499984740745262"/>
      </right>
      <top/>
      <bottom/>
      <diagonal/>
    </border>
    <border>
      <left/>
      <right style="double">
        <color theme="3" tint="-0.499984740745262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double">
        <color theme="3" tint="-0.499984740745262"/>
      </right>
      <top/>
      <bottom style="thick">
        <color auto="1"/>
      </bottom>
      <diagonal/>
    </border>
    <border>
      <left/>
      <right/>
      <top style="thick">
        <color indexed="64"/>
      </top>
      <bottom/>
      <diagonal/>
    </border>
    <border>
      <left/>
      <right style="double">
        <color theme="3" tint="-0.499984740745262"/>
      </right>
      <top style="thick">
        <color indexed="64"/>
      </top>
      <bottom/>
      <diagonal/>
    </border>
    <border>
      <left/>
      <right style="double">
        <color theme="3" tint="-0.499984740745262"/>
      </right>
      <top/>
      <bottom style="thick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/>
      <right style="double">
        <color theme="3" tint="-0.499984740745262"/>
      </right>
      <top style="thin">
        <color theme="3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4"/>
    </xf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0" xfId="0" applyFont="1" applyAlignment="1">
      <alignment horizontal="right"/>
    </xf>
    <xf numFmtId="165" fontId="8" fillId="0" borderId="0" xfId="0" applyNumberFormat="1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166" fontId="2" fillId="0" borderId="0" xfId="1" applyNumberFormat="1" applyFont="1"/>
    <xf numFmtId="166" fontId="2" fillId="0" borderId="11" xfId="1" applyNumberFormat="1" applyFont="1" applyBorder="1"/>
    <xf numFmtId="165" fontId="2" fillId="0" borderId="0" xfId="0" applyNumberFormat="1" applyFont="1"/>
    <xf numFmtId="166" fontId="2" fillId="0" borderId="15" xfId="1" applyNumberFormat="1" applyFont="1" applyBorder="1"/>
    <xf numFmtId="10" fontId="9" fillId="0" borderId="0" xfId="2" applyNumberFormat="1" applyFont="1"/>
    <xf numFmtId="10" fontId="9" fillId="0" borderId="13" xfId="2" applyNumberFormat="1" applyFont="1" applyBorder="1"/>
    <xf numFmtId="0" fontId="2" fillId="0" borderId="0" xfId="0" applyFont="1" applyAlignment="1">
      <alignment horizontal="left" indent="6"/>
    </xf>
    <xf numFmtId="0" fontId="10" fillId="0" borderId="0" xfId="0" applyFont="1"/>
    <xf numFmtId="0" fontId="11" fillId="0" borderId="0" xfId="0" applyFont="1"/>
    <xf numFmtId="166" fontId="10" fillId="0" borderId="0" xfId="1" applyNumberFormat="1" applyFont="1"/>
    <xf numFmtId="0" fontId="10" fillId="0" borderId="13" xfId="0" applyFont="1" applyBorder="1"/>
    <xf numFmtId="10" fontId="12" fillId="0" borderId="0" xfId="2" applyNumberFormat="1" applyFont="1"/>
    <xf numFmtId="10" fontId="12" fillId="0" borderId="13" xfId="2" applyNumberFormat="1" applyFont="1" applyBorder="1"/>
    <xf numFmtId="166" fontId="11" fillId="0" borderId="0" xfId="1" applyNumberFormat="1" applyFont="1"/>
    <xf numFmtId="0" fontId="11" fillId="0" borderId="13" xfId="0" applyFont="1" applyBorder="1"/>
    <xf numFmtId="0" fontId="10" fillId="0" borderId="1" xfId="0" applyFont="1" applyBorder="1" applyAlignment="1">
      <alignment horizontal="center"/>
    </xf>
    <xf numFmtId="10" fontId="10" fillId="0" borderId="0" xfId="2" applyNumberFormat="1" applyFont="1"/>
    <xf numFmtId="10" fontId="10" fillId="0" borderId="13" xfId="2" applyNumberFormat="1" applyFont="1" applyBorder="1"/>
    <xf numFmtId="166" fontId="2" fillId="0" borderId="0" xfId="1" applyNumberFormat="1" applyFont="1" applyBorder="1"/>
    <xf numFmtId="166" fontId="2" fillId="0" borderId="17" xfId="1" applyNumberFormat="1" applyFont="1" applyBorder="1"/>
    <xf numFmtId="0" fontId="2" fillId="0" borderId="18" xfId="0" applyFont="1" applyBorder="1"/>
    <xf numFmtId="0" fontId="2" fillId="0" borderId="17" xfId="0" applyFont="1" applyBorder="1"/>
    <xf numFmtId="166" fontId="10" fillId="0" borderId="0" xfId="1" applyNumberFormat="1" applyFont="1" applyBorder="1"/>
    <xf numFmtId="166" fontId="2" fillId="0" borderId="1" xfId="1" applyNumberFormat="1" applyFont="1" applyBorder="1"/>
    <xf numFmtId="0" fontId="2" fillId="0" borderId="19" xfId="0" applyFont="1" applyBorder="1"/>
    <xf numFmtId="0" fontId="2" fillId="0" borderId="1" xfId="0" applyFont="1" applyBorder="1"/>
    <xf numFmtId="166" fontId="2" fillId="0" borderId="20" xfId="1" applyNumberFormat="1" applyFont="1" applyBorder="1"/>
    <xf numFmtId="0" fontId="2" fillId="0" borderId="21" xfId="0" applyFont="1" applyBorder="1"/>
    <xf numFmtId="0" fontId="2" fillId="0" borderId="20" xfId="0" applyFont="1" applyBorder="1"/>
    <xf numFmtId="0" fontId="13" fillId="0" borderId="0" xfId="0" applyFont="1"/>
    <xf numFmtId="166" fontId="2" fillId="0" borderId="13" xfId="0" applyNumberFormat="1" applyFont="1" applyBorder="1"/>
    <xf numFmtId="166" fontId="2" fillId="0" borderId="16" xfId="0" applyNumberFormat="1" applyFont="1" applyBorder="1"/>
    <xf numFmtId="166" fontId="10" fillId="0" borderId="13" xfId="0" applyNumberFormat="1" applyFont="1" applyBorder="1"/>
    <xf numFmtId="166" fontId="2" fillId="0" borderId="14" xfId="0" applyNumberFormat="1" applyFont="1" applyBorder="1"/>
    <xf numFmtId="166" fontId="3" fillId="0" borderId="13" xfId="0" applyNumberFormat="1" applyFont="1" applyBorder="1"/>
    <xf numFmtId="0" fontId="0" fillId="0" borderId="0" xfId="0" pivotButton="1"/>
    <xf numFmtId="164" fontId="2" fillId="0" borderId="0" xfId="1" applyFont="1"/>
    <xf numFmtId="166" fontId="2" fillId="0" borderId="0" xfId="0" applyNumberFormat="1" applyFont="1"/>
    <xf numFmtId="3" fontId="0" fillId="0" borderId="0" xfId="0" applyNumberFormat="1"/>
    <xf numFmtId="164" fontId="11" fillId="0" borderId="0" xfId="1" applyFont="1"/>
    <xf numFmtId="164" fontId="10" fillId="0" borderId="0" xfId="1" applyFont="1"/>
    <xf numFmtId="166" fontId="11" fillId="0" borderId="0" xfId="0" applyNumberFormat="1" applyFont="1"/>
    <xf numFmtId="0" fontId="14" fillId="0" borderId="0" xfId="0" applyFont="1"/>
    <xf numFmtId="0" fontId="14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4" fillId="0" borderId="5" xfId="0" applyFont="1" applyBorder="1"/>
    <xf numFmtId="0" fontId="2" fillId="0" borderId="6" xfId="0" applyFont="1" applyBorder="1"/>
    <xf numFmtId="0" fontId="14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7" xfId="0" applyFont="1" applyBorder="1"/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39" fontId="16" fillId="0" borderId="0" xfId="0" applyNumberFormat="1" applyFont="1" applyAlignment="1">
      <alignment vertical="top"/>
    </xf>
    <xf numFmtId="166" fontId="0" fillId="0" borderId="0" xfId="1" applyNumberFormat="1" applyFont="1" applyAlignment="1">
      <alignment vertical="top"/>
    </xf>
    <xf numFmtId="166" fontId="0" fillId="2" borderId="0" xfId="1" applyNumberFormat="1" applyFont="1" applyFill="1" applyAlignment="1">
      <alignment vertical="top"/>
    </xf>
    <xf numFmtId="167" fontId="16" fillId="0" borderId="0" xfId="0" applyNumberFormat="1" applyFont="1" applyAlignment="1">
      <alignment vertical="top"/>
    </xf>
    <xf numFmtId="166" fontId="0" fillId="0" borderId="0" xfId="1" applyNumberFormat="1" applyFont="1" applyFill="1" applyAlignment="1">
      <alignment vertical="top"/>
    </xf>
    <xf numFmtId="166" fontId="1" fillId="0" borderId="0" xfId="1" applyNumberFormat="1" applyFont="1" applyFill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166" fontId="1" fillId="0" borderId="0" xfId="1" applyNumberFormat="1" applyFont="1"/>
    <xf numFmtId="0" fontId="0" fillId="2" borderId="0" xfId="0" applyFill="1"/>
    <xf numFmtId="164" fontId="2" fillId="3" borderId="0" xfId="1" applyFont="1" applyFill="1"/>
    <xf numFmtId="0" fontId="6" fillId="0" borderId="0" xfId="0" applyFont="1" applyAlignment="1">
      <alignment horizontal="center"/>
    </xf>
    <xf numFmtId="166" fontId="2" fillId="2" borderId="0" xfId="1" applyNumberFormat="1" applyFont="1" applyFill="1"/>
    <xf numFmtId="166" fontId="2" fillId="4" borderId="0" xfId="1" applyNumberFormat="1" applyFont="1" applyFill="1"/>
    <xf numFmtId="49" fontId="0" fillId="0" borderId="5" xfId="0" applyNumberFormat="1" applyBorder="1"/>
    <xf numFmtId="49" fontId="0" fillId="0" borderId="7" xfId="0" applyNumberFormat="1" applyBorder="1"/>
    <xf numFmtId="2" fontId="0" fillId="0" borderId="6" xfId="0" applyNumberFormat="1" applyBorder="1"/>
    <xf numFmtId="2" fontId="0" fillId="0" borderId="9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2" xfId="0" applyFont="1" applyBorder="1"/>
    <xf numFmtId="0" fontId="4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4" fillId="0" borderId="28" xfId="0" applyFont="1" applyBorder="1"/>
    <xf numFmtId="0" fontId="0" fillId="0" borderId="29" xfId="0" applyBorder="1"/>
    <xf numFmtId="0" fontId="0" fillId="0" borderId="30" xfId="0" applyBorder="1"/>
    <xf numFmtId="0" fontId="0" fillId="5" borderId="11" xfId="0" applyFill="1" applyBorder="1"/>
    <xf numFmtId="0" fontId="0" fillId="6" borderId="0" xfId="0" applyFill="1"/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506.419877083332" createdVersion="4" refreshedVersion="4" minRefreshableVersion="3" recordCount="3211" xr:uid="{00000000-000A-0000-FFFF-FFFF00000000}">
  <cacheSource type="external" connectionId="3"/>
  <cacheFields count="82">
    <cacheField name="SUBGROUP" numFmtId="0">
      <sharedItems count="29">
        <s v="106   "/>
        <s v="104   "/>
        <s v="204   "/>
        <s v="401   "/>
        <s v="404   "/>
        <s v="405   "/>
        <s v="407   "/>
        <s v="409   "/>
        <s v="412   "/>
        <s v="415   "/>
        <s v="416   "/>
        <s v="417   "/>
        <s v="418   "/>
        <s v="421   "/>
        <s v="426   "/>
        <s v="428   "/>
        <s v="440   "/>
        <s v="444   "/>
        <s v="445   "/>
        <s v="446   "/>
        <s v="700   "/>
        <s v="701   "/>
        <s v="702   "/>
        <s v="711   "/>
        <s v="740   "/>
        <s v="805   "/>
        <s v="901   "/>
        <s v="201   "/>
        <s v="X-1160" u="1"/>
      </sharedItems>
    </cacheField>
    <cacheField name="SubGroup_Name" numFmtId="0">
      <sharedItems count="28">
        <s v="Revenues: De Sousa (Toronto)                                "/>
        <s v="Revenue                                                     "/>
        <s v="COGS: Product                                               "/>
        <s v="SG&amp;A: Advertising                                           "/>
        <s v="SG&amp;A: Automotive                                            "/>
        <s v="SG&amp;A: Bad Debts                                             "/>
        <s v="SG&amp;A: Commissions                                           "/>
        <s v="SG&amp;A: Employee Benefits                                     "/>
        <s v="SG&amp;A: Insurance                                             "/>
        <s v="SG&amp;A: Management Fees                                       "/>
        <s v="SG&amp;A: Occupancy Costs                                       "/>
        <s v="SG&amp;A: Office &amp; General                                      "/>
        <s v="SG&amp;A: Professional Fees                                     "/>
        <s v="SG&amp;A: Repairs/Maintenance                                   "/>
        <s v="SG&amp;A: Telephone                                             "/>
        <s v="SG&amp;A: Utilities                                             "/>
        <s v="Royalties                                                   "/>
        <s v="Freight/Warehousing                                         "/>
        <s v="Membership/Dues/Licenses                                    "/>
        <s v="Financing Fees                                              "/>
        <s v="COGS - Other                                                "/>
        <s v="Depreciation - Capital Assets                               "/>
        <s v="Amortization - Intangibles                                  "/>
        <s v="Interest - LTD                                              "/>
        <s v="Gain/Loss on Sale of Assets                                 "/>
        <s v="Reorganization costs                                        "/>
        <s v="Other Expenses                                              "/>
        <s v="COGS: DEWS (HO)                                             "/>
      </sharedItems>
    </cacheField>
    <cacheField name="ACCT_NO" numFmtId="0">
      <sharedItems count="2704">
        <s v="SAL41000OTCAND          "/>
        <s v="SAL41000OTDANA          "/>
        <s v="SAL40000                "/>
        <s v="SAL41000OT20BE          "/>
        <s v="SAL41000OTBENC          "/>
        <s v="SAL41000OTCELI          "/>
        <s v="SAL41000OTCROO          "/>
        <s v="SAL41000OTDESO          "/>
        <s v="SAL41000OTEAST          "/>
        <s v="SAL41000OTFRES          "/>
        <s v="SAL41000OTHATT          "/>
        <s v="SAL41000OTHONO          "/>
        <s v="SAL41000OTLAKE          "/>
        <s v="SAL41000OTMCMI          "/>
        <s v="SAL41000OTPRIV          "/>
        <s v="SAL41000OTRIDE          "/>
        <s v="SAL41000OTSEAS          "/>
        <s v="SAL41000OTSUND          "/>
        <s v="SAL41000OTTZAF          "/>
        <s v="SAL41061OTLAKE          "/>
        <s v="SAL41062OTDESO          "/>
        <s v="SAL41068OTLAKE          "/>
        <s v="SAL41071OTSEAS          "/>
        <s v="SAL41073OT              "/>
        <s v="SAL41074OT              "/>
        <s v="SAL41075OT              "/>
        <s v="SAL41100AB20BE          "/>
        <s v="SAL41100ABBENC          "/>
        <s v="SAL41100ABCAND          "/>
        <s v="SAL41100ABCELI          "/>
        <s v="SAL41100ABDANA          "/>
        <s v="SAL41100ABDESO          "/>
        <s v="SAL41100ABEAST          "/>
        <s v="SAL41100ABFRES          "/>
        <s v="SAL41100ABHATT          "/>
        <s v="SAL41100ABHONO          "/>
        <s v="SAL41100ABLAKE          "/>
        <s v="SAL41100ABMCMI          "/>
        <s v="SAL41100ABPRIV          "/>
        <s v="SAL41100ABRIDE          "/>
        <s v="SAL41100ABSEAS          "/>
        <s v="SAL41100ABSUND          "/>
        <s v="SAL41100ABTZAF          "/>
        <s v="SAL41100AG20BE          "/>
        <s v="SAL41100AGBENC          "/>
        <s v="SAL41100AGCAND          "/>
        <s v="SAL41100AGCELI          "/>
        <s v="SAL41100AGCROO          "/>
        <s v="SAL41100AGDANA          "/>
        <s v="SAL41100AGDESO          "/>
        <s v="SAL41100AGEAST          "/>
        <s v="SAL41100AGFRES          "/>
        <s v="SAL41100AGHATT          "/>
        <s v="SAL41100AGHONO          "/>
        <s v="SAL41100AGLAKE          "/>
        <s v="SAL41100AGMCMI          "/>
        <s v="SAL41100AGPRIV          "/>
        <s v="SAL41100AGRIDE          "/>
        <s v="SAL41100AGSEAS          "/>
        <s v="SAL41100AGSUND          "/>
        <s v="SAL41100AGTZAF          "/>
        <s v="SAL41100AIDANA          "/>
        <s v="SAL41100AIHONO          "/>
        <s v="SAL41100AIMCMI          "/>
        <s v="SAL41100AITZAF          "/>
        <s v="SAL41100BC20BE          "/>
        <s v="SAL41100BCBENC          "/>
        <s v="SAL41100BCCELI          "/>
        <s v="SAL41100BCDANA          "/>
        <s v="SAL41100BCEAST          "/>
        <s v="SAL41100BCLAKE          "/>
        <s v="SAL41100BCMCMI          "/>
        <s v="SAL41100BCPRIV          "/>
        <s v="SAL41100BCTZAF          "/>
        <s v="SAL41100COEAST          "/>
        <s v="SAL41100DU20BE          "/>
        <s v="SAL41100DUBENC          "/>
        <s v="SAL41100DUCELI          "/>
        <s v="SAL41100DUDANA          "/>
        <s v="SAL41100DUDESO          "/>
        <s v="SAL41100DUEAST          "/>
        <s v="SAL41100DUFRES          "/>
        <s v="SAL41100DUHATT          "/>
        <s v="SAL41100DUHONO          "/>
        <s v="SAL41100DULAKE          "/>
        <s v="SAL41100DUMCMI          "/>
        <s v="SAL41100DUPRIV          "/>
        <s v="SAL41100DURIDE          "/>
        <s v="SAL41100DUSEAS          "/>
        <s v="SAL41100DUSUND          "/>
        <s v="SAL41100DUTZAF          "/>
        <s v="SAL41100EX20BE          "/>
        <s v="SAL41100EXBENC          "/>
        <s v="SAL41100EXCAND          "/>
        <s v="SAL41100EXCELI          "/>
        <s v="SAL41100EXCROO          "/>
        <s v="SAL41100EXDANA          "/>
        <s v="SAL41100EXDARE          "/>
        <s v="SAL41100EXDESO          "/>
        <s v="SAL41100EXEAST          "/>
        <s v="SAL41100EXFRES          "/>
        <s v="SAL41100EXHATT          "/>
        <s v="SAL41100EXHONO          "/>
        <s v="SAL41100EXLAKE          "/>
        <s v="SAL41100EXMCMI          "/>
        <s v="SAL41100EXPRIV          "/>
        <s v="SAL41100EXRIDE          "/>
        <s v="SAL41100EXSEAS          "/>
        <s v="SAL41100EXSUND          "/>
        <s v="SAL41100EXTZAF          "/>
        <s v="SAL41100FM20BE          "/>
        <s v="SAL41100FMBENC          "/>
        <s v="SAL41100FMCELI          "/>
        <s v="SAL41100FMDANA          "/>
        <s v="SAL41100FMDESO          "/>
        <s v="SAL41100FMEAST          "/>
        <s v="SAL41100FMFRES          "/>
        <s v="SAL41100FMHATT          "/>
        <s v="SAL41100FMHONO          "/>
        <s v="SAL41100FMLAKE          "/>
        <s v="SAL41100FMMCMI          "/>
        <s v="SAL41100FMPRIV          "/>
        <s v="SAL41100FMRIDE          "/>
        <s v="SAL41100FMSEAS          "/>
        <s v="SAL41100FMSUND          "/>
        <s v="SAL41100FMTZAF          "/>
        <s v="SAL41100IN20BE          "/>
        <s v="SAL41100INBENC          "/>
        <s v="SAL41100INCAND          "/>
        <s v="SAL41100INCELI          "/>
        <s v="SAL41100INCROO          "/>
        <s v="SAL41100INDANA          "/>
        <s v="SAL41100INDESO          "/>
        <s v="SAL41100INEAST          "/>
        <s v="SAL41100INFRES          "/>
        <s v="SAL41100INHATT          "/>
        <s v="SAL41100INHONO          "/>
        <s v="SAL41100INLAKE          "/>
        <s v="SAL41100INMCMI          "/>
        <s v="SAL41100INPRIV          "/>
        <s v="SAL41100INRIDE          "/>
        <s v="SAL41100INSEAS          "/>
        <s v="SAL41100INSUND          "/>
        <s v="SAL41100INTZAF          "/>
        <s v="SAL41100LI20BE          "/>
        <s v="SAL41100LIBENC          "/>
        <s v="SAL41100LICAND          "/>
        <s v="SAL41100LICELI          "/>
        <s v="SAL41100LICROO          "/>
        <s v="SAL41100LIDANA          "/>
        <s v="SAL41100LIDESO          "/>
        <s v="SAL41100LIEAST          "/>
        <s v="SAL41100LIFRES          "/>
        <s v="SAL41100LIHATT          "/>
        <s v="SAL41100LIHONO          "/>
        <s v="SAL41100LILAKE          "/>
        <s v="SAL41100LIMCMI          "/>
        <s v="SAL41100LIPRIV          "/>
        <s v="SAL41100LIRIDE          "/>
        <s v="SAL41100LISEAS          "/>
        <s v="SAL41100LISUND          "/>
        <s v="SAL41100LITZAF          "/>
        <s v="SAL41100MA20BE          "/>
        <s v="SAL41100MABENC          "/>
        <s v="SAL41100MACAND          "/>
        <s v="SAL41100MACROO          "/>
        <s v="SAL41100MADANA          "/>
        <s v="SAL41100MADESO          "/>
        <s v="SAL41100MAEAST          "/>
        <s v="SAL41100MAFRES          "/>
        <s v="SAL41100MAHATT          "/>
        <s v="SAL41100MAHONO          "/>
        <s v="SAL41100MALAKE          "/>
        <s v="SAL41100MAMCMI          "/>
        <s v="SAL41100MAPRIV          "/>
        <s v="SAL41100MARIDE          "/>
        <s v="SAL41100MASEAS          "/>
        <s v="SAL41100MATZAF          "/>
        <s v="SAL41100NB20BE          "/>
        <s v="SAL41100NBHATT          "/>
        <s v="SAL41100NBHONO          "/>
        <s v="SAL41100NBLAKE          "/>
        <s v="SAL41100NBMCMI          "/>
        <s v="SAL41100NBRIDE          "/>
        <s v="SAL41100NBTZAF          "/>
        <s v="SAL41100NL20BE          "/>
        <s v="SAL41100NLBENC          "/>
        <s v="SAL41100NLCAND          "/>
        <s v="SAL41100NLDANA          "/>
        <s v="SAL41100NLDESO          "/>
        <s v="SAL41100NLEAST          "/>
        <s v="SAL41100NLFRES          "/>
        <s v="SAL41100NLHATT          "/>
        <s v="SAL41100NLHONO          "/>
        <s v="SAL41100NLLAKE          "/>
        <s v="SAL41100NLMCMI          "/>
        <s v="SAL41100NLPRIV          "/>
        <s v="SAL41100NLRIDE          "/>
        <s v="SAL41100NLSEAS          "/>
        <s v="SAL41100NLTZAF          "/>
        <s v="SAL41100NS20BE          "/>
        <s v="SAL41100NSHONO          "/>
        <s v="SAL41100NSMCMI          "/>
        <s v="SAL41100NSTZAF          "/>
        <s v="SAL41100OB20BE          "/>
        <s v="SAL41100OBBENC          "/>
        <s v="SAL41100OBCAND          "/>
        <s v="SAL41100OBCELI          "/>
        <s v="SAL41100OBCROO          "/>
        <s v="SAL41100OBDANA          "/>
        <s v="SAL41100OBDESO          "/>
        <s v="SAL41100OBEAST          "/>
        <s v="SAL41100OBFRES          "/>
        <s v="SAL41100OBHATT          "/>
        <s v="SAL41100OBHONO          "/>
        <s v="SAL41100OBLAKE          "/>
        <s v="SAL41100OBMCMI          "/>
        <s v="SAL41100OBPRIV          "/>
        <s v="SAL41100OBRIDE          "/>
        <s v="SAL41100OBSEAS          "/>
        <s v="SAL41100OBSUND          "/>
        <s v="SAL41100OBTZAF          "/>
        <s v="SAL41100ON20BE          "/>
        <s v="SAL41100ONBENC          "/>
        <s v="SAL41100ONCAND          "/>
        <s v="SAL41100ONCELI          "/>
        <s v="SAL41100ONCROO          "/>
        <s v="SAL41100ONDANA          "/>
        <s v="SAL41100ONDESO          "/>
        <s v="SAL41100ONEAST          "/>
        <s v="SAL41100ONFRES          "/>
        <s v="SAL41100ONHATT          "/>
        <s v="SAL41100ONHONO          "/>
        <s v="SAL41100ONLAKE          "/>
        <s v="SAL41100ONMCMI          "/>
        <s v="SAL41100ONPRIV          "/>
        <s v="SAL41100ONRIDE          "/>
        <s v="SAL41100ONSEAS          "/>
        <s v="SAL41100ONSUND          "/>
        <s v="SAL41100ONTZAF          "/>
        <s v="SAL41100PEHONO          "/>
        <s v="SAL41100PELAKE          "/>
        <s v="SAL41100QC20BE          "/>
        <s v="SAL41100QCDANA          "/>
        <s v="SAL41100QCEAST          "/>
        <s v="SAL41100QCFRES          "/>
        <s v="SAL41100QCHONO          "/>
        <s v="SAL41100QCLAKE          "/>
        <s v="SAL41100QCMCMI          "/>
        <s v="SAL41100QCTZAF          "/>
        <s v="SAL41100RO20BE          "/>
        <s v="SAL41100ROBENC          "/>
        <s v="SAL41100ROCAND          "/>
        <s v="SAL41100ROCELI          "/>
        <s v="SAL41100ROCROO          "/>
        <s v="SAL41100RODANA          "/>
        <s v="SAL41100RODESO          "/>
        <s v="SAL41100ROEAST          "/>
        <s v="SAL41100ROFRES          "/>
        <s v="SAL41100ROHATT          "/>
        <s v="SAL41100ROHONO          "/>
        <s v="SAL41100ROLAKE          "/>
        <s v="SAL41100ROMCMI          "/>
        <s v="SAL41100ROPRIV          "/>
        <s v="SAL41100RORIDE          "/>
        <s v="SAL41100ROSEAS          "/>
        <s v="SAL41100ROSUND          "/>
        <s v="SAL41100ROTZAF          "/>
        <s v="SAL41100SAEAST          "/>
        <s v="SAL41100SATZAF          "/>
        <s v="SAL41100SK20BE          "/>
        <s v="SAL41100SKCELI          "/>
        <s v="SAL41100SKHATT          "/>
        <s v="SAL41100SKHONO          "/>
        <s v="SAL41100SKLAKE          "/>
        <s v="SAL41100WI20BE          "/>
        <s v="SAL41100WIBENC          "/>
        <s v="SAL41100WICAND          "/>
        <s v="SAL41100WICELI          "/>
        <s v="SAL41100WICROO          "/>
        <s v="SAL41100WIDANA          "/>
        <s v="SAL41100WIDESO          "/>
        <s v="SAL41100WIEAST          "/>
        <s v="SAL41100WIFRES          "/>
        <s v="SAL41100WIHATT          "/>
        <s v="SAL41100WIHONO          "/>
        <s v="SAL41100WILAKE          "/>
        <s v="SAL41100WIMCMI          "/>
        <s v="SAL41100WIPRIV          "/>
        <s v="SAL41100WIRIDE          "/>
        <s v="SAL41100WISEAS          "/>
        <s v="SAL41100WISUND          "/>
        <s v="SAL41100WITZAF          "/>
        <s v="SAL41100WT20BE          "/>
        <s v="SAL41100WTBENC          "/>
        <s v="SAL41100WTCELI          "/>
        <s v="SAL41100WTDANA          "/>
        <s v="SAL41100WTDESO          "/>
        <s v="SAL41100WTEAST          "/>
        <s v="SAL41100WTFRES          "/>
        <s v="SAL41100WTHATT          "/>
        <s v="SAL41100WTHONO          "/>
        <s v="SAL41100WTLAKE          "/>
        <s v="SAL41100WTMCMI          "/>
        <s v="SAL41100WTPRIV          "/>
        <s v="SAL41100WTRIDE          "/>
        <s v="SAL41100WTSEAS          "/>
        <s v="SAL41100WTTZAF          "/>
        <s v="SAL41101LIBENC          "/>
        <s v="SAL41115BU              "/>
        <s v="SAL41125IN              "/>
        <s v="SAL41150GR              "/>
        <s v="SAL41150VI              "/>
        <s v="SAL41160BU              "/>
        <s v="SAL41170IN              "/>
        <s v="SAL41170OT              "/>
        <s v="SAL41170WI              "/>
        <s v="SAL41170WT              "/>
        <s v="SAL41180BU              "/>
        <s v="SAL41180RO              "/>
        <s v="SAL41200IN              "/>
        <s v="SAL41200OB              "/>
        <s v="SAL41200RO              "/>
        <s v="SAL41210RO              "/>
        <s v="SAL41220RO              "/>
        <s v="SAL41225RO              "/>
        <s v="SAL41230RO              "/>
        <s v="SAL41240                "/>
        <s v="SAL41240PR              "/>
        <s v="SAL41240RO              "/>
        <s v="SAL42100PR              "/>
        <s v="SAL42110PR              "/>
        <s v="SAL42120PR              "/>
        <s v="SAL42130PR              "/>
        <s v="SAL42140PR              "/>
        <s v="SAL42150PR              "/>
        <s v="SAL42160PR              "/>
        <s v="SAL42170PR              "/>
        <s v="SAL42180PR              "/>
        <s v="SAL42190PR              "/>
        <s v="SAL42200FI              "/>
        <s v="SAL42200PR              "/>
        <s v="SAL42200VI              "/>
        <s v="COG61100AB20BE          "/>
        <s v="COG61100ABBENC          "/>
        <s v="COG61100ABCAND          "/>
        <s v="COG61100ABCELI          "/>
        <s v="COG61100ABCROO          "/>
        <s v="COG61100ABDANA          "/>
        <s v="COG61100ABDESO          "/>
        <s v="COG61100ABEAST          "/>
        <s v="COG61100ABFRES          "/>
        <s v="COG61100ABHATT          "/>
        <s v="COG61100ABHONO          "/>
        <s v="COG61100ABLAKE          "/>
        <s v="COG61100ABMCMI          "/>
        <s v="COG61100ABPRIV          "/>
        <s v="COG61100ABRIDE          "/>
        <s v="COG61100ABSEAS          "/>
        <s v="COG61100ABSUND          "/>
        <s v="COG61100ABTZAF          "/>
        <s v="COG61100AG20BE          "/>
        <s v="COG61100AGBENC          "/>
        <s v="COG61100AGCAND          "/>
        <s v="COG61100AGCELI          "/>
        <s v="COG61100AGCROO          "/>
        <s v="COG61100AGDANA          "/>
        <s v="COG61100AGDESO          "/>
        <s v="COG61100AGEAST          "/>
        <s v="COG61100AGFRES          "/>
        <s v="COG61100AGHATT          "/>
        <s v="COG61100AGHONO          "/>
        <s v="COG61100AGLAKE          "/>
        <s v="COG61100AGMCMI          "/>
        <s v="COG61100AGPRIV          "/>
        <s v="COG61100AGRIDE          "/>
        <s v="COG61100AGSEAS          "/>
        <s v="COG61100AGSUND          "/>
        <s v="COG61100AGTZAF          "/>
        <s v="COG61100AIDANA          "/>
        <s v="COG61100AIHONO          "/>
        <s v="COG61100AIMCMI          "/>
        <s v="COG61100AITZAF          "/>
        <s v="COG61100BC20BE          "/>
        <s v="COG61100BCBENC          "/>
        <s v="COG61100BCCAND          "/>
        <s v="COG61100BCCELI          "/>
        <s v="COG61100BCCROO          "/>
        <s v="COG61100BCDANA          "/>
        <s v="COG61100BCDESO          "/>
        <s v="COG61100BCEAST          "/>
        <s v="COG61100BCFRES          "/>
        <s v="COG61100BCHATT          "/>
        <s v="COG61100BCHONO          "/>
        <s v="COG61100BCLAKE          "/>
        <s v="COG61100BCMCMI          "/>
        <s v="COG61100BCPRIV          "/>
        <s v="COG61100BCRIDE          "/>
        <s v="COG61100BCSEAS          "/>
        <s v="COG61100BCSUND          "/>
        <s v="COG61100BCTZAF          "/>
        <s v="COG61100COEAST          "/>
        <s v="COG61100DU20BE          "/>
        <s v="COG61100DUBENC          "/>
        <s v="COG61100DUCAND          "/>
        <s v="COG61100DUCELI          "/>
        <s v="COG61100DUCROO          "/>
        <s v="COG61100DUDANA          "/>
        <s v="COG61100DUDESO          "/>
        <s v="COG61100DUEAST          "/>
        <s v="COG61100DUFRES          "/>
        <s v="COG61100DUHATT          "/>
        <s v="COG61100DUHONO          "/>
        <s v="COG61100DULAKE          "/>
        <s v="COG61100DUMCMI          "/>
        <s v="COG61100DUPRIV          "/>
        <s v="COG61100DURIDE          "/>
        <s v="COG61100DUSEAS          "/>
        <s v="COG61100DUSUND          "/>
        <s v="COG61100DUTZAF          "/>
        <s v="COG61100EX20BE          "/>
        <s v="COG61100EXBENC          "/>
        <s v="COG61100EXCAND          "/>
        <s v="COG61100EXCELI          "/>
        <s v="COG61100EXCROO          "/>
        <s v="COG61100EXDANA          "/>
        <s v="COG61100EXDESO          "/>
        <s v="COG61100EXEAST          "/>
        <s v="COG61100EXFRES          "/>
        <s v="COG61100EXHATT          "/>
        <s v="COG61100EXHONO          "/>
        <s v="COG61100EXLAKE          "/>
        <s v="COG61100EXMCMI          "/>
        <s v="COG61100EXPRIV          "/>
        <s v="COG61100EXRIDE          "/>
        <s v="COG61100EXSEAS          "/>
        <s v="COG61100EXSUND          "/>
        <s v="COG61100EXTZAF          "/>
        <s v="COG61100FM20BE          "/>
        <s v="COG61100FMBENC          "/>
        <s v="COG61100FMCAND          "/>
        <s v="COG61100FMCELI          "/>
        <s v="COG61100FMCROO          "/>
        <s v="COG61100FMDANA          "/>
        <s v="COG61100FMDESO          "/>
        <s v="COG61100FMEAST          "/>
        <s v="COG61100FMFRES          "/>
        <s v="COG61100FMHATT          "/>
        <s v="COG61100FMHONO          "/>
        <s v="COG61100FMLAKE          "/>
        <s v="COG61100FMMCMI          "/>
        <s v="COG61100FMPRIV          "/>
        <s v="COG61100FMRIDE          "/>
        <s v="COG61100FMSEAS          "/>
        <s v="COG61100FMSUND          "/>
        <s v="COG61100FMTZAF          "/>
        <s v="COG61100IN20BE          "/>
        <s v="COG61100INBENC          "/>
        <s v="COG61100INCAND          "/>
        <s v="COG61100INCELI          "/>
        <s v="COG61100INCROO          "/>
        <s v="COG61100INDANA          "/>
        <s v="COG61100INDESO          "/>
        <s v="COG61100INEAST          "/>
        <s v="COG61100INFRES          "/>
        <s v="COG61100INHATT          "/>
        <s v="COG61100INHONO          "/>
        <s v="COG61100INLAKE          "/>
        <s v="COG61100INMCMI          "/>
        <s v="COG61100INPRIV          "/>
        <s v="COG61100INRIDE          "/>
        <s v="COG61100INSEAS          "/>
        <s v="COG61100INSUND          "/>
        <s v="COG61100INTZAF          "/>
        <s v="COG61100LI20BE          "/>
        <s v="COG61100LIBENC          "/>
        <s v="COG61100LICAND          "/>
        <s v="COG61100LICELI          "/>
        <s v="COG61100LICROO          "/>
        <s v="COG61100LIDANA          "/>
        <s v="COG61100LIDESO          "/>
        <s v="COG61100LIEAST          "/>
        <s v="COG61100LIFRES          "/>
        <s v="COG61100LIHATT          "/>
        <s v="COG61100LIHONO          "/>
        <s v="COG61100LILAKE          "/>
        <s v="COG61100LIMCMI          "/>
        <s v="COG61100LIPRIV          "/>
        <s v="COG61100LIRIDE          "/>
        <s v="COG61100LISEAS          "/>
        <s v="COG61100LISUND          "/>
        <s v="COG61100LITZAF          "/>
        <s v="COG61100MA20BE          "/>
        <s v="COG61100MABENC          "/>
        <s v="COG61100MACAND          "/>
        <s v="COG61100MACELI          "/>
        <s v="COG61100MACROO          "/>
        <s v="COG61100MADANA          "/>
        <s v="COG61100MADESO          "/>
        <s v="COG61100MAEAST          "/>
        <s v="COG61100MAFRES          "/>
        <s v="COG61100MAHATT          "/>
        <s v="COG61100MAHONO          "/>
        <s v="COG61100MALAKE          "/>
        <s v="COG61100MAMCMI          "/>
        <s v="COG61100MAPRIV          "/>
        <s v="COG61100MARIDE          "/>
        <s v="COG61100MASEAS          "/>
        <s v="COG61100MASUND          "/>
        <s v="COG61100MATZAF          "/>
        <s v="COG61100NB20BE          "/>
        <s v="COG61100NBBENC          "/>
        <s v="COG61100NBCAND          "/>
        <s v="COG61100NBCELI          "/>
        <s v="COG61100NBCROO          "/>
        <s v="COG61100NBDANA          "/>
        <s v="COG61100NBDESO          "/>
        <s v="COG61100NBEAST          "/>
        <s v="COG61100NBFRES          "/>
        <s v="COG61100NBHATT          "/>
        <s v="COG61100NBHONO          "/>
        <s v="COG61100NBLAKE          "/>
        <s v="COG61100NBMCMI          "/>
        <s v="COG61100NBPRIV          "/>
        <s v="COG61100NBRIDE          "/>
        <s v="COG61100NBSEAS          "/>
        <s v="COG61100NBSUND          "/>
        <s v="COG61100NBTZAF          "/>
        <s v="COG61100NL20BE          "/>
        <s v="COG61100NLBENC          "/>
        <s v="COG61100NLCAND          "/>
        <s v="COG61100NLCELI          "/>
        <s v="COG61100NLCROO          "/>
        <s v="COG61100NLDANA          "/>
        <s v="COG61100NLDESO          "/>
        <s v="COG61100NLEAST          "/>
        <s v="COG61100NLFRES          "/>
        <s v="COG61100NLHATT          "/>
        <s v="COG61100NLHONO          "/>
        <s v="COG61100NLLAKE          "/>
        <s v="COG61100NLMCMI          "/>
        <s v="COG61100NLPRIV          "/>
        <s v="COG61100NLRIDE          "/>
        <s v="COG61100NLSEAS          "/>
        <s v="COG61100NLSUND          "/>
        <s v="COG61100NLTZAF          "/>
        <s v="COG61100NS20BE          "/>
        <s v="COG61100NSBENC          "/>
        <s v="COG61100NSCAND          "/>
        <s v="COG61100NSCELI          "/>
        <s v="COG61100NSCROO          "/>
        <s v="COG61100NSDANA          "/>
        <s v="COG61100NSDESO          "/>
        <s v="COG61100NSEAST          "/>
        <s v="COG61100NSFRES          "/>
        <s v="COG61100NSHATT          "/>
        <s v="COG61100NSHONO          "/>
        <s v="COG61100NSLAKE          "/>
        <s v="COG61100NSMCMI          "/>
        <s v="COG61100NSPRIV          "/>
        <s v="COG61100NSRIDE          "/>
        <s v="COG61100NSSEAS          "/>
        <s v="COG61100NSSUND          "/>
        <s v="COG61100NSTZAF          "/>
        <s v="COG61100OB20BE          "/>
        <s v="COG61100OBBENC          "/>
        <s v="COG61100OBCAND          "/>
        <s v="COG61100OBCELI          "/>
        <s v="COG61100OBCROO          "/>
        <s v="COG61100OBDANA          "/>
        <s v="COG61100OBDESO          "/>
        <s v="COG61100OBEAST          "/>
        <s v="COG61100OBFRES          "/>
        <s v="COG61100OBHATT          "/>
        <s v="COG61100OBHONO          "/>
        <s v="COG61100OBLAKE          "/>
        <s v="COG61100OBMCMI          "/>
        <s v="COG61100OBPRIV          "/>
        <s v="COG61100OBRIDE          "/>
        <s v="COG61100OBSEAS          "/>
        <s v="COG61100OBSUND          "/>
        <s v="COG61100OBTZAF          "/>
        <s v="COG61100ON20BE          "/>
        <s v="COG61100ONBENC          "/>
        <s v="COG61100ONCAND          "/>
        <s v="COG61100ONCELI          "/>
        <s v="COG61100ONCROO          "/>
        <s v="COG61100ONDANA          "/>
        <s v="COG61100ONDESO          "/>
        <s v="COG61100ONEAST          "/>
        <s v="COG61100ONFRES          "/>
        <s v="COG61100ONHATT          "/>
        <s v="COG61100ONHONO          "/>
        <s v="COG61100ONLAKE          "/>
        <s v="COG61100ONMCMI          "/>
        <s v="COG61100ONPRIV          "/>
        <s v="COG61100ONRIDE          "/>
        <s v="COG61100ONSEAS          "/>
        <s v="COG61100ONSUND          "/>
        <s v="COG61100ONTZAF          "/>
        <s v="COG61100PE20BE          "/>
        <s v="COG61100PEBENC          "/>
        <s v="COG61100PECAND          "/>
        <s v="COG61100PECELI          "/>
        <s v="COG61100PECROO          "/>
        <s v="COG61100PEDANA          "/>
        <s v="COG61100PEDESO          "/>
        <s v="COG61100PEEAST          "/>
        <s v="COG61100PEFRES          "/>
        <s v="COG61100PEHATT          "/>
        <s v="COG61100PEHONO          "/>
        <s v="COG61100PELAKE          "/>
        <s v="COG61100PEMCMI          "/>
        <s v="COG61100PEPRIV          "/>
        <s v="COG61100PERIDE          "/>
        <s v="COG61100PESEAS          "/>
        <s v="COG61100PESUND          "/>
        <s v="COG61100PETZAF          "/>
        <s v="COG61100QC20BE          "/>
        <s v="COG61100QCBENC          "/>
        <s v="COG61100QCCAND          "/>
        <s v="COG61100QCCELI          "/>
        <s v="COG61100QCCROO          "/>
        <s v="COG61100QCDANA          "/>
        <s v="COG61100QCDESO          "/>
        <s v="COG61100QCEAST          "/>
        <s v="COG61100QCFRES          "/>
        <s v="COG61100QCHATT          "/>
        <s v="COG61100QCHONO          "/>
        <s v="COG61100QCLAKE          "/>
        <s v="COG61100QCMCMI          "/>
        <s v="COG61100QCPRIV          "/>
        <s v="COG61100QCRIDE          "/>
        <s v="COG61100QCSEAS          "/>
        <s v="COG61100QCSUND          "/>
        <s v="COG61100QCTZAF          "/>
        <s v="COG61100RO20BE          "/>
        <s v="COG61100ROBENC          "/>
        <s v="COG61100ROCAND          "/>
        <s v="COG61100ROCELI          "/>
        <s v="COG61100ROCROO          "/>
        <s v="COG61100RODANA          "/>
        <s v="COG61100RODESO          "/>
        <s v="COG61100ROEAST          "/>
        <s v="COG61100ROFRES          "/>
        <s v="COG61100ROHATT          "/>
        <s v="COG61100ROHONO          "/>
        <s v="COG61100ROLAKE          "/>
        <s v="COG61100ROMCMI          "/>
        <s v="COG61100ROPRIV          "/>
        <s v="COG61100RORIDE          "/>
        <s v="COG61100ROSEAS          "/>
        <s v="COG61100ROSUND          "/>
        <s v="COG61100ROTZAF          "/>
        <s v="COG61100SAEAST          "/>
        <s v="COG61100SATZAF          "/>
        <s v="COG61100SK20BE          "/>
        <s v="COG61100SKBENC          "/>
        <s v="COG61100SKCAND          "/>
        <s v="COG61100SKCELI          "/>
        <s v="COG61100SKCROO          "/>
        <s v="COG61100SKDANA          "/>
        <s v="COG61100SKDESO          "/>
        <s v="COG61100SKEAST          "/>
        <s v="COG61100SKFRES          "/>
        <s v="COG61100SKHATT          "/>
        <s v="COG61100SKHONO          "/>
        <s v="COG61100SKLAKE          "/>
        <s v="COG61100SKMCMI          "/>
        <s v="COG61100SKPRIV          "/>
        <s v="COG61100SKRIDE          "/>
        <s v="COG61100SKSEAS          "/>
        <s v="COG61100SKSUND          "/>
        <s v="COG61100SKTZAF          "/>
        <s v="COG61100WI20BE          "/>
        <s v="COG61100WIBENC          "/>
        <s v="COG61100WICAND          "/>
        <s v="COG61100WICELI          "/>
        <s v="COG61100WICROO          "/>
        <s v="COG61100WIDANA          "/>
        <s v="COG61100WIDESO          "/>
        <s v="COG61100WIEAST          "/>
        <s v="COG61100WIFRES          "/>
        <s v="COG61100WIHATT          "/>
        <s v="COG61100WIHONO          "/>
        <s v="COG61100WILAKE          "/>
        <s v="COG61100WIMCMI          "/>
        <s v="COG61100WIPRIV          "/>
        <s v="COG61100WIRIDE          "/>
        <s v="COG61100WISEAS          "/>
        <s v="COG61100WISUND          "/>
        <s v="COG61100WITZAF          "/>
        <s v="COG61100WT20BE          "/>
        <s v="COG61100WTBENC          "/>
        <s v="COG61100WTCAND          "/>
        <s v="COG61100WTCELI          "/>
        <s v="COG61100WTCROO          "/>
        <s v="COG61100WTDANA          "/>
        <s v="COG61100WTDESO          "/>
        <s v="COG61100WTEAST          "/>
        <s v="COG61100WTFRES          "/>
        <s v="COG61100WTHATT          "/>
        <s v="COG61100WTHONO          "/>
        <s v="COG61100WTLAKE          "/>
        <s v="COG61100WTMCMI          "/>
        <s v="COG61100WTPRIV          "/>
        <s v="COG61100WTRIDE          "/>
        <s v="COG61100WTSEAS          "/>
        <s v="COG61100WTSUND          "/>
        <s v="COG61100WTTZAF          "/>
        <s v="COG61160VI              "/>
        <s v="COG61180BU              "/>
        <s v="COG61200AG              "/>
        <s v="COG61200IN              "/>
        <s v="COG61200LI              "/>
        <s v="COG61200OB              "/>
        <s v="COG61200RO              "/>
        <s v="COG61200WI              "/>
        <s v="COG61200WT              "/>
        <s v="COG61250IN              "/>
        <s v="COG61260OT              "/>
        <s v="COG61260OT20BE          "/>
        <s v="COG61260OTBENC          "/>
        <s v="COG61260OTCAND          "/>
        <s v="COG61260OTCELI          "/>
        <s v="COG61260OTCROO          "/>
        <s v="COG61260OTDANA          "/>
        <s v="COG61260OTDESO          "/>
        <s v="COG61260OTEAST          "/>
        <s v="COG61260OTFRES          "/>
        <s v="COG61260OTHATT          "/>
        <s v="COG61260OTHONO          "/>
        <s v="COG61260OTLAKE          "/>
        <s v="COG61260OTMCMI          "/>
        <s v="COG61260OTPRIV          "/>
        <s v="COG61260OTRIDE          "/>
        <s v="COG61260OTSEAS          "/>
        <s v="COG61260OTSUND          "/>
        <s v="COG61260OTTZAF          "/>
        <s v="COG61280ON20BE          "/>
        <s v="COG61280ONBENC          "/>
        <s v="COG61280ONCAND          "/>
        <s v="COG61280ONCELI          "/>
        <s v="COG61280ONCROO          "/>
        <s v="COG61280ONDANA          "/>
        <s v="COG61280ONDESO          "/>
        <s v="COG61280ONEAST          "/>
        <s v="COG61280ONFRES          "/>
        <s v="COG61280ONHATT          "/>
        <s v="COG61280ONHONO          "/>
        <s v="COG61280ONLAKE          "/>
        <s v="COG61280ONMCMI          "/>
        <s v="COG61280ONPRIV          "/>
        <s v="COG61280ONRIDE          "/>
        <s v="COG61280ONSEAS          "/>
        <s v="COG61280ONSUND          "/>
        <s v="COG61280ONTZAF          "/>
        <s v="COG61320PR              "/>
        <s v="COG61360PR              "/>
        <s v="COG61380PR              "/>
        <s v="COG61390PR              "/>
        <s v="COG62200PR              "/>
        <s v="OPS71470BU              "/>
        <s v="COG61110AB              "/>
        <s v="COG61110BC              "/>
        <s v="COG61110MA              "/>
        <s v="COG61110NB              "/>
        <s v="COG61110NL              "/>
        <s v="COG61110NS              "/>
        <s v="COG61110PE              "/>
        <s v="EXE71570                "/>
        <s v="EXE87600                "/>
        <s v="EXE87610                "/>
        <s v="EXE87620                "/>
        <s v="EXE87630                "/>
        <s v="MKT71400                "/>
        <s v="MKT71410                "/>
        <s v="MKT71550                "/>
        <s v="MKT71550ABHONO          "/>
        <s v="MKT71550AGHONO          "/>
        <s v="MKT71550DUHONO          "/>
        <s v="MKT71550EXHONO          "/>
        <s v="MKT71550FMHONO          "/>
        <s v="MKT71550INHONO          "/>
        <s v="MKT71550LIHONO          "/>
        <s v="MKT71550MAHONO          "/>
        <s v="MKT71550NBHONO          "/>
        <s v="MKT71550NLHONO          "/>
        <s v="MKT71550NSHONO          "/>
        <s v="MKT71550OBHONO          "/>
        <s v="MKT71550ONHONO          "/>
        <s v="MKT71550PEHONO          "/>
        <s v="MKT71550QCHONO          "/>
        <s v="MKT71550ROHONO          "/>
        <s v="MKT71550SKHONO          "/>
        <s v="MKT71550WIHONO          "/>
        <s v="MKT71550WTHONO          "/>
        <s v="MKT71570                "/>
        <s v="MKT71570MADANA          "/>
        <s v="MKT71570MAHONO          "/>
        <s v="MKT71570MALAKE          "/>
        <s v="MKT71570MAMCMI          "/>
        <s v="MKT71810                "/>
        <s v="MKT81100AI              "/>
        <s v="MKT81100RO              "/>
        <s v="MKT81100WI              "/>
        <s v="MKT81110BC20BE          "/>
        <s v="MKT81110EX20BE          "/>
        <s v="MKT81110EXDANA          "/>
        <s v="MKT81110EXDESO          "/>
        <s v="MKT81110EXEAST          "/>
        <s v="MKT81110EXLAKE          "/>
        <s v="MKT81110EXMCMI          "/>
        <s v="MKT81110EXPRIV          "/>
        <s v="MKT81110EXSEAS          "/>
        <s v="MKT81110MADANA          "/>
        <s v="MKT81110MAEAST          "/>
        <s v="MKT81110MAFRES          "/>
        <s v="MKT81110MAMCMI          "/>
        <s v="MKT81110NL20BE          "/>
        <s v="MKT81110NLDANA          "/>
        <s v="MKT81110NLEAST          "/>
        <s v="MKT81110NLMCMI          "/>
        <s v="MKT81110NS20BE          "/>
        <s v="MKT81110NSDANA          "/>
        <s v="MKT81110NSMCMI          "/>
        <s v="MKT81110ON20BE          "/>
        <s v="MKT81110ONDANA          "/>
        <s v="MKT81110ONEAST          "/>
        <s v="MKT81110ONFRES          "/>
        <s v="MKT81110ONHATT          "/>
        <s v="MKT81110ONLAKE          "/>
        <s v="MKT81110ONMCMI          "/>
        <s v="MKT81110ONSUND          "/>
        <s v="MKT81110QC20BE          "/>
        <s v="MKT81110SKHONO          "/>
        <s v="MKT81120ABHATT          "/>
        <s v="MKT81120ABLAKE          "/>
        <s v="MKT81120EX20BE          "/>
        <s v="MKT81120LI20BE          "/>
        <s v="MKT81120LIBENC          "/>
        <s v="MKT81120LIDANA          "/>
        <s v="MKT81120LIEAST          "/>
        <s v="MKT81120LIFRES          "/>
        <s v="MKT81120LIHONO          "/>
        <s v="MKT81120LILAKE          "/>
        <s v="MKT81120LIMCMI          "/>
        <s v="MKT81120LIRIDE          "/>
        <s v="MKT81120NB20BE          "/>
        <s v="MKT81120ON20BE          "/>
        <s v="MKT81120ONCAND          "/>
        <s v="MKT81120ONDANA          "/>
        <s v="MKT81120ONEAST          "/>
        <s v="MKT81120ONFRES          "/>
        <s v="MKT81120ONHATT          "/>
        <s v="MKT81120ONHONO          "/>
        <s v="MKT81120ONLAKE          "/>
        <s v="MKT81120ONMCMI          "/>
        <s v="MKT81120ONRIDE          "/>
        <s v="MKT81130LI20BE          "/>
        <s v="MKT81130LIDANA          "/>
        <s v="MKT81130LIEAST          "/>
        <s v="MKT81130LIFRES          "/>
        <s v="MKT81130LIHATT          "/>
        <s v="MKT81130LIHONO          "/>
        <s v="MKT81130LILAKE          "/>
        <s v="MKT81130LIMCMI          "/>
        <s v="MKT81130LISUND          "/>
        <s v="MKT81130NL20BE          "/>
        <s v="MKT81130ON20BE          "/>
        <s v="MKT81130ONCAND          "/>
        <s v="MKT81130ONDANA          "/>
        <s v="MKT81130ONEAST          "/>
        <s v="MKT81130ONFRES          "/>
        <s v="MKT81130ONHATT          "/>
        <s v="MKT81130ONHONO          "/>
        <s v="MKT81130ONLAKE          "/>
        <s v="MKT81130ONMCMI          "/>
        <s v="MKT81130ONRIDE          "/>
        <s v="MKT81130ONSUND          "/>
        <s v="MKT81130SKHONO          "/>
        <s v="MKT81140ABCAND          "/>
        <s v="MKT81140ABLAKE          "/>
        <s v="MKT81140BCEAST          "/>
        <s v="MKT81140BCHATT          "/>
        <s v="MKT81140NS20BE          "/>
        <s v="MKT81140ONHATT          "/>
        <s v="MKT81140ONHONO          "/>
        <s v="MKT81150AB20BE          "/>
        <s v="MKT81150ABDANA          "/>
        <s v="MKT81150ABFRES          "/>
        <s v="MKT81150ABHATT          "/>
        <s v="MKT81150ABLAKE          "/>
        <s v="MKT81150ABMCMI          "/>
        <s v="MKT81150ABRIDE          "/>
        <s v="MKT81150ABSUND          "/>
        <s v="MKT81150BCDANA          "/>
        <s v="MKT81150BCMCMI          "/>
        <s v="MKT81150LI20BE          "/>
        <s v="MKT81150LIBENC          "/>
        <s v="MKT81150LICAND          "/>
        <s v="MKT81150LICELI          "/>
        <s v="MKT81150LIDANA          "/>
        <s v="MKT81150LIDESO          "/>
        <s v="MKT81150LIEAST          "/>
        <s v="MKT81150LIFRES          "/>
        <s v="MKT81150LIHATT          "/>
        <s v="MKT81150LIHONO          "/>
        <s v="MKT81150LILAKE          "/>
        <s v="MKT81150LIMCMI          "/>
        <s v="MKT81150LIPRIV          "/>
        <s v="MKT81150LIRIDE          "/>
        <s v="MKT81150LISEAS          "/>
        <s v="MKT81150LISUND          "/>
        <s v="MKT81150MA20BE          "/>
        <s v="MKT81150MABENC          "/>
        <s v="MKT81150MACAND          "/>
        <s v="MKT81150MACELI          "/>
        <s v="MKT81150MACROO          "/>
        <s v="MKT81150MADANA          "/>
        <s v="MKT81150MADESO          "/>
        <s v="MKT81150MAEAST          "/>
        <s v="MKT81150MAFRES          "/>
        <s v="MKT81150MAHATT          "/>
        <s v="MKT81150MAHONO          "/>
        <s v="MKT81150MALAKE          "/>
        <s v="MKT81150MAMCMI          "/>
        <s v="MKT81150MAPRIV          "/>
        <s v="MKT81150MARIDE          "/>
        <s v="MKT81150MASEAS          "/>
        <s v="MKT81150MASUND          "/>
        <s v="MKT81150NB20BE          "/>
        <s v="MKT81150NBBENC          "/>
        <s v="MKT81150NBCAND          "/>
        <s v="MKT81150NBCELI          "/>
        <s v="MKT81150NBCROO          "/>
        <s v="MKT81150NBDANA          "/>
        <s v="MKT81150NBDESO          "/>
        <s v="MKT81150NBEAST          "/>
        <s v="MKT81150NBFRES          "/>
        <s v="MKT81150NBHATT          "/>
        <s v="MKT81150NBHONO          "/>
        <s v="MKT81150NBLAKE          "/>
        <s v="MKT81150NBMCMI          "/>
        <s v="MKT81150NBPRIV          "/>
        <s v="MKT81150NBRIDE          "/>
        <s v="MKT81150NBSEAS          "/>
        <s v="MKT81150NBSUND          "/>
        <s v="MKT81150NL20BE          "/>
        <s v="MKT81150NLBENC          "/>
        <s v="MKT81150NLCAND          "/>
        <s v="MKT81150NLCELI          "/>
        <s v="MKT81150NLCROO          "/>
        <s v="MKT81150NLDANA          "/>
        <s v="MKT81150NLDESO          "/>
        <s v="MKT81150NLEAST          "/>
        <s v="MKT81150NLFRES          "/>
        <s v="MKT81150NLHATT          "/>
        <s v="MKT81150NLHONO          "/>
        <s v="MKT81150NLLAKE          "/>
        <s v="MKT81150NLMCMI          "/>
        <s v="MKT81150NLPRIV          "/>
        <s v="MKT81150NLRIDE          "/>
        <s v="MKT81150NLSEAS          "/>
        <s v="MKT81150NLSUND          "/>
        <s v="MKT81150NS20BE          "/>
        <s v="MKT81150NSBENC          "/>
        <s v="MKT81150NSCAND          "/>
        <s v="MKT81150NSCELI          "/>
        <s v="MKT81150NSCROO          "/>
        <s v="MKT81150NSDANA          "/>
        <s v="MKT81150NSDESO          "/>
        <s v="MKT81150NSEAST          "/>
        <s v="MKT81150NSFRES          "/>
        <s v="MKT81150NSHATT          "/>
        <s v="MKT81150NSHONO          "/>
        <s v="MKT81150NSLAKE          "/>
        <s v="MKT81150NSMCMI          "/>
        <s v="MKT81150NSPRIV          "/>
        <s v="MKT81150NSRIDE          "/>
        <s v="MKT81150NSSEAS          "/>
        <s v="MKT81150NSSUND          "/>
        <s v="MKT81150ON20BE          "/>
        <s v="MKT81150ONDANA          "/>
        <s v="MKT81150ONFRES          "/>
        <s v="MKT81150ONHATT          "/>
        <s v="MKT81150ONHONO          "/>
        <s v="MKT81150ONMCMI          "/>
        <s v="MKT81150ONRIDE          "/>
        <s v="MKT81150PE20BE          "/>
        <s v="MKT81150PEBENC          "/>
        <s v="MKT81150PECAND          "/>
        <s v="MKT81150PECELI          "/>
        <s v="MKT81150PECROO          "/>
        <s v="MKT81150PEDANA          "/>
        <s v="MKT81150PEDESO          "/>
        <s v="MKT81150PEEAST          "/>
        <s v="MKT81150PEFRES          "/>
        <s v="MKT81150PEHATT          "/>
        <s v="MKT81150PEHONO          "/>
        <s v="MKT81150PELAKE          "/>
        <s v="MKT81150PEMCMI          "/>
        <s v="MKT81150PEPRIV          "/>
        <s v="MKT81150PERIDE          "/>
        <s v="MKT81150PESEAS          "/>
        <s v="MKT81150PESUND          "/>
        <s v="MKT81150QC20BE          "/>
        <s v="MKT81150QCBENC          "/>
        <s v="MKT81150QCCAND          "/>
        <s v="MKT81150QCCELI          "/>
        <s v="MKT81150QCCROO          "/>
        <s v="MKT81150QCDANA          "/>
        <s v="MKT81150QCDESO          "/>
        <s v="MKT81150QCEAST          "/>
        <s v="MKT81150QCFRES          "/>
        <s v="MKT81150QCHATT          "/>
        <s v="MKT81150QCHONO          "/>
        <s v="MKT81150QCLAKE          "/>
        <s v="MKT81150QCMCMI          "/>
        <s v="MKT81150QCPRIV          "/>
        <s v="MKT81150QCRIDE          "/>
        <s v="MKT81150QCSEAS          "/>
        <s v="MKT81150QCSUND          "/>
        <s v="MKT81150SK20BE          "/>
        <s v="MKT81150SKBENC          "/>
        <s v="MKT81150SKCAND          "/>
        <s v="MKT81150SKCELI          "/>
        <s v="MKT81150SKCROO          "/>
        <s v="MKT81150SKDANA          "/>
        <s v="MKT81150SKDESO          "/>
        <s v="MKT81150SKEAST          "/>
        <s v="MKT81150SKFRES          "/>
        <s v="MKT81150SKHATT          "/>
        <s v="MKT81150SKHONO          "/>
        <s v="MKT81150SKLAKE          "/>
        <s v="MKT81150SKMCMI          "/>
        <s v="MKT81150SKPRIV          "/>
        <s v="MKT81150SKRIDE          "/>
        <s v="MKT81150SKSEAS          "/>
        <s v="MKT81150SKSUND          "/>
        <s v="MKT81160AB20BE          "/>
        <s v="MKT81160ABBENC          "/>
        <s v="MKT81160ABCAND          "/>
        <s v="MKT81160ABCELI          "/>
        <s v="MKT81160ABCROO          "/>
        <s v="MKT81160ABDANA          "/>
        <s v="MKT81160ABDESO          "/>
        <s v="MKT81160ABEAST          "/>
        <s v="MKT81160ABFRES          "/>
        <s v="MKT81160ABHATT          "/>
        <s v="MKT81160ABHONO          "/>
        <s v="MKT81160ABLAKE          "/>
        <s v="MKT81160ABMCMI          "/>
        <s v="MKT81160ABPRIV          "/>
        <s v="MKT81160ABRIDE          "/>
        <s v="MKT81160ABSEAS          "/>
        <s v="MKT81160ABSUND          "/>
        <s v="MKT81160BC20BE          "/>
        <s v="MKT81160BCBENC          "/>
        <s v="MKT81160BCCAND          "/>
        <s v="MKT81160BCCELI          "/>
        <s v="MKT81160BCCROO          "/>
        <s v="MKT81160BCDANA          "/>
        <s v="MKT81160BCDESO          "/>
        <s v="MKT81160BCEAST          "/>
        <s v="MKT81160BCFRES          "/>
        <s v="MKT81160BCHATT          "/>
        <s v="MKT81160BCHONO          "/>
        <s v="MKT81160BCLAKE          "/>
        <s v="MKT81160BCMCMI          "/>
        <s v="MKT81160BCPRIV          "/>
        <s v="MKT81160BCRIDE          "/>
        <s v="MKT81160BCSEAS          "/>
        <s v="MKT81160BCSUND          "/>
        <s v="MKT81160LI20BE          "/>
        <s v="MKT81160LIBENC          "/>
        <s v="MKT81160LIDANA          "/>
        <s v="MKT81160LIEAST          "/>
        <s v="MKT81160LIFRES          "/>
        <s v="MKT81160LIHATT          "/>
        <s v="MKT81160LIHONO          "/>
        <s v="MKT81160LIMCMI          "/>
        <s v="MKT81160LIPRIV          "/>
        <s v="MKT81160LIRIDE          "/>
        <s v="MKT81160LISEAS          "/>
        <s v="MKT81160MA20BE          "/>
        <s v="MKT81160MABENC          "/>
        <s v="MKT81160MACAND          "/>
        <s v="MKT81160MACELI          "/>
        <s v="MKT81160MACROO          "/>
        <s v="MKT81160MADANA          "/>
        <s v="MKT81160MADESO          "/>
        <s v="MKT81160MAEAST          "/>
        <s v="MKT81160MAFRES          "/>
        <s v="MKT81160MAHATT          "/>
        <s v="MKT81160MAHONO          "/>
        <s v="MKT81160MALAKE          "/>
        <s v="MKT81160MAMCMI          "/>
        <s v="MKT81160MAPRIV          "/>
        <s v="MKT81160MARIDE          "/>
        <s v="MKT81160MASEAS          "/>
        <s v="MKT81160MASUND          "/>
        <s v="MKT81160NB20BE          "/>
        <s v="MKT81160NBBENC          "/>
        <s v="MKT81160NBCAND          "/>
        <s v="MKT81160NBCELI          "/>
        <s v="MKT81160NBCROO          "/>
        <s v="MKT81160NBDANA          "/>
        <s v="MKT81160NBDESO          "/>
        <s v="MKT81160NBEAST          "/>
        <s v="MKT81160NBFRES          "/>
        <s v="MKT81160NBHATT          "/>
        <s v="MKT81160NBHONO          "/>
        <s v="MKT81160NBLAKE          "/>
        <s v="MKT81160NBMCMI          "/>
        <s v="MKT81160NBPRIV          "/>
        <s v="MKT81160NBRIDE          "/>
        <s v="MKT81160NBSEAS          "/>
        <s v="MKT81160NBSUND          "/>
        <s v="MKT81160NL20BE          "/>
        <s v="MKT81160NLBENC          "/>
        <s v="MKT81160NLCAND          "/>
        <s v="MKT81160NLCELI          "/>
        <s v="MKT81160NLCROO          "/>
        <s v="MKT81160NLDANA          "/>
        <s v="MKT81160NLDESO          "/>
        <s v="MKT81160NLEAST          "/>
        <s v="MKT81160NLFRES          "/>
        <s v="MKT81160NLHATT          "/>
        <s v="MKT81160NLHONO          "/>
        <s v="MKT81160NLLAKE          "/>
        <s v="MKT81160NLMCMI          "/>
        <s v="MKT81160NLPRIV          "/>
        <s v="MKT81160NLRIDE          "/>
        <s v="MKT81160NLSEAS          "/>
        <s v="MKT81160NLSUND          "/>
        <s v="MKT81160NS20BE          "/>
        <s v="MKT81160NSBENC          "/>
        <s v="MKT81160NSCAND          "/>
        <s v="MKT81160NSCELI          "/>
        <s v="MKT81160NSCROO          "/>
        <s v="MKT81160NSDANA          "/>
        <s v="MKT81160NSDESO          "/>
        <s v="MKT81160NSEAST          "/>
        <s v="MKT81160NSFRES          "/>
        <s v="MKT81160NSHATT          "/>
        <s v="MKT81160NSHONO          "/>
        <s v="MKT81160NSLAKE          "/>
        <s v="MKT81160NSMCMI          "/>
        <s v="MKT81160NSPRIV          "/>
        <s v="MKT81160NSRIDE          "/>
        <s v="MKT81160NSSEAS          "/>
        <s v="MKT81160NSSUND          "/>
        <s v="MKT81160ON20BE          "/>
        <s v="MKT81160ONDANA          "/>
        <s v="MKT81160ONEAST          "/>
        <s v="MKT81160ONHONO          "/>
        <s v="MKT81160ONMCMI          "/>
        <s v="MKT81160PE20BE          "/>
        <s v="MKT81160PEBENC          "/>
        <s v="MKT81160PECAND          "/>
        <s v="MKT81160PECELI          "/>
        <s v="MKT81160PECROO          "/>
        <s v="MKT81160PEDANA          "/>
        <s v="MKT81160PEDESO          "/>
        <s v="MKT81160PEEAST          "/>
        <s v="MKT81160PEFRES          "/>
        <s v="MKT81160PEHATT          "/>
        <s v="MKT81160PEHONO          "/>
        <s v="MKT81160PELAKE          "/>
        <s v="MKT81160PEMCMI          "/>
        <s v="MKT81160PEPRIV          "/>
        <s v="MKT81160PERIDE          "/>
        <s v="MKT81160PESEAS          "/>
        <s v="MKT81160PESUND          "/>
        <s v="MKT81160QC20BE          "/>
        <s v="MKT81160QCBENC          "/>
        <s v="MKT81160QCCAND          "/>
        <s v="MKT81160QCCELI          "/>
        <s v="MKT81160QCCROO          "/>
        <s v="MKT81160QCDANA          "/>
        <s v="MKT81160QCDESO          "/>
        <s v="MKT81160QCEAST          "/>
        <s v="MKT81160QCFRES          "/>
        <s v="MKT81160QCHATT          "/>
        <s v="MKT81160QCHONO          "/>
        <s v="MKT81160QCLAKE          "/>
        <s v="MKT81160QCMCMI          "/>
        <s v="MKT81160QCPRIV          "/>
        <s v="MKT81160QCRIDE          "/>
        <s v="MKT81160QCSEAS          "/>
        <s v="MKT81160QCSUND          "/>
        <s v="MKT81160SK20BE          "/>
        <s v="MKT81160SKBENC          "/>
        <s v="MKT81160SKCAND          "/>
        <s v="MKT81160SKCELI          "/>
        <s v="MKT81160SKCROO          "/>
        <s v="MKT81160SKDANA          "/>
        <s v="MKT81160SKDESO          "/>
        <s v="MKT81160SKEAST          "/>
        <s v="MKT81160SKFRES          "/>
        <s v="MKT81160SKHATT          "/>
        <s v="MKT81160SKHONO          "/>
        <s v="MKT81160SKLAKE          "/>
        <s v="MKT81160SKMCMI          "/>
        <s v="MKT81160SKPRIV          "/>
        <s v="MKT81160SKRIDE          "/>
        <s v="MKT81160SKSEAS          "/>
        <s v="MKT81160SKSUND          "/>
        <s v="MKT81170EXFRES          "/>
        <s v="MKT81170LI20BE          "/>
        <s v="MKT81170LIBENC          "/>
        <s v="MKT81170LIDANA          "/>
        <s v="MKT81170LIEAST          "/>
        <s v="MKT81170LIFRES          "/>
        <s v="MKT81170LIHATT          "/>
        <s v="MKT81170LIHONO          "/>
        <s v="MKT81170LILAKE          "/>
        <s v="MKT81170LIMCMI          "/>
        <s v="MKT81170LIPRIV          "/>
        <s v="MKT81170LISEAS          "/>
        <s v="MKT81170NL20BE          "/>
        <s v="MKT81170NLDANA          "/>
        <s v="MKT81170NLDESO          "/>
        <s v="MKT81170NLEAST          "/>
        <s v="MKT81170NLHATT          "/>
        <s v="MKT81170NLMCMI          "/>
        <s v="MKT81170NS20BE          "/>
        <s v="MKT81170ON20BE          "/>
        <s v="MKT81170ONCAND          "/>
        <s v="MKT81170ONDANA          "/>
        <s v="MKT81170ONDESO          "/>
        <s v="MKT81170ONEAST          "/>
        <s v="MKT81170ONFRES          "/>
        <s v="MKT81170ONHATT          "/>
        <s v="MKT81170ONHONO          "/>
        <s v="MKT81170ONLAKE          "/>
        <s v="MKT81170ONMCMI          "/>
        <s v="MKT81170ONRIDE          "/>
        <s v="MKT81170ONSEAS          "/>
        <s v="MKT81170SKLAKE          "/>
        <s v="MKT81180AB20BE          "/>
        <s v="MKT81180ABDANA          "/>
        <s v="MKT81180ABHATT          "/>
        <s v="MKT81180ABMCMI          "/>
        <s v="MKT81180ABRIDE          "/>
        <s v="MKT81180LI20BE          "/>
        <s v="MKT81180LIBENC          "/>
        <s v="MKT81180LIDANA          "/>
        <s v="MKT81180LIEAST          "/>
        <s v="MKT81180LIFRES          "/>
        <s v="MKT81180LIHATT          "/>
        <s v="MKT81180LIHONO          "/>
        <s v="MKT81180LILAKE          "/>
        <s v="MKT81180LIMCMI          "/>
        <s v="MKT81180LIPRIV          "/>
        <s v="MKT81180LIRIDE          "/>
        <s v="MKT81180LISEAS          "/>
        <s v="MKT81180NLHATT          "/>
        <s v="MKT81180ONCAND          "/>
        <s v="MKT81180ONEAST          "/>
        <s v="MKT81180ONFRES          "/>
        <s v="MKT81180ONRIDE          "/>
        <s v="MKT81190ABRIDE          "/>
        <s v="MKT81190BCDANA          "/>
        <s v="MKT81190BCDESO          "/>
        <s v="MKT81190BCEAST          "/>
        <s v="MKT81190BCFRES          "/>
        <s v="MKT81190BCHATT          "/>
        <s v="MKT81190BCHONO          "/>
        <s v="MKT81190BCLAKE          "/>
        <s v="MKT81190BCMCMI          "/>
        <s v="MKT81190BCPRIV          "/>
        <s v="MKT81190BCRIDE          "/>
        <s v="MKT81190BCSEAS          "/>
        <s v="MKT81190BCSUND          "/>
        <s v="MKT81190EXCROO          "/>
        <s v="MKT81190EXDANA          "/>
        <s v="MKT81190EXDESO          "/>
        <s v="MKT81190EXEAST          "/>
        <s v="MKT81190EXFRES          "/>
        <s v="MKT81190EXHATT          "/>
        <s v="MKT81190EXHONO          "/>
        <s v="MKT81190EXLAKE          "/>
        <s v="MKT81190EXMCMI          "/>
        <s v="MKT81190EXPRIV          "/>
        <s v="MKT81190EXRIDE          "/>
        <s v="MKT81190EXSEAS          "/>
        <s v="MKT81190EXSUND          "/>
        <s v="MKT81190LISEAS          "/>
        <s v="MKT81190MADANA          "/>
        <s v="MKT81190MAHONO          "/>
        <s v="MKT81190MALAKE          "/>
        <s v="MKT81190MAMCMI          "/>
        <s v="MKT81190ON20BE          "/>
        <s v="MKT81190ONDANA          "/>
        <s v="MKT81190ONEAST          "/>
        <s v="MKT81190ONMCMI          "/>
        <s v="MKT81190SKLAKE          "/>
        <s v="MKT81200AB20BE          "/>
        <s v="MKT81200ABCROO          "/>
        <s v="MKT81200ABHATT          "/>
        <s v="MKT81200ABHONO          "/>
        <s v="MKT81200ABRIDE          "/>
        <s v="MKT81200EX              "/>
        <s v="MKT81200EX20BE          "/>
        <s v="MKT81200EXDANA          "/>
        <s v="MKT81200EXLAKE          "/>
        <s v="MKT81200EXMCMI          "/>
        <s v="MKT81200LI20BE          "/>
        <s v="MKT81200LIBENC          "/>
        <s v="MKT81200LIDANA          "/>
        <s v="MKT81200LIEAST          "/>
        <s v="MKT81200LIFRES          "/>
        <s v="MKT81200LIHATT          "/>
        <s v="MKT81200LIHONO          "/>
        <s v="MKT81200LILAKE          "/>
        <s v="MKT81200LIMCMI          "/>
        <s v="MKT81200LIRIDE          "/>
        <s v="MKT81200MA20BE          "/>
        <s v="MKT81200MADANA          "/>
        <s v="MKT81200MAEAST          "/>
        <s v="MKT81200MAFRES          "/>
        <s v="MKT81200MAHATT          "/>
        <s v="MKT81200MAHONO          "/>
        <s v="MKT81200MALAKE          "/>
        <s v="MKT81200MAMCMI          "/>
        <s v="MKT81200NBHATT          "/>
        <s v="MKT81200NL20BE          "/>
        <s v="MKT81200NLDANA          "/>
        <s v="MKT81200NLDESO          "/>
        <s v="MKT81200NLEAST          "/>
        <s v="MKT81200NLHATT          "/>
        <s v="MKT81200NLMCMI          "/>
        <s v="MKT81200NS20BE          "/>
        <s v="MKT81200ON20BE          "/>
        <s v="MKT81200ONCAND          "/>
        <s v="MKT81200ONDANA          "/>
        <s v="MKT81200ONEAST          "/>
        <s v="MKT81200ONFRES          "/>
        <s v="MKT81200ONHATT          "/>
        <s v="MKT81200ONHONO          "/>
        <s v="MKT81200ONLAKE          "/>
        <s v="MKT81200ONMCMI          "/>
        <s v="MKT81200ONPRIV          "/>
        <s v="MKT81200ONRIDE          "/>
        <s v="MKT81200ONSUND          "/>
        <s v="MKT81210AB20BE          "/>
        <s v="MKT81210ABDANA          "/>
        <s v="MKT81210ABFRES          "/>
        <s v="MKT81210ABHATT          "/>
        <s v="MKT81210ABHONO          "/>
        <s v="MKT81210ABLAKE          "/>
        <s v="MKT81210ABMCMI          "/>
        <s v="MKT81210ABRIDE          "/>
        <s v="MKT81210EX20BE          "/>
        <s v="MKT81210EXBENC          "/>
        <s v="MKT81210EXCAND          "/>
        <s v="MKT81210EXCELI          "/>
        <s v="MKT81210EXCROO          "/>
        <s v="MKT81210EXDANA          "/>
        <s v="MKT81210EXDESO          "/>
        <s v="MKT81210EXEAST          "/>
        <s v="MKT81210EXFRES          "/>
        <s v="MKT81210EXHATT          "/>
        <s v="MKT81210EXHONO          "/>
        <s v="MKT81210EXLAKE          "/>
        <s v="MKT81210EXMCMI          "/>
        <s v="MKT81210EXPRIV          "/>
        <s v="MKT81210EXRIDE          "/>
        <s v="MKT81210EXSEAS          "/>
        <s v="MKT81210EXSUND          "/>
        <s v="MKT81210LI20BE          "/>
        <s v="MKT81210LIBENC          "/>
        <s v="MKT81210LIDESO          "/>
        <s v="MKT81210LIEAST          "/>
        <s v="MKT81210LIFRES          "/>
        <s v="MKT81210LIHATT          "/>
        <s v="MKT81210LIHONO          "/>
        <s v="MKT81210LILAKE          "/>
        <s v="MKT81210MA20BE          "/>
        <s v="MKT81210MADANA          "/>
        <s v="MKT81210MAEAST          "/>
        <s v="MKT81210MAFRES          "/>
        <s v="MKT81210MAHATT          "/>
        <s v="MKT81210MAHONO          "/>
        <s v="MKT81210MAMCMI          "/>
        <s v="MKT81210NB20BE          "/>
        <s v="MKT81210NL20BE          "/>
        <s v="MKT81210NLDANA          "/>
        <s v="MKT81210NLEAST          "/>
        <s v="MKT81210NLHATT          "/>
        <s v="MKT81210NLMCMI          "/>
        <s v="MKT81210NS20BE          "/>
        <s v="MKT81210NSSEAS          "/>
        <s v="MKT81210ON20BE          "/>
        <s v="MKT81210ONCAND          "/>
        <s v="MKT81210ONCELI          "/>
        <s v="MKT81210ONDANA          "/>
        <s v="MKT81210ONEAST          "/>
        <s v="MKT81210ONFRES          "/>
        <s v="MKT81210ONHATT          "/>
        <s v="MKT81210ONHONO          "/>
        <s v="MKT81210ONLAKE          "/>
        <s v="MKT81210ONMCMI          "/>
        <s v="MKT81210ONRIDE          "/>
        <s v="MKT81210ONSEAS          "/>
        <s v="MKT81210ONTZAF          "/>
        <s v="MKT81210PEBENC          "/>
        <s v="MKT81210QC20BE          "/>
        <s v="MKT81210SKHONO          "/>
        <s v="MKT81210SKLAKE          "/>
        <s v="MKT81220EX20BE          "/>
        <s v="MKT81220EXBENC          "/>
        <s v="MKT81220EXCAND          "/>
        <s v="MKT81220EXCELI          "/>
        <s v="MKT81220EXCROO          "/>
        <s v="MKT81220EXDANA          "/>
        <s v="MKT81220EXDESO          "/>
        <s v="MKT81220EXEAST          "/>
        <s v="MKT81220EXHATT          "/>
        <s v="MKT81220EXMCMI          "/>
        <s v="MKT81220LI20BE          "/>
        <s v="MKT81220LIDANA          "/>
        <s v="MKT81220LIEAST          "/>
        <s v="MKT81220LIFRES          "/>
        <s v="MKT81220LIMCMI          "/>
        <s v="MKT81220LIRIDE          "/>
        <s v="MKT81220MADANA          "/>
        <s v="MKT81220MAHONO          "/>
        <s v="MKT81220MAMCMI          "/>
        <s v="MKT81220NB20BE          "/>
        <s v="MKT81220NL20BE          "/>
        <s v="MKT81220NLEAST          "/>
        <s v="MKT81220NLHATT          "/>
        <s v="MKT81220NS20BE          "/>
        <s v="MKT81220ON20BE          "/>
        <s v="MKT81220ONCAND          "/>
        <s v="MKT81220ONCROO          "/>
        <s v="MKT81220ONDANA          "/>
        <s v="MKT81220ONEAST          "/>
        <s v="MKT81220ONFRES          "/>
        <s v="MKT81220ONHATT          "/>
        <s v="MKT81220ONHONO          "/>
        <s v="MKT81220ONLAKE          "/>
        <s v="MKT81220ONMCMI          "/>
        <s v="MKT81220ONRIDE          "/>
        <s v="MKT81220ONSEAS          "/>
        <s v="MKT81220ONSUND          "/>
        <s v="MKT81220SKLAKE          "/>
        <s v="MKT81240ON20BE          "/>
        <s v="MKT81240ONDANA          "/>
        <s v="MKT81240ONEAST          "/>
        <s v="MKT81240ONHATT          "/>
        <s v="MKT81240ONHONO          "/>
        <s v="MKT81240ONLAKE          "/>
        <s v="MKT81240ONMCMI          "/>
        <s v="MKT81250EX20BE          "/>
        <s v="MKT81250EXDANA          "/>
        <s v="MKT81250EXHATT          "/>
        <s v="MKT81250EXMCMI          "/>
        <s v="MKT81250LI20BE          "/>
        <s v="MKT81250LIEAST          "/>
        <s v="MKT81250MADANA          "/>
        <s v="MKT81250MAEAST          "/>
        <s v="MKT81250MAFRES          "/>
        <s v="MKT81250MAHATT          "/>
        <s v="MKT81250MAHONO          "/>
        <s v="MKT81250MALAKE          "/>
        <s v="MKT81250MAMCMI          "/>
        <s v="MKT81250MARIDE          "/>
        <s v="MKT81250MASEAS          "/>
        <s v="MKT81250MASUND          "/>
        <s v="MKT81250NL20BE          "/>
        <s v="MKT81250NLDANA          "/>
        <s v="MKT81250NLDESO          "/>
        <s v="MKT81250NLEAST          "/>
        <s v="MKT81250NLMCMI          "/>
        <s v="MKT81250NS20BE          "/>
        <s v="MKT81250ON20BE          "/>
        <s v="MKT81250ONCAND          "/>
        <s v="MKT81250ONDANA          "/>
        <s v="MKT81250ONDESO          "/>
        <s v="MKT81250ONEAST          "/>
        <s v="MKT81250ONFRES          "/>
        <s v="MKT81250ONHATT          "/>
        <s v="MKT81250ONHONO          "/>
        <s v="MKT81250ONLAKE          "/>
        <s v="MKT81250ONMCMI          "/>
        <s v="MKT81250ONRIDE          "/>
        <s v="MKT81250ONSEAS          "/>
        <s v="MKT81250ONTZAF          "/>
        <s v="MKT81260MADANA          "/>
        <s v="MKT81260MADESO          "/>
        <s v="MKT81260MAEAST          "/>
        <s v="MKT81260MAFRES          "/>
        <s v="MKT81260MAHONO          "/>
        <s v="MKT81260MAMCMI          "/>
        <s v="MKT81260NLFRES          "/>
        <s v="MKT81260ON20BE          "/>
        <s v="MKT81260ONCAND          "/>
        <s v="MKT81260ONDANA          "/>
        <s v="MKT81260ONEAST          "/>
        <s v="MKT81260ONFRES          "/>
        <s v="MKT81260ONHATT          "/>
        <s v="MKT81260ONHONO          "/>
        <s v="MKT81260ONLAKE          "/>
        <s v="MKT81260ONMCMI          "/>
        <s v="MKT81260ONRIDE          "/>
        <s v="MKT81270AB20BE          "/>
        <s v="MKT81270ABDANA          "/>
        <s v="MKT81270ABFRES          "/>
        <s v="MKT81270ABHATT          "/>
        <s v="MKT81270ABHONO          "/>
        <s v="MKT81270ABLAKE          "/>
        <s v="MKT81270ABMCMI          "/>
        <s v="MKT81270ABRIDE          "/>
        <s v="MKT81270EXEAST          "/>
        <s v="MKT81270EXFRES          "/>
        <s v="MKT81270EXHATT          "/>
        <s v="MKT81270EXHONO          "/>
        <s v="MKT81270EXLAKE          "/>
        <s v="MKT81270EXPRIV          "/>
        <s v="MKT81270EXRIDE          "/>
        <s v="MKT81270EXSEAS          "/>
        <s v="MKT81270EXSUND          "/>
        <s v="MKT81270LI20BE          "/>
        <s v="MKT81270MADANA          "/>
        <s v="MKT81270MAEAST          "/>
        <s v="MKT81270MAFRES          "/>
        <s v="MKT81270MAHATT          "/>
        <s v="MKT81270MAHONO          "/>
        <s v="MKT81270MALAKE          "/>
        <s v="MKT81270MAMCMI          "/>
        <s v="MKT81270NL20BE          "/>
        <s v="MKT81270NLCROO          "/>
        <s v="MKT81270NLDANA          "/>
        <s v="MKT81270NLEAST          "/>
        <s v="MKT81270NLHATT          "/>
        <s v="MKT81270NLMCMI          "/>
        <s v="MKT81270NLSEAS          "/>
        <s v="MKT81270NS20BE          "/>
        <s v="MKT81270NSDESO          "/>
        <s v="MKT81270NSFRES          "/>
        <s v="MKT81270NSHATT          "/>
        <s v="MKT81270NSHONO          "/>
        <s v="MKT81270ON20BE          "/>
        <s v="MKT81270ONCAND          "/>
        <s v="MKT81270ONDANA          "/>
        <s v="MKT81270ONDESO          "/>
        <s v="MKT81270ONEAST          "/>
        <s v="MKT81270ONFRES          "/>
        <s v="MKT81270ONHATT          "/>
        <s v="MKT81270ONHONO          "/>
        <s v="MKT81270ONLAKE          "/>
        <s v="MKT81270ONMCMI          "/>
        <s v="MKT81270ONRIDE          "/>
        <s v="MKT81270ONSEAS          "/>
        <s v="MKT81270ONSUND          "/>
        <s v="MKT81270PEEAST          "/>
        <s v="MKT81270SKLAKE          "/>
        <s v="MKT81270SKSUND          "/>
        <s v="MKT81280ON20BE          "/>
        <s v="MKT81280ONDANA          "/>
        <s v="MKT81280ONEAST          "/>
        <s v="MKT81280ONFRES          "/>
        <s v="MKT81280ONHATT          "/>
        <s v="MKT81280ONHONO          "/>
        <s v="MKT81280ONLAKE          "/>
        <s v="MKT81280ONMCMI          "/>
        <s v="MKT81280PEDESO          "/>
        <s v="MKT81280PEHATT          "/>
        <s v="MKT81280PEHONO          "/>
        <s v="MKT81290LI20BE          "/>
        <s v="MKT81290NL20BE          "/>
        <s v="MKT81290NLCAND          "/>
        <s v="MKT81290NLEAST          "/>
        <s v="MKT81290NS20BE          "/>
        <s v="MKT81290ON20BE          "/>
        <s v="MKT81290ONCAND          "/>
        <s v="MKT81290ONDANA          "/>
        <s v="MKT81290ONDESO          "/>
        <s v="MKT81290ONEAST          "/>
        <s v="MKT81290ONFRES          "/>
        <s v="MKT81290ONHATT          "/>
        <s v="MKT81290ONHONO          "/>
        <s v="MKT81290ONLAKE          "/>
        <s v="MKT81290ONMCMI          "/>
        <s v="MKT81290ONRIDE          "/>
        <s v="MKT81290ONSUND          "/>
        <s v="MKT81300AB20BE          "/>
        <s v="MKT81300EXHATT          "/>
        <s v="MKT81300LI20BE          "/>
        <s v="MKT81300LIDANA          "/>
        <s v="MKT81300LIEAST          "/>
        <s v="MKT81300LIFRES          "/>
        <s v="MKT81300LIHATT          "/>
        <s v="MKT81300LIMCMI          "/>
        <s v="MKT81300NLDANA          "/>
        <s v="MKT81300NLMCMI          "/>
        <s v="MKT81300ON20BE          "/>
        <s v="MKT81300ONCAND          "/>
        <s v="MKT81300ONDANA          "/>
        <s v="MKT81300ONDESO          "/>
        <s v="MKT81300ONEAST          "/>
        <s v="MKT81300ONFRES          "/>
        <s v="MKT81300ONHATT          "/>
        <s v="MKT81300ONHONO          "/>
        <s v="MKT81300ONLAKE          "/>
        <s v="MKT81300ONMCMI          "/>
        <s v="MKT81300ONRIDE          "/>
        <s v="MKT81310ABLAKE          "/>
        <s v="MKT81310ON20BE          "/>
        <s v="MKT81310ONCAND          "/>
        <s v="MKT81310ONDANA          "/>
        <s v="MKT81310ONDESO          "/>
        <s v="MKT81310ONEAST          "/>
        <s v="MKT81310ONFRES          "/>
        <s v="MKT81310ONHATT          "/>
        <s v="MKT81310ONHONO          "/>
        <s v="MKT81310ONMCMI          "/>
        <s v="MKT81310ONRIDE          "/>
        <s v="MKT81320AB20BE          "/>
        <s v="MKT81320ABHATT          "/>
        <s v="MKT81320ABHONO          "/>
        <s v="MKT81320MA20BE          "/>
        <s v="MKT81320MADANA          "/>
        <s v="MKT81320MAHATT          "/>
        <s v="MKT81320MAHONO          "/>
        <s v="MKT81320MAMCMI          "/>
        <s v="MKT81320NS20BE          "/>
        <s v="MKT81320ON20BE          "/>
        <s v="MKT81320ONCAND          "/>
        <s v="MKT81320ONDANA          "/>
        <s v="MKT81320ONDESO          "/>
        <s v="MKT81320ONEAST          "/>
        <s v="MKT81320ONFRES          "/>
        <s v="MKT81320ONHATT          "/>
        <s v="MKT81320ONHONO          "/>
        <s v="MKT81320ONLAKE          "/>
        <s v="MKT81320ONMCMI          "/>
        <s v="MKT81320ONRIDE          "/>
        <s v="MKT81320SK20BE          "/>
        <s v="MKT81320SKBENC          "/>
        <s v="MKT81320SKCAND          "/>
        <s v="MKT81320SKCELI          "/>
        <s v="MKT81320SKCROO          "/>
        <s v="MKT81320SKDANA          "/>
        <s v="MKT81320SKDESO          "/>
        <s v="MKT81320SKEAST          "/>
        <s v="MKT81320SKFRES          "/>
        <s v="MKT81320SKHATT          "/>
        <s v="MKT81320SKHONO          "/>
        <s v="MKT81320SKLAKE          "/>
        <s v="MKT81320SKMCMI          "/>
        <s v="MKT81320SKPRIV          "/>
        <s v="MKT81320SKRIDE          "/>
        <s v="MKT81320SKSEAS          "/>
        <s v="MKT81320SKSUND          "/>
        <s v="MKT81330NBSUND          "/>
        <s v="MKT81330ON20BE          "/>
        <s v="MKT81330ONDESO          "/>
        <s v="MKT81330ONEAST          "/>
        <s v="MKT81330ONHONO          "/>
        <s v="MKT81330ONLAKE          "/>
        <s v="MKT81340                "/>
        <s v="MKT81340LI20BE          "/>
        <s v="MKT81340LIBENC          "/>
        <s v="MKT81340LIDANA          "/>
        <s v="MKT81340LIEAST          "/>
        <s v="MKT81340LIFRES          "/>
        <s v="MKT81340LIHATT          "/>
        <s v="MKT81340LILAKE          "/>
        <s v="MKT81340LIMCMI          "/>
        <s v="MKT81340NBHONO          "/>
        <s v="MKT81340ON20BE          "/>
        <s v="MKT81340ONCAND          "/>
        <s v="MKT81340ONDANA          "/>
        <s v="MKT81340ONDESO          "/>
        <s v="MKT81340ONEAST          "/>
        <s v="MKT81340ONFRES          "/>
        <s v="MKT81340ONHATT          "/>
        <s v="MKT81340ONLAKE          "/>
        <s v="MKT81340ONMCMI          "/>
        <s v="MKT81340ONRIDE          "/>
        <s v="MKT81350ONLAKE          "/>
        <s v="MKT81360AB20BE          "/>
        <s v="MKT81360ABDANA          "/>
        <s v="MKT81360ABEAST          "/>
        <s v="MKT81360ABHATT          "/>
        <s v="MKT81360ABHONO          "/>
        <s v="MKT81360ABLAKE          "/>
        <s v="MKT81360ABMCMI          "/>
        <s v="MKT81360ABRIDE          "/>
        <s v="MKT81360BCCAND          "/>
        <s v="MKT81360EX20BE          "/>
        <s v="MKT81360EXDANA          "/>
        <s v="MKT81360EXEAST          "/>
        <s v="MKT81360EXHONO          "/>
        <s v="MKT81360EXLAKE          "/>
        <s v="MKT81360EXMCMI          "/>
        <s v="MKT81360EXSEAS          "/>
        <s v="MKT81360EXTZAF          "/>
        <s v="MKT81360LI20BE          "/>
        <s v="MKT81360LIBENC          "/>
        <s v="MKT81360LICAND          "/>
        <s v="MKT81360LIDANA          "/>
        <s v="MKT81360LIEAST          "/>
        <s v="MKT81360LIHONO          "/>
        <s v="MKT81360LILAKE          "/>
        <s v="MKT81360LIMCMI          "/>
        <s v="MKT81360LIRIDE          "/>
        <s v="MKT81360LISEAS          "/>
        <s v="MKT81360NL20BE          "/>
        <s v="MKT81360NS20BE          "/>
        <s v="MKT81360ON20BE          "/>
        <s v="MKT81360ONCELI          "/>
        <s v="MKT81360ONDANA          "/>
        <s v="MKT81360ONEAST          "/>
        <s v="MKT81360ONFRES          "/>
        <s v="MKT81360ONHATT          "/>
        <s v="MKT81360ONHONO          "/>
        <s v="MKT81360ONLAKE          "/>
        <s v="MKT81360ONMCMI          "/>
        <s v="MKT81360ONRIDE          "/>
        <s v="MKT81360ONSEAS          "/>
        <s v="MKT81360QC20BE          "/>
        <s v="MKT81370ABDANA          "/>
        <s v="MKT81370ABMCMI          "/>
        <s v="MKT81370ON20BE          "/>
        <s v="MKT81370ONDANA          "/>
        <s v="MKT81370ONEAST          "/>
        <s v="MKT81370ONFRES          "/>
        <s v="MKT81370ONHATT          "/>
        <s v="MKT81370ONLAKE          "/>
        <s v="MKT81370ONMCMI          "/>
        <s v="MKT81370ONSUND          "/>
        <s v="MKT81370QCDESO          "/>
        <s v="MKT81380                "/>
        <s v="MKT81390                "/>
        <s v="MKT81400ON              "/>
        <s v="MKT81410LI20BE          "/>
        <s v="MKT81410LICELI          "/>
        <s v="MKT81410LIDANA          "/>
        <s v="MKT81410LIEAST          "/>
        <s v="MKT81410LIFRES          "/>
        <s v="MKT81410LIHATT          "/>
        <s v="MKT81410LILAKE          "/>
        <s v="MKT81410LIMCMI          "/>
        <s v="MKT81410LISEAS          "/>
        <s v="MKT81410LISUND          "/>
        <s v="MKT81420                "/>
        <s v="MKT81430                "/>
        <s v="MKT81440                "/>
        <s v="MKT81450  20BE          "/>
        <s v="MKT81450  DANA          "/>
        <s v="MKT81450  EAST          "/>
        <s v="MKT81450  HONO          "/>
        <s v="MKT81450  LAKE          "/>
        <s v="MKT81450  MCMI          "/>
        <s v="MKT81460ON              "/>
        <s v="MKT81460ON20BE          "/>
        <s v="MKT81460ONBENC          "/>
        <s v="MKT81460ONCAND          "/>
        <s v="MKT81460ONCELI          "/>
        <s v="MKT81460ONCROO          "/>
        <s v="MKT81460ONDANA          "/>
        <s v="MKT81460ONDESO          "/>
        <s v="MKT81460ONEAST          "/>
        <s v="MKT81460ONFRES          "/>
        <s v="MKT81460ONHATT          "/>
        <s v="MKT81460ONHONO          "/>
        <s v="MKT81460ONLAKE          "/>
        <s v="MKT81460ONMCMI          "/>
        <s v="MKT81460ONPRIV          "/>
        <s v="MKT81460ONRIDE          "/>
        <s v="MKT81460ONSEAS          "/>
        <s v="MKT81460ONSUND          "/>
        <s v="MKT81800RO              "/>
        <s v="MKT87600                "/>
        <s v="MKT87610                "/>
        <s v="MKT87620                "/>
        <s v="MKT87630                "/>
        <s v="OPS71510PR              "/>
        <s v="OPS71520EX              "/>
        <s v="OPS71520LI              "/>
        <s v="OPS71540LI              "/>
        <s v="OPS71560LI              "/>
        <s v="OPS71570LI              "/>
        <s v="OPS71570RO              "/>
        <s v="OPS71580FM              "/>
        <s v="OPS71800AG20BE          "/>
        <s v="OPS71800AGBENC          "/>
        <s v="OPS71800AGCAND          "/>
        <s v="OPS71800AGCELI          "/>
        <s v="OPS71800AGCROO          "/>
        <s v="OPS71800AGDANA          "/>
        <s v="OPS71800AGDESO          "/>
        <s v="OPS71800AGEAST          "/>
        <s v="OPS71800AGFRES          "/>
        <s v="OPS71800AGHATT          "/>
        <s v="OPS71800AGHONO          "/>
        <s v="OPS71800AGLAKE          "/>
        <s v="OPS71800AGMCMI          "/>
        <s v="OPS71800AGPRIV          "/>
        <s v="OPS71800AGRIDE          "/>
        <s v="OPS71800AGSEAS          "/>
        <s v="OPS71800AGSUND          "/>
        <s v="OPS71800AGTZAF          "/>
        <s v="OPS71800IN20BE          "/>
        <s v="OPS71800INBENC          "/>
        <s v="OPS71800INCAND          "/>
        <s v="OPS71800INCELI          "/>
        <s v="OPS71800INCROO          "/>
        <s v="OPS71800INDANA          "/>
        <s v="OPS71800INDESO          "/>
        <s v="OPS71800INEAST          "/>
        <s v="OPS71800INFRES          "/>
        <s v="OPS71800INHATT          "/>
        <s v="OPS71800INHONO          "/>
        <s v="OPS71800INLAKE          "/>
        <s v="OPS71800INMCMI          "/>
        <s v="OPS71800INPRIV          "/>
        <s v="OPS71800INRIDE          "/>
        <s v="OPS71800INSEAS          "/>
        <s v="OPS71800INSUND          "/>
        <s v="OPS71800INTZAF          "/>
        <s v="OPS71800RO20BE          "/>
        <s v="OPS71800ROBENC          "/>
        <s v="OPS71800ROCAND          "/>
        <s v="OPS71800ROCELI          "/>
        <s v="OPS71800ROCROO          "/>
        <s v="OPS71800RODANA          "/>
        <s v="OPS71800RODESO          "/>
        <s v="OPS71800ROEAST          "/>
        <s v="OPS71800ROFRES          "/>
        <s v="OPS71800ROHATT          "/>
        <s v="OPS71800ROHONO          "/>
        <s v="OPS71800ROLAKE          "/>
        <s v="OPS71800ROMCMI          "/>
        <s v="OPS71800ROPRIV          "/>
        <s v="OPS71800RORIDE          "/>
        <s v="OPS71800ROSEAS          "/>
        <s v="OPS71800ROSUND          "/>
        <s v="OPS71800WI20BE          "/>
        <s v="OPS71800WIDANA          "/>
        <s v="OPS71800WIDESO          "/>
        <s v="OPS71800WIEAST          "/>
        <s v="OPS71800WILAKE          "/>
        <s v="OPS71800WIMCMI          "/>
        <s v="OPS71800WISUND          "/>
        <s v="OPS71800WT20BE          "/>
        <s v="OPS71800WTEAST          "/>
        <s v="OPS71800WTFRES          "/>
        <s v="OPS71800WTLAKE          "/>
        <s v="OPS71840IN              "/>
        <s v="OPS71850IN              "/>
        <s v="OPS71860IN              "/>
        <s v="OPS71870IN              "/>
        <s v="OPS71880IN              "/>
        <s v="OPS72130LI              "/>
        <s v="OPS72130NS              "/>
        <s v="OPS72230LI              "/>
        <s v="OPS72230NS              "/>
        <s v="OPS72240LI              "/>
        <s v="OPS72240NS              "/>
        <s v="OPS72250LI              "/>
        <s v="OPS72250NS              "/>
        <s v="OPS72260LI              "/>
        <s v="OPS72260NS              "/>
        <s v="OPS72270LI              "/>
        <s v="OPS72270NS              "/>
        <s v="OPS81100DU20BE          "/>
        <s v="OPS81100DUDANA          "/>
        <s v="OPS81100DUEAST          "/>
        <s v="OPS81100DUFRES          "/>
        <s v="OPS81100DUHATT          "/>
        <s v="OPS81100DULAKE          "/>
        <s v="OPS81100DUMCMI          "/>
        <s v="OPS81100DUSEAS          "/>
        <s v="OPS81100DUSUND          "/>
        <s v="OPS81340EX20BE          "/>
        <s v="OPS81340EXBENC          "/>
        <s v="OPS81340EXCELI          "/>
        <s v="OPS81340EXCROO          "/>
        <s v="OPS81340EXDANA          "/>
        <s v="OPS81340EXDESO          "/>
        <s v="OPS81340EXEAST          "/>
        <s v="OPS81340EXFRES          "/>
        <s v="OPS81340EXHATT          "/>
        <s v="OPS81340EXLAKE          "/>
        <s v="OPS81340EXMCMI          "/>
        <s v="OPS81340EXPRIV          "/>
        <s v="OPS81340EXRIDE          "/>
        <s v="OPS81340EXSEAS          "/>
        <s v="OPS81340EXSUND          "/>
        <s v="OPS81340LI20BE          "/>
        <s v="OPS81340LIBENC          "/>
        <s v="OPS81340LICAND          "/>
        <s v="OPS81340LICELI          "/>
        <s v="OPS81340LICROO          "/>
        <s v="OPS81340LIDANA          "/>
        <s v="OPS81340LIDESO          "/>
        <s v="OPS81340LIEAST          "/>
        <s v="OPS81340LIFRES          "/>
        <s v="OPS81340LIHATT          "/>
        <s v="OPS81340LIHONO          "/>
        <s v="OPS81340LILAKE          "/>
        <s v="OPS81340LIMCMI          "/>
        <s v="OPS81340LIPRIV          "/>
        <s v="OPS81340LIRIDE          "/>
        <s v="OPS81340LISEAS          "/>
        <s v="OPS81340LISUND          "/>
        <s v="OPS81340NSDESO          "/>
        <s v="OPS81340NSEAST          "/>
        <s v="OPS81340NSHONO          "/>
        <s v="OPS87590LI              "/>
        <s v="OPS87600EX              "/>
        <s v="OPS87600LI              "/>
        <s v="OPS87610EX              "/>
        <s v="OPS87610LI              "/>
        <s v="OPS87620EX              "/>
        <s v="OPS87620LI              "/>
        <s v="OPS87630EX              "/>
        <s v="OPS87630LI              "/>
        <s v="PRO71500                "/>
        <s v="PRO71570                "/>
        <s v="RET71500                "/>
        <s v="RET71530                "/>
        <s v="RET71810                "/>
        <s v="EXE71100                "/>
        <s v="EXE71110                "/>
        <s v="EXE71120                "/>
        <s v="EXE71130                "/>
        <s v="EXE71140                "/>
        <s v="EXE71160                "/>
        <s v="EXE71170                "/>
        <s v="EXE71180                "/>
        <s v="MKT71100                "/>
        <s v="MKT71110                "/>
        <s v="MKT71120                "/>
        <s v="OPS71100LI              "/>
        <s v="OPS71110LI              "/>
        <s v="OPS71120LI              "/>
        <s v="OPS72140LI              "/>
        <s v="OPS72140NS              "/>
        <s v="OPS72160LI              "/>
        <s v="OPS72190LI              "/>
        <s v="OPS72210LI              "/>
        <s v="OPS72210NS              "/>
        <s v="OPS72220LI              "/>
        <s v="OPS72220NS              "/>
        <s v="EXE71210                "/>
        <s v="OPS71470AB20BE          "/>
        <s v="OPS71470ABCAND          "/>
        <s v="OPS71470ABDANA          "/>
        <s v="OPS71470ABDESO          "/>
        <s v="OPS71470ABEAST          "/>
        <s v="OPS71470ABFRES          "/>
        <s v="OPS71470ABHATT          "/>
        <s v="OPS71470ABHONO          "/>
        <s v="OPS71470ABLAKE          "/>
        <s v="OPS71470ABMCMI          "/>
        <s v="OPS71470ABRIDE          "/>
        <s v="OPS71470ABSEAS          "/>
        <s v="OPS71470ABSUND          "/>
        <s v="OPS71470AG20BE          "/>
        <s v="OPS71470AGBENC          "/>
        <s v="OPS71470AGCELI          "/>
        <s v="OPS71470AGDANA          "/>
        <s v="OPS71470AGDESO          "/>
        <s v="OPS71470AGEAST          "/>
        <s v="OPS71470AGFRES          "/>
        <s v="OPS71470AGHATT          "/>
        <s v="OPS71470AGHONO          "/>
        <s v="OPS71470AGLAKE          "/>
        <s v="OPS71470AGMCMI          "/>
        <s v="OPS71470AGPRIV          "/>
        <s v="OPS71470AGRIDE          "/>
        <s v="OPS71470AGSEAS          "/>
        <s v="OPS71470AGSUND          "/>
        <s v="OPS71470BC20BE          "/>
        <s v="OPS71470DU20BE          "/>
        <s v="OPS71470DUCELI          "/>
        <s v="OPS71470DUDANA          "/>
        <s v="OPS71470DUEAST          "/>
        <s v="OPS71470DUFRES          "/>
        <s v="OPS71470DUHATT          "/>
        <s v="OPS71470DUHONO          "/>
        <s v="OPS71470DULAKE          "/>
        <s v="OPS71470DUMCMI          "/>
        <s v="OPS71470DUSEAS          "/>
        <s v="OPS71470DUSUND          "/>
        <s v="OPS71470EX20BE          "/>
        <s v="OPS71470EXCELI          "/>
        <s v="OPS71470EXDESO          "/>
        <s v="OPS71470EXEAST          "/>
        <s v="OPS71470EXFRES          "/>
        <s v="OPS71470EXPRIV          "/>
        <s v="OPS71470EXRIDE          "/>
        <s v="OPS71470EXSEAS          "/>
        <s v="OPS71470IN20BE          "/>
        <s v="OPS71470INBENC          "/>
        <s v="OPS71470INCAND          "/>
        <s v="OPS71470INCELI          "/>
        <s v="OPS71470INCROO          "/>
        <s v="OPS71470INDANA          "/>
        <s v="OPS71470INDESO          "/>
        <s v="OPS71470INEAST          "/>
        <s v="OPS71470INFRES          "/>
        <s v="OPS71470INHATT          "/>
        <s v="OPS71470INHONO          "/>
        <s v="OPS71470INLAKE          "/>
        <s v="OPS71470INMCMI          "/>
        <s v="OPS71470INPRIV          "/>
        <s v="OPS71470INRIDE          "/>
        <s v="OPS71470INSEAS          "/>
        <s v="OPS71470INSUND          "/>
        <s v="OPS71470LI20BE          "/>
        <s v="OPS71470LIBENC          "/>
        <s v="OPS71470LICAND          "/>
        <s v="OPS71470LICELI          "/>
        <s v="OPS71470LICROO          "/>
        <s v="OPS71470LIDANA          "/>
        <s v="OPS71470LIDESO          "/>
        <s v="OPS71470LIEAST          "/>
        <s v="OPS71470LIFRES          "/>
        <s v="OPS71470LIHATT          "/>
        <s v="OPS71470LIHONO          "/>
        <s v="OPS71470LILAKE          "/>
        <s v="OPS71470LIMCMI          "/>
        <s v="OPS71470LIPRIV          "/>
        <s v="OPS71470LIRIDE          "/>
        <s v="OPS71470LISEAS          "/>
        <s v="OPS71470LISUND          "/>
        <s v="OPS71470MA20BE          "/>
        <s v="OPS71470MADANA          "/>
        <s v="OPS71470MAEAST          "/>
        <s v="OPS71470MAFRES          "/>
        <s v="OPS71470MAHATT          "/>
        <s v="OPS71470MAHONO          "/>
        <s v="OPS71470MALAKE          "/>
        <s v="OPS71470MAMCMI          "/>
        <s v="OPS71470NB20BE          "/>
        <s v="OPS71470NBHATT          "/>
        <s v="OPS71470NBHONO          "/>
        <s v="OPS71470NBRIDE          "/>
        <s v="OPS71470NL20BE          "/>
        <s v="OPS71470NLCAND          "/>
        <s v="OPS71470NLDANA          "/>
        <s v="OPS71470NLEAST          "/>
        <s v="OPS71470NLHATT          "/>
        <s v="OPS71470NLHONO          "/>
        <s v="OPS71470NLMCMI          "/>
        <s v="OPS71470NLSEAS          "/>
        <s v="OPS71470NLSUND          "/>
        <s v="OPS71470NS20BE          "/>
        <s v="OPS71470NSDANA          "/>
        <s v="OPS71470NSEAST          "/>
        <s v="OPS71470NSFRES          "/>
        <s v="OPS71470NSHATT          "/>
        <s v="OPS71470NSHONO          "/>
        <s v="OPS71470NSLAKE          "/>
        <s v="OPS71470NSMCMI          "/>
        <s v="OPS71470NSSEAS          "/>
        <s v="OPS71470OB              "/>
        <s v="OPS71470ON20BE          "/>
        <s v="OPS71470ONCAND          "/>
        <s v="OPS71470ONCELI          "/>
        <s v="OPS71470ONCROO          "/>
        <s v="OPS71470ONDANA          "/>
        <s v="OPS71470ONDESO          "/>
        <s v="OPS71470ONEAST          "/>
        <s v="OPS71470ONFRES          "/>
        <s v="OPS71470ONHATT          "/>
        <s v="OPS71470ONHONO          "/>
        <s v="OPS71470ONLAKE          "/>
        <s v="OPS71470ONMCMI          "/>
        <s v="OPS71470ONPRIV          "/>
        <s v="OPS71470ONRIDE          "/>
        <s v="OPS71470ONSEAS          "/>
        <s v="OPS71470ONSUND          "/>
        <s v="OPS71470PEHONO          "/>
        <s v="OPS71470PELAKE          "/>
        <s v="OPS71470QC20BE          "/>
        <s v="OPS71470QCDANA          "/>
        <s v="OPS71470QCEAST          "/>
        <s v="OPS71470QCFRES          "/>
        <s v="OPS71470QCHONO          "/>
        <s v="OPS71470QCMCMI          "/>
        <s v="OPS71470RO              "/>
        <s v="OPS71470SK20BE          "/>
        <s v="OPS71470SKHATT          "/>
        <s v="OPS71470SKHONO          "/>
        <s v="OPS71470SKLAKE          "/>
        <s v="OPS71470SKSUND          "/>
        <s v="OPS71470WIEAST          "/>
        <s v="OPS71470WT20BE          "/>
        <s v="OPS71470WTDANA          "/>
        <s v="OPS71470WTEAST          "/>
        <s v="OPS71470WTFRES          "/>
        <s v="OPS71470WTHATT          "/>
        <s v="OPS71470WTHONO          "/>
        <s v="OPS71470WTLAKE          "/>
        <s v="OPS71470WTMCMI          "/>
        <s v="OPS71470WTRIDE          "/>
        <s v="OPS71470WTSEAS          "/>
        <s v="OPS71480LI20BE          "/>
        <s v="OPS71480LIBENC          "/>
        <s v="OPS71480LICAND          "/>
        <s v="OPS71480LICELI          "/>
        <s v="OPS71480LICROO          "/>
        <s v="OPS71480LIDANA          "/>
        <s v="OPS71480LIDESO          "/>
        <s v="OPS71480LIEAST          "/>
        <s v="OPS71480LIFRES          "/>
        <s v="OPS71480LIHATT          "/>
        <s v="OPS71480LIHONO          "/>
        <s v="OPS71480LILAKE          "/>
        <s v="OPS71480LIMCMI          "/>
        <s v="OPS71480LIPRIV          "/>
        <s v="OPS71480LIRIDE          "/>
        <s v="OPS71480LISEAS          "/>
        <s v="OPS71480LISUND          "/>
        <s v="EXE71700                "/>
        <s v="EXE71700OT              "/>
        <s v="EXE71705                "/>
        <s v="EXE71710                "/>
        <s v="EXE71715                "/>
        <s v="EXE71720                "/>
        <s v="EXE71725                "/>
        <s v="EXE71735                "/>
        <s v="EXE71740                "/>
        <s v="EXE71745                "/>
        <s v="EXE71750                "/>
        <s v="EXE71900                "/>
        <s v="EXE71910                "/>
        <s v="EXE82000                "/>
        <s v="EXE82010                "/>
        <s v="EXE82020                "/>
        <s v="EXE82030                "/>
        <s v="MKT71700                "/>
        <s v="MKT71700RO              "/>
        <s v="MKT71705                "/>
        <s v="MKT71710                "/>
        <s v="MKT71715                "/>
        <s v="MKT71725                "/>
        <s v="MKT71735                "/>
        <s v="MKT71740                "/>
        <s v="MKT71900                "/>
        <s v="OPS71700FM              "/>
        <s v="OPS71700LI              "/>
        <s v="OPS71700RO              "/>
        <s v="OPS71705LI              "/>
        <s v="OPS71705RO              "/>
        <s v="OPS71710LI              "/>
        <s v="OPS71710RO              "/>
        <s v="OPS71715LI              "/>
        <s v="OPS71715RO              "/>
        <s v="OPS71720LI              "/>
        <s v="OPS71720RO              "/>
        <s v="OPS71725LI              "/>
        <s v="OPS71725RO              "/>
        <s v="OPS71735LI              "/>
        <s v="OPS71735NS              "/>
        <s v="OPS71735RO              "/>
        <s v="OPS71740LI              "/>
        <s v="OPS71740RO              "/>
        <s v="OPS71900LI              "/>
        <s v="OPS71900RO              "/>
        <s v="OPS71910LI              "/>
        <s v="OPS71910RO              "/>
        <s v="OPS72150LI              "/>
        <s v="OPS72150NS              "/>
        <s v="EXE71150                "/>
        <s v="EXE71165                "/>
        <s v="EXE71360                "/>
        <s v="EXE82050                "/>
        <s v="EXE71330                "/>
        <s v="EXE71430                "/>
        <s v="EXE71470                "/>
        <s v="EXE71490                "/>
        <s v="EXE71260                "/>
        <s v="EXE71270                "/>
        <s v="EXE71280                "/>
        <s v="EXE71290                "/>
        <s v="EXE71310                "/>
        <s v="EXE71410                "/>
        <s v="EXE71420                "/>
        <s v="EXE71450                "/>
        <s v="EXE71485                "/>
        <s v="EXE71500                "/>
        <s v="EXE82040                "/>
        <s v="FIN87810                "/>
        <s v="FIN87820                "/>
        <s v="FIN87825                "/>
        <s v="FIN87830                "/>
        <s v="FIN87835                "/>
        <s v="MKT71420                "/>
        <s v="MKT71450                "/>
        <s v="MKT71500                "/>
        <s v="MKT71950                "/>
        <s v="OPS61390RO              "/>
        <s v="OPS71420LI              "/>
        <s v="OPS71450                "/>
        <s v="OPS71450LI              "/>
        <s v="OPS71500                "/>
        <s v="OPS71500LI              "/>
        <s v="OPS71590PR              "/>
        <s v="OPS71820RO              "/>
        <s v="OPS71830                "/>
        <s v="OPS71950LI              "/>
        <s v="OPS72100LI              "/>
        <s v="OPS72100NS              "/>
        <s v="OPS72110LI              "/>
        <s v="OPS72110NS              "/>
        <s v="OPS89998                "/>
        <s v="OPS89999                "/>
        <s v="EXE71000                "/>
        <s v="EXE71300                "/>
        <s v="EXE71380                "/>
        <s v="EXE71385                "/>
        <s v="EXE71390                "/>
        <s v="EXE71370                "/>
        <s v="EXE71440                "/>
        <s v="EXE71480                "/>
        <s v="EXE71250                "/>
        <s v="EXE71460                "/>
        <s v="MKT71250                "/>
        <s v="MKT81410ON              "/>
        <s v="OPS71250LI              "/>
        <s v="OPS71250PR              "/>
        <s v="OPS71460LI              "/>
        <s v="OPS72280LI              "/>
        <s v="OPS72280NS              "/>
        <s v="OPS72290LI              "/>
        <s v="OPS72290NS              "/>
        <s v="EXE71340                "/>
        <s v="EXE71350                "/>
        <s v="EXE71940                "/>
        <s v="OPS71940RO              "/>
        <s v="RET71340                "/>
        <s v="RET71350                "/>
        <s v="COG61270ABDANA          "/>
        <s v="COG61270ABHATT          "/>
        <s v="COG61270ABHONO          "/>
        <s v="COG61270ABMCMI          "/>
        <s v="COG61270ABTZAF          "/>
        <s v="COG61270AGDANA          "/>
        <s v="COG61270AGHATT          "/>
        <s v="COG61270AGHONO          "/>
        <s v="COG61270AGMCMI          "/>
        <s v="COG61270AGTZAF          "/>
        <s v="COG61270AIDANA          "/>
        <s v="COG61270AIHONO          "/>
        <s v="COG61270AIMCMI          "/>
        <s v="COG61270AITZAF          "/>
        <s v="COG61270BCDANA          "/>
        <s v="COG61270BCHATT          "/>
        <s v="COG61270BCHONO          "/>
        <s v="COG61270BCMCMI          "/>
        <s v="COG61270BCTZAF          "/>
        <s v="COG61270DUDANA          "/>
        <s v="COG61270DUHATT          "/>
        <s v="COG61270DUHONO          "/>
        <s v="COG61270DUMCMI          "/>
        <s v="COG61270DUTZAF          "/>
        <s v="COG61270EXDANA          "/>
        <s v="COG61270EXHATT          "/>
        <s v="COG61270EXHONO          "/>
        <s v="COG61270EXMCMI          "/>
        <s v="COG61270EXTZAF          "/>
        <s v="COG61270FMDANA          "/>
        <s v="COG61270FMHATT          "/>
        <s v="COG61270FMHONO          "/>
        <s v="COG61270FMMCMI          "/>
        <s v="COG61270FMTZAF          "/>
        <s v="COG61270INDANA          "/>
        <s v="COG61270INHATT          "/>
        <s v="COG61270INHONO          "/>
        <s v="COG61270INMCMI          "/>
        <s v="COG61270INTZAF          "/>
        <s v="COG61270LIDANA          "/>
        <s v="COG61270LIHATT          "/>
        <s v="COG61270LIHONO          "/>
        <s v="COG61270LIMCMI          "/>
        <s v="COG61270LITZAF          "/>
        <s v="COG61270MADANA          "/>
        <s v="COG61270MAHATT          "/>
        <s v="COG61270MAHONO          "/>
        <s v="COG61270MAMCMI          "/>
        <s v="COG61270MATZAF          "/>
        <s v="COG61270NBDANA          "/>
        <s v="COG61270NBHATT          "/>
        <s v="COG61270NBHONO          "/>
        <s v="COG61270NBMCMI          "/>
        <s v="COG61270NBTZAF          "/>
        <s v="COG61270NLDANA          "/>
        <s v="COG61270NLHATT          "/>
        <s v="COG61270NLHONO          "/>
        <s v="COG61270NLMCMI          "/>
        <s v="COG61270NLTZAF          "/>
        <s v="COG61270NSDANA          "/>
        <s v="COG61270NSHATT          "/>
        <s v="COG61270NSHONO          "/>
        <s v="COG61270NSMCMI          "/>
        <s v="COG61270NSTZAF          "/>
        <s v="COG61270OBDANA          "/>
        <s v="COG61270OBHATT          "/>
        <s v="COG61270OBHONO          "/>
        <s v="COG61270OBMCMI          "/>
        <s v="COG61270OBTZAF          "/>
        <s v="COG61270ONDANA          "/>
        <s v="COG61270ONHATT          "/>
        <s v="COG61270ONHONO          "/>
        <s v="COG61270ONMCMI          "/>
        <s v="COG61270ONTZAF          "/>
        <s v="COG61270PEDANA          "/>
        <s v="COG61270PEHATT          "/>
        <s v="COG61270PEHONO          "/>
        <s v="COG61270PEMCMI          "/>
        <s v="COG61270PETZAF          "/>
        <s v="COG61270QCDANA          "/>
        <s v="COG61270QCHATT          "/>
        <s v="COG61270QCHONO          "/>
        <s v="COG61270QCMCMI          "/>
        <s v="COG61270QCTZAF          "/>
        <s v="COG61270RODANA          "/>
        <s v="COG61270ROHATT          "/>
        <s v="COG61270ROHONO          "/>
        <s v="COG61270ROMCMI          "/>
        <s v="COG61270ROTZAF          "/>
        <s v="COG61270SATZAF          "/>
        <s v="COG61270SKDANA          "/>
        <s v="COG61270SKHATT          "/>
        <s v="COG61270SKHONO          "/>
        <s v="COG61270SKMCMI          "/>
        <s v="COG61270SKTZAF          "/>
        <s v="COG61270WIDANA          "/>
        <s v="COG61270WIHATT          "/>
        <s v="COG61270WIHONO          "/>
        <s v="COG61270WIMCMI          "/>
        <s v="COG61270WITZAF          "/>
        <s v="COG61270WTDANA          "/>
        <s v="COG61270WTHATT          "/>
        <s v="COG61270WTHONO          "/>
        <s v="COG61270WTMCMI          "/>
        <s v="COG61270WTTZAF          "/>
        <s v="COG61110AB20BE          "/>
        <s v="COG61110ABBENC          "/>
        <s v="COG61110ABCAND          "/>
        <s v="COG61110ABCELI          "/>
        <s v="COG61110ABCROO          "/>
        <s v="COG61110ABDANA          "/>
        <s v="COG61110ABDESO          "/>
        <s v="COG61110ABEAST          "/>
        <s v="COG61110ABFRES          "/>
        <s v="COG61110ABHATT          "/>
        <s v="COG61110ABHONO          "/>
        <s v="COG61110ABLAKE          "/>
        <s v="COG61110ABMCMI          "/>
        <s v="COG61110ABPRIV          "/>
        <s v="COG61110ABRIDE          "/>
        <s v="COG61110ABSEAS          "/>
        <s v="COG61110ABSUND          "/>
        <s v="COG61110ABTZAF          "/>
        <s v="COG61110BC20BE          "/>
        <s v="COG61110BCBENC          "/>
        <s v="COG61110BCCAND          "/>
        <s v="COG61110BCCELI          "/>
        <s v="COG61110BCCROO          "/>
        <s v="COG61110BCDANA          "/>
        <s v="COG61110BCDESO          "/>
        <s v="COG61110BCEAST          "/>
        <s v="COG61110BCFRES          "/>
        <s v="COG61110BCHATT          "/>
        <s v="COG61110BCHONO          "/>
        <s v="COG61110BCLAKE          "/>
        <s v="COG61110BCMCMI          "/>
        <s v="COG61110BCPRIV          "/>
        <s v="COG61110BCRIDE          "/>
        <s v="COG61110BCSEAS          "/>
        <s v="COG61110BCSUND          "/>
        <s v="COG61110BCTZAF          "/>
        <s v="COG61110MA20BE          "/>
        <s v="COG61110MABENC          "/>
        <s v="COG61110MACAND          "/>
        <s v="COG61110MACELI          "/>
        <s v="COG61110MACROO          "/>
        <s v="COG61110MADANA          "/>
        <s v="COG61110MADESO          "/>
        <s v="COG61110MAEAST          "/>
        <s v="COG61110MAFRES          "/>
        <s v="COG61110MAHATT          "/>
        <s v="COG61110MAHONO          "/>
        <s v="COG61110MALAKE          "/>
        <s v="COG61110MAMCMI          "/>
        <s v="COG61110MAPRIV          "/>
        <s v="COG61110MARIDE          "/>
        <s v="COG61110MASEAS          "/>
        <s v="COG61110MASUND          "/>
        <s v="COG61110MATZAF          "/>
        <s v="COG61110NB20BE          "/>
        <s v="COG61110NBBENC          "/>
        <s v="COG61110NBCAND          "/>
        <s v="COG61110NBCELI          "/>
        <s v="COG61110NBCROO          "/>
        <s v="COG61110NBDANA          "/>
        <s v="COG61110NBDESO          "/>
        <s v="COG61110NBEAST          "/>
        <s v="COG61110NBFRES          "/>
        <s v="COG61110NBHATT          "/>
        <s v="COG61110NBHONO          "/>
        <s v="COG61110NBLAKE          "/>
        <s v="COG61110NBMCMI          "/>
        <s v="COG61110NBPRIV          "/>
        <s v="COG61110NBRIDE          "/>
        <s v="COG61110NBSEAS          "/>
        <s v="COG61110NBSUND          "/>
        <s v="COG61110NBTZAF          "/>
        <s v="COG61110NL20BE          "/>
        <s v="COG61110NLBENC          "/>
        <s v="COG61110NLCAND          "/>
        <s v="COG61110NLCELI          "/>
        <s v="COG61110NLCROO          "/>
        <s v="COG61110NLDANA          "/>
        <s v="COG61110NLDESO          "/>
        <s v="COG61110NLEAST          "/>
        <s v="COG61110NLFRES          "/>
        <s v="COG61110NLHATT          "/>
        <s v="COG61110NLHONO          "/>
        <s v="COG61110NLLAKE          "/>
        <s v="COG61110NLMCMI          "/>
        <s v="COG61110NLPRIV          "/>
        <s v="COG61110NLRIDE          "/>
        <s v="COG61110NLSEAS          "/>
        <s v="COG61110NLSUND          "/>
        <s v="COG61110NLTZAF          "/>
        <s v="COG61110NS20BE          "/>
        <s v="COG61110NSBENC          "/>
        <s v="COG61110NSCAND          "/>
        <s v="COG61110NSCELI          "/>
        <s v="COG61110NSCROO          "/>
        <s v="COG61110NSDANA          "/>
        <s v="COG61110NSDESO          "/>
        <s v="COG61110NSEAST          "/>
        <s v="COG61110NSFRES          "/>
        <s v="COG61110NSHATT          "/>
        <s v="COG61110NSHONO          "/>
        <s v="COG61110NSLAKE          "/>
        <s v="COG61110NSMCMI          "/>
        <s v="COG61110NSPRIV          "/>
        <s v="COG61110NSRIDE          "/>
        <s v="COG61110NSSEAS          "/>
        <s v="COG61110NSSUND          "/>
        <s v="COG61110NSTZAF          "/>
        <s v="COG61110PE20BE          "/>
        <s v="COG61110PEBENC          "/>
        <s v="COG61110PECAND          "/>
        <s v="COG61110PECELI          "/>
        <s v="COG61110PECROO          "/>
        <s v="COG61110PEDANA          "/>
        <s v="COG61110PEDESO          "/>
        <s v="COG61110PEEAST          "/>
        <s v="COG61110PEFRES          "/>
        <s v="COG61110PEHATT          "/>
        <s v="COG61110PEHONO          "/>
        <s v="COG61110PELAKE          "/>
        <s v="COG61110PEMCMI          "/>
        <s v="COG61110PEPRIV          "/>
        <s v="COG61110PERIDE          "/>
        <s v="COG61110PESEAS          "/>
        <s v="COG61110PESUND          "/>
        <s v="COG61110PETZAF          "/>
        <s v="COG61110QC20BE          "/>
        <s v="COG61110QCDANA          "/>
        <s v="COG61110QCEAST          "/>
        <s v="COG61110QCMCMI          "/>
        <s v="COG61110QCTZAF          "/>
        <s v="COG61110SKLAKE          "/>
        <s v="COG61110SKTZAF          "/>
        <s v="COG61120AB              "/>
        <s v="COG61120AB20BE          "/>
        <s v="COG61120ABBENC          "/>
        <s v="COG61120ABCAND          "/>
        <s v="COG61120ABCELI          "/>
        <s v="COG61120ABCROO          "/>
        <s v="COG61120ABDANA          "/>
        <s v="COG61120ABDESO          "/>
        <s v="COG61120ABEAST          "/>
        <s v="COG61120ABFRES          "/>
        <s v="COG61120ABHATT          "/>
        <s v="COG61120ABHONO          "/>
        <s v="COG61120ABLAKE          "/>
        <s v="COG61120ABMCMI          "/>
        <s v="COG61120ABPRIV          "/>
        <s v="COG61120ABRIDE          "/>
        <s v="COG61120ABSEAS          "/>
        <s v="COG61120ABSUND          "/>
        <s v="COG61120ABTZAF          "/>
        <s v="COG61120MADANA          "/>
        <s v="COG61120MAFRES          "/>
        <s v="COG61120MAHATT          "/>
        <s v="COG61120MAHONO          "/>
        <s v="COG61120MALAKE          "/>
        <s v="COG61120MAMCMI          "/>
        <s v="COG61120MATZAF          "/>
        <s v="COG61130AB20BE          "/>
        <s v="COG61130ABDANA          "/>
        <s v="COG61130ABFRES          "/>
        <s v="COG61130ABHATT          "/>
        <s v="COG61130ABHONO          "/>
        <s v="COG61130ABLAKE          "/>
        <s v="COG61130ABMCMI          "/>
        <s v="COG61130ABRIDE          "/>
        <s v="COG61130ABSUND          "/>
        <s v="COG61130ABTZAF          "/>
        <s v="COG61130MADANA          "/>
        <s v="COG61130MAFRES          "/>
        <s v="COG61130MAHATT          "/>
        <s v="COG61130MALAKE          "/>
        <s v="COG61130MAMCMI          "/>
        <s v="COG61130MATZAF          "/>
        <s v="COG61130SKLAKE          "/>
        <s v="COG61130SKSEAS          "/>
        <s v="COG61130SKSUND          "/>
        <s v="COG61140AB20BE          "/>
        <s v="COG61140ABDANA          "/>
        <s v="COG61140ABEAST          "/>
        <s v="COG61140ABFRES          "/>
        <s v="COG61140ABMCMI          "/>
        <s v="COG61140ABPRIV          "/>
        <s v="COG61140ABRIDE          "/>
        <s v="COG61140ABTZAF          "/>
        <s v="COG61140NS20BE          "/>
        <s v="COG61140NSDANA          "/>
        <s v="COG61140NSDESO          "/>
        <s v="COG61140NSMCMI          "/>
        <s v="COG61140NSTZAF          "/>
        <s v="COG61140SK20BE          "/>
        <s v="COG61140SKDANA          "/>
        <s v="COG61140SKMCMI          "/>
        <s v="COG61140SKPRIV          "/>
        <s v="COG61140SKTZAF          "/>
        <s v="OPS61110ABRIDE          "/>
        <s v="OPS61110BCDANA          "/>
        <s v="OPS61110BCEAST          "/>
        <s v="OPS61110BCMCMI          "/>
        <s v="OPS61110MALAKE          "/>
        <s v="OPS61110MARIDE          "/>
        <s v="OPS61110NBHONO          "/>
        <s v="OPS61110NLEAST          "/>
        <s v="OPS61110ONCELI          "/>
        <s v="OPS61110ONDANA          "/>
        <s v="OPS61110ONMCMI          "/>
        <s v="OPS61110PEHONO          "/>
        <s v="OPS61110PR              "/>
        <s v="OPS61110SKLAKE          "/>
        <s v="OPS61110SKRIDE          "/>
        <s v="OPS71520AG              "/>
        <s v="OPS71520AI              "/>
        <s v="OPS71520DU              "/>
        <s v="OPS71520IN              "/>
        <s v="OPS71520RO              "/>
        <s v="OPS71520WI              "/>
        <s v="OPS71520WT              "/>
        <s v="OPS71920PR              "/>
        <s v="OPS71930PR              "/>
        <s v="OPS71940PR              "/>
        <s v="RET71100                "/>
        <s v="RET71100FM              "/>
        <s v="EXE71400                "/>
        <s v="EXE71810                "/>
        <s v="FIN92125                "/>
        <s v="FIN92255                "/>
        <s v="COG61000OT20BE          "/>
        <s v="COG61000OTBENC          "/>
        <s v="COG61000OTCAND          "/>
        <s v="COG61000OTCELI          "/>
        <s v="COG61000OTCROO          "/>
        <s v="COG61000OTDANA          "/>
        <s v="COG61000OTDESO          "/>
        <s v="COG61000OTEAST          "/>
        <s v="COG61000OTFRES          "/>
        <s v="COG61000OTHATT          "/>
        <s v="COG61000OTHONO          "/>
        <s v="COG61000OTLAKE          "/>
        <s v="COG61000OTMCMI          "/>
        <s v="COG61000OTPRIV          "/>
        <s v="COG61000OTRIDE          "/>
        <s v="COG61000OTSEAS          "/>
        <s v="COG61000OTSUND          "/>
        <s v="COG61000OTTZAF          "/>
        <s v="COG61160BU              "/>
        <s v="COG61160GR              "/>
        <s v="COG61170BU              "/>
        <s v="COG61170OT              "/>
        <s v="COG61190BU              "/>
        <s v="COG61210RO              "/>
        <s v="COG61220RO              "/>
        <s v="COG61230RO              "/>
        <s v="COG61240OT              "/>
        <s v="COG61240RO              "/>
        <s v="COG61290PR              "/>
        <s v="COG61300PR              "/>
        <s v="COG61310PR              "/>
        <s v="COG61330PR              "/>
        <s v="COG61340PR              "/>
        <s v="COG61350PR              "/>
        <s v="COG61370PR              "/>
        <s v="COG61400PR              "/>
        <s v="COG61500VI              "/>
        <s v="COG61510VI              "/>
        <s v="COG61520VI              "/>
        <s v="COG61530VI              "/>
        <s v="COG61540VI              "/>
        <s v="COG61550VI              "/>
        <s v="COG61560VI              "/>
        <s v="COG61570VI              "/>
        <s v="COG61580VI              "/>
        <s v="COG71240                "/>
        <s v="FIN91100                "/>
        <s v="FIN91105                "/>
        <s v="FIN91106                "/>
        <s v="FIN91108                "/>
        <s v="FIN91110                "/>
        <s v="FIN91110VI              "/>
        <s v="FIN91115                "/>
        <s v="FIN91120                "/>
        <s v="FIN91125                "/>
        <s v="FIN91125VI              "/>
        <s v="FIN91130                "/>
        <s v="FIN91135                "/>
        <s v="FIN91140                "/>
        <s v="FIN91145                "/>
        <s v="FIN91145VI              "/>
        <s v="FIN91150                "/>
        <s v="FIN91155                "/>
        <s v="FIN91155VI              "/>
        <s v="FIN91160                "/>
        <s v="FIN91165                "/>
        <s v="FIN91175                "/>
        <s v="FIN91180                "/>
        <s v="FIN91190                "/>
        <s v="FIN91195                "/>
        <s v="FIN91200                "/>
        <s v="FIN91205                "/>
        <s v="PRO91205                "/>
        <s v="PRO91210                "/>
        <s v="PRO91215                "/>
        <s v="PRO91220                "/>
        <s v="PRO91225                "/>
        <s v="PRO91230                "/>
        <s v="PRO91235                "/>
        <s v="RET91240                "/>
        <s v="RET91245                "/>
        <s v="FIN91185                "/>
        <s v="EXE71200                "/>
        <s v="EXE71220                "/>
        <s v="EXE71230                "/>
        <s v="EXE71240                "/>
        <s v="EXE71320                "/>
        <s v="EXE71950                "/>
        <s v="FIN71220                "/>
        <s v="FIN91170                "/>
        <s v="FIN92110                "/>
        <s v="FIN92120                "/>
        <s v="FIN92140                "/>
        <s v="FIN92150                "/>
        <s v="FIN92160                "/>
        <s v="FIN92170                "/>
        <s v="FIN92180                "/>
        <s v="FIN92190                "/>
        <s v="FIN92200                "/>
        <s v="FIN92210                "/>
        <s v="FIN92220                "/>
        <s v="FIN92225                "/>
        <s v="FIN92230                "/>
        <s v="FIN92235                "/>
        <s v="FIN92240                "/>
        <s v="FIN92250                "/>
        <s v="FIN92260                "/>
        <s v="FIN92270                "/>
        <s v="FIN92275                "/>
        <s v="FIN92280                "/>
        <s v="FIN92285                "/>
        <s v="FIN92290                "/>
        <s v="FIN92295                "/>
        <s v="FIN92300                "/>
        <s v="FIN92305                "/>
        <s v="FIN92310                "/>
        <s v="FIN92315                "/>
        <s v="FIN92320                "/>
        <s v="FIN92000                "/>
        <s v="FIN92245                "/>
        <s v="FIN92100                "/>
        <s v="FIN92130                "/>
        <s v="SAL41000OTMADD          "/>
        <s v="SAL41100ROMADD          "/>
        <s v="COG61000OTMADD          "/>
        <s v="COG61100ROMADD          "/>
        <s v="COG61260OTMADD          "/>
        <s v="MKT81450                "/>
        <s v="OPS71480LIDESA          "/>
      </sharedItems>
    </cacheField>
    <cacheField name="NAME" numFmtId="0">
      <sharedItems count="2795">
        <s v="Wine Sales Clearing - Candy Wines                           "/>
        <s v="Wine Sales Clearing - Dan Aykroyd                           "/>
        <s v="Head Office Management Fees - Revenue                       "/>
        <s v="Wine Sales Clearing - 20 Bees                               "/>
        <s v="Wine Sales Clearing - 20 Bees-EUR                           "/>
        <s v="Wine Sales Clearing - 20 Bees-USD                           "/>
        <s v="Wine Sales Clearing - Benchmark                             "/>
        <s v="Wine Sales Clearing - Celine Dion                           "/>
        <s v="Wine Sales Clearing - Celine Dion-USD                       "/>
        <s v="Wine Sales Clearing - Crooked Pine                          "/>
        <s v="Wine Sales Clearing - De Sousa                              "/>
        <s v="Wine Sales Clearing - EastDell                              "/>
        <s v="Wine Sales Clearing - Fresh                                 "/>
        <s v="Wine Sales Clearing - Hat Trick                             "/>
        <s v="Wine Sales Clearing - Honour &amp; Valour                       "/>
        <s v="Wine Sales Clearing - Lakeview                              "/>
        <s v="Wine Sales Clearing - McMichael                             "/>
        <s v="Wine Sales Clearing - Private Label                         "/>
        <s v="Wine Sales Clearing - Private Label-USD                     "/>
        <s v="Wine Sales Clearing - Riders Valley                         "/>
        <s v="Wine Sales Clearing - Seasons                               "/>
        <s v="Wine Sales Clearing - Sundance                              "/>
        <s v="Wine Sales Clearing - Tzafona                               "/>
        <s v="Bottle Deposit Clearing                                     "/>
        <s v="Levy Clearing                                               "/>
        <s v="Patio Wine Sales Clearing                                   "/>
        <s v="AB Wine Sales - 20 Bees                                     "/>
        <s v="AB Wine Sales - Benchmark                                   "/>
        <s v="AB Wine Sales - Candy Wines                                 "/>
        <s v="AB Wine Sales - Celine Dion                                 "/>
        <s v="AB Wine Sales - Dan Aykroyd                                 "/>
        <s v="AB Wine Sales - De Sousa                                    "/>
        <s v="AB Wine Sales - EastDell                                    "/>
        <s v="AB Wine Sales - Fresh                                       "/>
        <s v="AB Wine Sales - Hat Trick                                   "/>
        <s v="AB Wine Sales - Honour &amp; Valour                             "/>
        <s v="AB Wine Sales - Lakeview                                    "/>
        <s v="AB Wine Sales - McMichael                                   "/>
        <s v="AB Wine Sales - Private Label                               "/>
        <s v="AB Wine Sales - Riders Valley                               "/>
        <s v="AB Wine Sales - Seasons                                     "/>
        <s v="AB Wine Sales - Sundance                                    "/>
        <s v="AB Wine Sales - Tzafona                                     "/>
        <s v="Retail Invoiced - Agency Wine Sales - 20 Bees               "/>
        <s v="Retail Invoiced - Agency Wine Sales - Benchmark             "/>
        <s v="Retail Invoiced - Agency Wine Sales - Candy Wines           "/>
        <s v="Retail Invoiced - Agency Wine Sales - Celine Dion           "/>
        <s v="Retail Invoiced - Agency Wine Sales - Crooked Pine          "/>
        <s v="Retail Invoiced - Agency Wine Sales - Dan Aykroyd           "/>
        <s v="Retail Invoiced - Agency Wine Sales - De Sousa              "/>
        <s v="Retail Invoiced - Agency Wine Sales - EastDell              "/>
        <s v="Retail Invoiced - Agency Wine Sales - Fresh                 "/>
        <s v="Retail Invoiced - Agency Wine Sales - Hat Trick             "/>
        <s v="Retail Invoiced - Agency Wine Sales - Honour &amp; Valour       "/>
        <s v="Retail Invoiced - Agency Wine Sales - Lakeview              "/>
        <s v="Retail Invoiced - Agency Wine Sales - McMichael             "/>
        <s v="Retail Invoiced - Agency Wine Sales - Private Label         "/>
        <s v="Retail Invoiced - Agency Wine Sales - Riders Valley         "/>
        <s v="Retail Invoiced - Agency Wine Sales - Seasons               "/>
        <s v="Retail Invoiced - Agency Wine Sales - Sundance              "/>
        <s v="Retail Invoiced - Agency Wine Sales - Tzafona               "/>
        <s v="Airlines Wine Sales - Dan Aykroyd                           "/>
        <s v="Airlines Wine Sales - Honour &amp; Valour                       "/>
        <s v="Airlines Wine Sales - McMichael                             "/>
        <s v="Airlines Wine Sales - Tzafona                               "/>
        <s v="BC Wine Sales - 20 Bees                                     "/>
        <s v="BC Wine Sales - Benchmark                                   "/>
        <s v="BC Wine Sales - Celine Dion                                 "/>
        <s v="BC Wine Sales - Dan Aykroyd                                 "/>
        <s v="BC Wine Sales - EastDell                                    "/>
        <s v="BC Wine Sales - Lakeview                                    "/>
        <s v="BC Wine Sales - McMichael                                   "/>
        <s v="BC Wine Sales - Private Label                               "/>
        <s v="BC Wine Sales - Tzafona                                     "/>
        <s v="Contracts Wine Sales - EastDell                             "/>
        <s v="Duty Free Wine Sales - 20 Bees                              "/>
        <s v="Duty Free Wine Sales - Benchmark                            "/>
        <s v="Duty Free Wine Sales - Celine Dion                          "/>
        <s v="Duty Free Wine Sales - Dan Aykroyd                          "/>
        <s v="Duty Free Wine Sales - De Sousa                             "/>
        <s v="Duty Free Wine Sales - EastDell                             "/>
        <s v="Duty Free Wine Sales - Fresh                                "/>
        <s v="Duty Free Wine Sales - Hat Trick                            "/>
        <s v="Duty Free Wine Sales - Honur &amp; Valour                       "/>
        <s v="Duty Free Wine Sales - Lakeview                             "/>
        <s v="Duty Free Wine Sales - McMichael                            "/>
        <s v="Duty Free Wine Sales - Private Label                        "/>
        <s v="Duty Free Wine Sales - Riders Valley                        "/>
        <s v="Duty Free Wine Sales - Seasons                              "/>
        <s v="Duty Free Wine Sales - Sundance                             "/>
        <s v="Duty Free Wine Sales - Tzafona                              "/>
        <s v="Export Wine Sales - 20 Bees                                 "/>
        <s v="Export Wine Sales - Benchmark                               "/>
        <s v="Export Wine Sales - Candy Wines                             "/>
        <s v="Export Wine Sales - Celine Dion                             "/>
        <s v="Export Wine Sales - Crooked Pine                            "/>
        <s v="Export Wine Sales - Dan Aykroyd                             "/>
        <s v="Export Wine Sales - Daredevil                               "/>
        <s v="Export Wine Sales - De Sousa                                "/>
        <s v="Export Wine Sales - EastDell                                "/>
        <s v="Export Wine Sales - Fresh                                   "/>
        <s v="Export Wine Sales - Hat Trick                               "/>
        <s v="Export Wine Sales - Honour &amp; Valour                         "/>
        <s v="Export Wine Sales - Lakeview                                "/>
        <s v="Export Wine Sales - McMichael                               "/>
        <s v="Export Wine Sales - Private Label                           "/>
        <s v="Export Wine Sales - Riders Valley                           "/>
        <s v="Export Wine Sales - Seasons                                 "/>
        <s v="Export Wine Sales - Sundance                                "/>
        <s v="Export Wine Sales - Tzafona                                 "/>
        <s v="Retail Farmer's Market Sales - 20 Bees                      "/>
        <s v="Retail Farmer's Market Sales - Benchmark                    "/>
        <s v="Retail Farmer's Market Sales - Celine Dion                  "/>
        <s v="Retail Farmer's Market Sales - Dan Aykroyd                  "/>
        <s v="Retail Farmer's Market Sales - De Sousa                     "/>
        <s v="Retail Farmer's Market Sales - EastDell                     "/>
        <s v="Retail Farmer's Market Sales - Fresh                        "/>
        <s v="Retail Farmer's Market Sales - Hat Trick                    "/>
        <s v="Retail Farmer's Market Sales - Honour &amp; Valour              "/>
        <s v="Retail Farmer's Market Sales - Lakeview                     "/>
        <s v="Retail Farmer's Market Sales - McMichael                    "/>
        <s v="Retail Farmer's Market Sales - Private Label                "/>
        <s v="Retail Farmer's Market Sales - Riders Valley                "/>
        <s v="Retail Farmer's Market Sales - Seasons                      "/>
        <s v="Retail Farmer's Market Sales - Sundance                     "/>
        <s v="Retail Farmer's Market Sales - Tzafona                      "/>
        <s v="Retail Invoiced - Wine Sales - 20 Bees                      "/>
        <s v="Retail Invoiced - Wine Sales - Benchmark                    "/>
        <s v="Retail Invoiced - Wine Sales - Candy Wines                  "/>
        <s v="Retail Invoiced - Wine Sales - Celine Dion                  "/>
        <s v="Retail Invoiced - Wine Sales - Crooked Pine                 "/>
        <s v="Retail Invoiced - Wine Sales - Dan Aykroyd                  "/>
        <s v="Retail Invoiced - Wine Sales - De Sousa                     "/>
        <s v="Retail Invoiced - Wine Sales - EastDell                     "/>
        <s v="Retail Invoiced - Wine Sales - Fresh                        "/>
        <s v="Retail Invoiced - Wine Sales - Hat Trick                    "/>
        <s v="Retail Invoiced - Wine Sales - Honour &amp; Valour              "/>
        <s v="Retail Invoiced - Wine Sales - Lakeview                     "/>
        <s v="Retail Invoiced - Wine Sales - McMichael                    "/>
        <s v="Retail Invoiced - Wine Sales - Private Label                "/>
        <s v="Retail Invoiced - Wine Sales - Riders Valley                "/>
        <s v="Retail Invoiced - Wine Sales - Seasons                      "/>
        <s v="Retail Invoiced - Wine Sales - Sundance                     "/>
        <s v="Retail Invoiced - Wine Sales - Tzafona                      "/>
        <s v="Licensee - Wine Sales - 20 Bees                             "/>
        <s v="Licensee - Wine Sales - Benchmark                           "/>
        <s v="Licensee - Wine Sales - Candy Wines                         "/>
        <s v="Licensee - Wine Sales - Celine Dion                         "/>
        <s v="Licensee - Wine Sales - Crooked Wines                       "/>
        <s v="Licensee - Wine Sales - Dan Aykroyd                         "/>
        <s v="Licensee - Wine Sales - De Sousa                            "/>
        <s v="Licensee - Wine Sales - EastDell                            "/>
        <s v="Licensee - Wine Sales - Fresh                               "/>
        <s v="Licensee - Wine Sales - Hat Trick                           "/>
        <s v="Licensee - Wine Sales - Honour &amp; Valour                     "/>
        <s v="Licensee - Wine Sales - Lakeview                            "/>
        <s v="Licensee - Wine Sales - McMichael                           "/>
        <s v="Licensee - Wine Sales - Private Label                       "/>
        <s v="Licensee - Wine Sales - Riders Valley                       "/>
        <s v="Licensee - Wine Sales - Seasons                             "/>
        <s v="Licensee - Wine Sales - Sundance                            "/>
        <s v="Licensee - Wine Sales - Tzafona                             "/>
        <s v="MB Wine Sales - 20 Bees                                     "/>
        <s v="MB Wine Sales - Benchmark                                   "/>
        <s v="MB Wine Sales - Candy Wines                                 "/>
        <s v="MB Wine Sales - Crooked Pine                                "/>
        <s v="MB Wine Sales - Dan Aykroyd                                 "/>
        <s v="MB Wine Sales - De Sousa                                    "/>
        <s v="MB Wine Sales - EastDell                                    "/>
        <s v="MB Wine Sales - Fresh                                       "/>
        <s v="MB Wine Sales - Hat Trick                                   "/>
        <s v="MB Wine Sales - Honour &amp; Valour                             "/>
        <s v="MB Wine Sales - Lakeview                                    "/>
        <s v="MB Wine Sales - McMichael                                   "/>
        <s v="MB Wine Sales - Private Label                               "/>
        <s v="MB Wine Sales - Riders Valley                               "/>
        <s v="MB Wine Sales - Seasons                                     "/>
        <s v="MB Wine Sales - Tzafona                                     "/>
        <s v="NB Wine Sales - 20 Bees                                     "/>
        <s v="NB Wine Sales - Hat Trick                                   "/>
        <s v="NB Wine Sales - Honour &amp; Valour                             "/>
        <s v="NB Wine Sales - Lakeview                                    "/>
        <s v="NB Wine Sales - McMichael                                   "/>
        <s v="NB Wine Sales - Riders Valley                               "/>
        <s v="NB Wine Sales - Tzafona                                     "/>
        <s v="NL Wine Sales - 20 Bees                                     "/>
        <s v="NL Wine Sales - Benchmark                                   "/>
        <s v="NL Wine Sales - Candy Wines                                 "/>
        <s v="NL Wine Sales - Dan Aykroyd                                 "/>
        <s v="NL Wine Sales - De Sousa                                    "/>
        <s v="NL Wine Sales - EastDell                                    "/>
        <s v="NL Wine Sales - Fresh                                       "/>
        <s v="NL Wine Sales - Hat Trick                                   "/>
        <s v="NL Wine Sales - Honour &amp; Valour                             "/>
        <s v="NL Wine Sales - Lakeview                                    "/>
        <s v="NL Wine Sales - McMichael                                   "/>
        <s v="NL Wine Sales - Private Label                               "/>
        <s v="NL Wine Sales - Riders Valley                               "/>
        <s v="NL Wine Sales - Seasons                                     "/>
        <s v="NL Wine Sales - Tzafona                                     "/>
        <s v="NS Wine Sales - 20 Bees                                     "/>
        <s v="NS Wine Sales - Honour &amp; Valour                             "/>
        <s v="NS Wine Sales - McMichael                                   "/>
        <s v="NS Wine Sales - Tzafona                                     "/>
        <s v="Retail Onsite - Bus Tours Wine Sales - 20 Bees              "/>
        <s v="Retail Onsite - Bus Tours Wine Sales - Benchmark            "/>
        <s v="Retail Onsite - Bus Tours Wine Sales - Candy Wines          "/>
        <s v="Retail Onsite - Bus Tours Wine Sales - Celine Dion          "/>
        <s v="Retail Onsite - Bus Tours Wine Sales - Crooked Pine         "/>
        <s v="Retail Onsite - Bus Tours Wine Sales - Dan Aykroyd          "/>
        <s v="Retail Onsite - Bus Tours Wine Sales - De Sousa             "/>
        <s v="Retail Onsite - Bus Tours Wine Sales - EastDell             "/>
        <s v="Retail Onsite - Bus Tours Wine Sales - Fresh                "/>
        <s v="Retail Onsite - Bus Tours Wine Sales - Hat Trick            "/>
        <s v="Retail Onsite - Bus Tours Wine Sales - Honour &amp; Valour      "/>
        <s v="Retail Onsite - Bus Tours Wine Sales - Lakeview             "/>
        <s v="Retail Onsite - Bus Tours Wine Sales - McMichael            "/>
        <s v="Retail Onsite - Bus Tours Wine Sales - Private Label        "/>
        <s v="Retail Onsite - Bus Tours Wine Sales - Riders Valley        "/>
        <s v="Retail Onsite - Bus Tours Wine Sales - Seasons              "/>
        <s v="Retail Onsite - Bus Tours Wine Sales - Sundance             "/>
        <s v="Retail Onsite - Bus Tours Wine Sales - Tzafona              "/>
        <s v="LCBO Wine Sales - 20 Bees                                   "/>
        <s v="LCBO Wine Sales - Benchmark                                 "/>
        <s v="LCBO Wine Sales - Candy Wines                               "/>
        <s v="LCBO Wine Sales - Celine Dion                               "/>
        <s v="LCBO Wine Sales - Crooked Pine                              "/>
        <s v="LCBO Wine Sales - Dan Aykroyd                               "/>
        <s v="LCBO Wine Sales - De Sousa                                  "/>
        <s v="LCBO Wine Sales - EastDell                                  "/>
        <s v="LCBO Wine Sales - Fresh                                     "/>
        <s v="LCBO Wine Sales - Hat Trick                                 "/>
        <s v="LCBO Wine Sales - Honour &amp; Valour                           "/>
        <s v="LCBO Wine Sales - Lakeview                                  "/>
        <s v="LCBO Wine Sales - McMichael                                 "/>
        <s v="LCBO Wine Sales - Private Label                             "/>
        <s v="LCBO Wine Sales - Riders Valley                             "/>
        <s v="LCBO Wine Sales - Seasons                                   "/>
        <s v="LCBO Wine Sales - Sundance                                  "/>
        <s v="LCBO Wine Sales - Tzafona                                   "/>
        <s v="PE Wine Sales - Honour &amp; Valour                             "/>
        <s v="PE Wine Sales - Lakeview                                    "/>
        <s v="QC Wine Sales - 20 Bees                                     "/>
        <s v="QC Wine Sales - Dan Aykroyd                                 "/>
        <s v="QC Wine Sales - EastDell                                    "/>
        <s v="QC Wine Sales - Fresh                                       "/>
        <s v="QC Wine Sales - Honour &amp; Valour                             "/>
        <s v="QC Wine Sales - Lakeview                                    "/>
        <s v="QC Wine Sales - McMichael                                   "/>
        <s v="QC Wine Sales - Tzafona                                     "/>
        <s v="Retail Onsite Wine Sales - 20 Bees                          "/>
        <s v="Retail Onsite Wine Sales - Benchmark                        "/>
        <s v="Retail Onsite Wine Sales - Candy Wines                      "/>
        <s v="Retail Onsite Wine Sales - Celine Dion                      "/>
        <s v="Retail Onsite Wine Sales - Crooked Pine                     "/>
        <s v="Retail Onsite Wine Sales - Dan Aykroyd                      "/>
        <s v="Retail Onsite Wine Sales - De Sousa                         "/>
        <s v="Retail Onsite Wine Sales - EastDell                         "/>
        <s v="Retail Onsite Wine Sales - Fresh                            "/>
        <s v="Retail Onsite Wine Sales - Hat Trick                        "/>
        <s v="Retail Onsite Wine Sales - Honour &amp; Valour                  "/>
        <s v="Retail Onsite Wine Sales - Lakeview                         "/>
        <s v="Retail Onsite Wine Sales - McMichael                        "/>
        <s v="Retail Onsite Wine Sales - Private Label                    "/>
        <s v="Retail Onsite Wine Sales - Riders Valley                    "/>
        <s v="Retail Onsite Wine Sales - Seasons                          "/>
        <s v="Retail Onsite Wine Sales - Sundance                         "/>
        <s v="Retail Onsite Wine Sales - Tzafona                          "/>
        <s v="Sacramental Wine Sales - EastDell                           "/>
        <s v="Sacramental Wine Sales - Tzafona                            "/>
        <s v="SK Wine Sales - 20 Bees                                     "/>
        <s v="SK Wine Sales - Celine Dion                                 "/>
        <s v="SK Wine Sales - Hat Trick                                   "/>
        <s v="SK Wine Sales - Honour &amp; Valour                             "/>
        <s v="SK Wine Sales - Lakeview                                    "/>
        <s v="Retail Invoiced - Wine Club Sales - 20 Bees                 "/>
        <s v="Retail Invoiced - Wine Club Sales - Benchmark               "/>
        <s v="Retail Invoiced - Wine Club Sales - Candy Wines             "/>
        <s v="Retail Invoiced - Wine Club Sales - Celine Dion             "/>
        <s v="Retail Invoiced - Wine Club Sales - Crooked Pine            "/>
        <s v="Retail Invoiced - Wine Club Sales - Dan Aykroyd             "/>
        <s v="Retail Invoiced - Wine Club Sales - De Sousa                "/>
        <s v="Retail Invoiced - Wine Club Sales - EastDell                "/>
        <s v="Retail Invoiced - Wine Club Sales - Fresh                   "/>
        <s v="Retail Invoiced - Wine Club Sales - Hat Trick               "/>
        <s v="Retail Invoiced - Wine Club Sales - Honour &amp; Valour         "/>
        <s v="Retail Invoiced - Wine Club Sales - Lakeview                "/>
        <s v="Retail Invoiced - Wine Club Sales - McMichael               "/>
        <s v="Retail Invoiced - Wine Club Sales - Private Label           "/>
        <s v="Retail Invoiced - Wine Club Sales - Riders Valley           "/>
        <s v="Retail Invoiced - Wine Club Sales - Seasons                 "/>
        <s v="Retail Invoiced - Wine Club Sales - Sundance                "/>
        <s v="Retail Invoiced - Wine Club Sales - Tzafona                 "/>
        <s v="Retail Invoiced - Online Sales - 20 Bees                    "/>
        <s v="Retail Invoiced - Online Sales - Benchmark                  "/>
        <s v="Retail Invoiced - Online Sales - Celine Dion                "/>
        <s v="Retail Invoiced -Online Sales - Dan Aykroyd                 "/>
        <s v="Retail Invoiced - Online Sales - De Sousa                   "/>
        <s v="Retail Invoiced - Online Sales - EastDell                   "/>
        <s v="Retail Invoiced - Online Sales - Fresh                      "/>
        <s v="Retail Invoiced - Online Sales - Hat Trick                  "/>
        <s v="Retail Invoiced - Online Sales - Honour &amp; Valou             "/>
        <s v="Retail Invoiced - Online Sales - Lakeview                   "/>
        <s v="Retail Invoiced -Online Sales - McMichael                   "/>
        <s v="Retail Invoiced - Online Sales - Private Label              "/>
        <s v="Retail Invoiced -Online Sales - Riders Valley               "/>
        <s v="Retail Invoiced - Online Sales - Seasons                    "/>
        <s v="Retail Invoiced -Online Sales - Tzafona                     "/>
        <s v="Licensee Sales - Benchmark Reduction                        "/>
        <s v="Bulk Wine - Customs Clearing Revenue                        "/>
        <s v="Offsite Events                                              "/>
        <s v="Grape Juice Sales                                           "/>
        <s v="Vineyard Grape Revenue                                      "/>
        <s v="Bulk Wine - Sales                                           "/>
        <s v="Retail Invoiced - Delivery Revenue                          "/>
        <s v="Shipping Income                                             "/>
        <s v="Retail Invoiced - Wine Club - Delivery Revenue              "/>
        <s v="Retail Invoiced - Winery to Home - Delivery Revenue         "/>
        <s v="Bulk Wine - Storage Revenue                                 "/>
        <s v="Bulk Wine - Storage Revenue-USD                             "/>
        <s v="Retail Onsite - Patio Wine Sales                            "/>
        <s v="Retail Invoiced - Giftware Sales                            "/>
        <s v="Retail Onsite - Bus Tours Giftware Sales                    "/>
        <s v="Retail Onsite Giftware Sales                                "/>
        <s v="Retail Onsite - Gift Certificates                           "/>
        <s v="Retail Onsite - Tours                                       "/>
        <s v="Retail Onsite - Tastings                                    "/>
        <s v="Retail Onsite - Events                                      "/>
        <s v="Other - Revenue                                             "/>
        <s v="Other - Revenue Production                                  "/>
        <s v="Retail Onsite - Other                                       "/>
        <s v="Co-packing Revenue                                          "/>
        <s v="Filtration Revenue                                          "/>
        <s v="Lab Analysis Revenue                                        "/>
        <s v="Custom Crush/Fermentation Revenue                           "/>
        <s v="Label Printing Revenue                                      "/>
        <s v="Production - Other Revenue                                  "/>
        <s v="Barrel Sales                                                "/>
        <s v="Bottle Sales                                                "/>
        <s v="Capsule Sales                                               "/>
        <s v="Cork Sales                                                  "/>
        <s v="Crop Insurance Proceeds (Including Government Financing)    "/>
        <s v="Boxes / Packaging Sales                                     "/>
        <s v="AB Wine COGS - 20 Bees - Product                            "/>
        <s v="AB Wine COGS - Benchmark - Product                          "/>
        <s v="AB Wine COGS - Candy Wines - Product                        "/>
        <s v="AB Wine COGS - Celine Dion - Product                        "/>
        <s v="AB Wine COGS - Crooked Pine - Product                       "/>
        <s v="AB Wine COGS - Dan Aykroyd - Product                        "/>
        <s v="AB Wine COGS - De Sousa - Product                           "/>
        <s v="AB Wine COGS - EastDell - Product                           "/>
        <s v="AB Wine COGS - Fresh - Product                              "/>
        <s v="AB Wine COGS - Hat Trick - Product                          "/>
        <s v="AB Wine COGS - Honour &amp; Valour - Product                    "/>
        <s v="AB Wine COGS - Lakeview - Product                           "/>
        <s v="AB Wine COGS - McMichael - Product                          "/>
        <s v="AB Wine COGS - Private Label - Product                      "/>
        <s v="AB Wine COGS - Riders Valley - Product                      "/>
        <s v="AB Wine COGS - Seasons - Product                            "/>
        <s v="AB Wine COGS - Sundance - Product                           "/>
        <s v="AB Wine COGS - Tzafona - Product                            "/>
        <s v="Retail Invoiced - Agency Wine COGS - 20 Beees               "/>
        <s v="Retail Invoiced - Agency Wine COGS - Benchmark              "/>
        <s v="Retail Invoiced - Agency Wine COGS - Candy Wines            "/>
        <s v="Retail Invoiced - Agency Wine COGS - Celine Dion            "/>
        <s v="Retail Invoiced - Agency Wine COGS - Crooked Pine           "/>
        <s v="Retail Invoiced - Agency Wine COGS - Dan Aykroyd            "/>
        <s v="Retail Invoiced - Agency Wine COGS - De Sousa               "/>
        <s v="Retail Invoiced - Agency Wine COGS - EastDell               "/>
        <s v="Retail Invoiced - Agency Wine COGS - Fresh                  "/>
        <s v="Retail Invoiced - Agency Wine COGS - Hat Trick              "/>
        <s v="Retail Invoiced - Agency Wine COGS - Honour &amp; Valour        "/>
        <s v="Retail Invoiced - Agency Wine COGS - Lakeview               "/>
        <s v="Retail Invoiced - Agency Wine COGS - McMichael              "/>
        <s v="Retail Invoiced - Agency Wine COGS - Private Label          "/>
        <s v="Retail Invoiced - Agency Wine COGS - Riders Valley          "/>
        <s v="Retail Invoiced - Agency Wine COGS - Seasons                "/>
        <s v="Retail Invoiced - Agency Wine COGS - Sundance               "/>
        <s v="Retail Invoiced - Agency Wine COGS - Tzafona                "/>
        <s v="Airlines Wine COGS - Dan Aykroyd                            "/>
        <s v="Airlines Wine COGS - Honour &amp; Valour                        "/>
        <s v="Airlines - Wine Sales COGS - McMichael                      "/>
        <s v="Airlines - Wine Sales COGS - Tzafona                        "/>
        <s v="BC Wine COGS - 20 Bees - Product                            "/>
        <s v="BC Wine COGS - Benchmark - Product                          "/>
        <s v="BC Wine COGS - Candy Wines - Product                        "/>
        <s v="BC Wine COGS - Celine Dion - Product                        "/>
        <s v="BC Wine COGS - Crooked Pine - Product                       "/>
        <s v="BC Wine COGS - Dan Aykroyd  - Product                       "/>
        <s v="BC Wine COGS - De Sousa - Product                           "/>
        <s v="BC Wine COGS - EastDell - Product                           "/>
        <s v="BC Wine COGS - Fresh - Product                              "/>
        <s v="BC Wine COGS - Hat Trick - Product                          "/>
        <s v="BC Wine COGS - Honour &amp; Valour - Product                    "/>
        <s v="BC Wine COGS - Lakeview - Product                           "/>
        <s v="BC Wine COGS - McMichael - Product                          "/>
        <s v="BC Wine COGS - Private Label - Product                      "/>
        <s v="BC Wine COGS - Riders Valley - Product                      "/>
        <s v="BC Wine COGS - Seasons - Product                            "/>
        <s v="BC Wine COGS - Sundance - Product                           "/>
        <s v="BC Wine COGS - Tzafona - Product                            "/>
        <s v="Contracts Wine COGS - EastDell                              "/>
        <s v="Duty Free Wine COGS - 20 Bees                               "/>
        <s v="Duty Free Wine COGS - Benchmark                             "/>
        <s v="Duty Free Wine COGS - Candy Wines                           "/>
        <s v="Duty Free Wine COGS - Celine Dion                           "/>
        <s v="Duty Free Wine COGS - Crooked Pine                          "/>
        <s v="Duty Free Wine COGS - Dan Aykroyd                           "/>
        <s v="Duty Free Wine COGS - De Sousa                              "/>
        <s v="Duty Free Wine COGS - EastDell                              "/>
        <s v="Duty Free Wine COGS - Fresh                                 "/>
        <s v="Duty Free Wine COGS - Hat Trick                             "/>
        <s v="Duty Free Wine COGS - Honour &amp; Valour                       "/>
        <s v="Duty Free Wine COGS - Lakeview                              "/>
        <s v="Duty Free Wine COGS - McMichael                             "/>
        <s v="Duty Free Wine COGS - Private Label                         "/>
        <s v="Duty Free Wine COGS - Riders Valley                         "/>
        <s v="Duty Free Wine COGS - Seasons                               "/>
        <s v="Duty Free Wine COGS - Sundance                              "/>
        <s v="Duty Free Wine COGS - Tzafona                               "/>
        <s v="Export Wine COGS - 20 Bees                                  "/>
        <s v="Export Wine COGS - Benchmark                                "/>
        <s v="Export Wine COGS - Candy Wines                              "/>
        <s v="Export Wine COGS - Celine Dion                              "/>
        <s v="Export Wine COGS - Crooked Pine                             "/>
        <s v="Export Wine COGS - Dan Aykroyd                              "/>
        <s v="Export Wine COGS - De Sousa                                 "/>
        <s v="Export Wine COGS - EastDell                                 "/>
        <s v="Export Wine COGS - Fresh                                    "/>
        <s v="Export Wine COGS - Hat Trick                                "/>
        <s v="Export Wine COGS - Honour &amp; Valour                          "/>
        <s v="Export Wine COGS - Lakeview                                 "/>
        <s v="Export Wine COGS - McMichael                                "/>
        <s v="Export Wine COGS - Private Label                            "/>
        <s v="Export Wine COGS - Riders Valley                            "/>
        <s v="Export Wine COGS - Seasons                                  "/>
        <s v="Export Wine COGS - Sundance                                 "/>
        <s v="Export Wine COGS - Tzafona                                  "/>
        <s v="Retail Onsite - Farmers Market COGS - 20 Bees               "/>
        <s v="Retail Onsite - Farmers Market COGS - Benchmark             "/>
        <s v="Retail Onsite - Farmers Market COGS - Candy Wines           "/>
        <s v="Retail Onsite - Farmers Market COGS - Celine Dion           "/>
        <s v="Retail Onsite - Farmers Market COGS - Crooked Pine          "/>
        <s v="Retail Onsite - Farmers Market COGS - Dan Aykroyd           "/>
        <s v="Retail Onsite - Farmers Market COGS - De Sousa              "/>
        <s v="Retail Onsite - Farmers Market COGS - EastDell              "/>
        <s v="Retail Onsite - Farmers Market COGS - Fresh                 "/>
        <s v="Retail Onsite - Farmers Market COGS - Hat Trick             "/>
        <s v="Retail Onsite - Farmers Market COGS - Honour &amp; Valour       "/>
        <s v="Retail Onsite - Farmers Market COGS - Lakeview              "/>
        <s v="Retail Onsite - Farmers Market COGS - McMichael             "/>
        <s v="Retail Onsite - Farmers Market COGS - Private Label         "/>
        <s v="Retail Onsite - Farmers Market COGS - Riders Valley         "/>
        <s v="Retail Onsite - Farmers Market COGS - Seasons               "/>
        <s v="Retail Onsite - Farmers Market COGS - Sundance              "/>
        <s v="Retail Onsite - Farmers Market COGS - Tzafona               "/>
        <s v="Retail Invoiced - Wine COGS - 20 Bees                       "/>
        <s v="Retail Invoiced - Wine COGS - Benchmark                     "/>
        <s v="Retail Invoiced - Wine COGS - Candy Wines                   "/>
        <s v="Retail Invoiced - Wine COGS - Celine Dion                   "/>
        <s v="Retail Invoiced - Wine COGS - Crooked Pine                  "/>
        <s v="Retail Invoiced - Wine COGS - Dan Aykroyd                   "/>
        <s v="Retail Invoiced - Wine COGS - De Sousa                      "/>
        <s v="Retail Invoiced - Wine COGS - EastDell                      "/>
        <s v="Retail Invoiced - Wine COGS - Fresh                         "/>
        <s v="Retail Invoiced - Wine COGS - Hat Trick                     "/>
        <s v="Retail Invoiced - Wine COGS - Honour &amp; Valour               "/>
        <s v="Retail Invoiced - Wine COGS - Lakeview                      "/>
        <s v="Retail Invoiced - Wine COGS - McMichael                     "/>
        <s v="Retail Invoiced - Wine COGS - Private Label                 "/>
        <s v="Retail Invoiced - Wine COGS - Riders Valley                 "/>
        <s v="Retail Invoiced - Wine COGS - Seasons                       "/>
        <s v="Retail Invoiced - Wine COGS - Sundance                      "/>
        <s v="Retail Invoiced - Wine COGS - Tzafona                       "/>
        <s v="Licensee - Wine COGS - 20 Bees                              "/>
        <s v="Licensee - Wine COGS - Benchmark                            "/>
        <s v="Licensee - Wine COGS - Candy Wines                          "/>
        <s v="Licensee - Wine COGS - Celine Dion                          "/>
        <s v="Licensee - Wine COGS - Crooked Pine                         "/>
        <s v="Licensee - Wine COGS - Dan Aykroyd                          "/>
        <s v="Licensee - Wine COGS - De Sousa                             "/>
        <s v="Licensee - Wine COGS - EastDell                             "/>
        <s v="Licensee - Wine COGS - Fresh                                "/>
        <s v="Licensee - Wine COGS - Hat Trick                            "/>
        <s v="Licensee - Wine COGS - Honour &amp; Valour                      "/>
        <s v="Licensee - Wine COGS - Lakeview                             "/>
        <s v="Licensee - Wine COGS - McMichael                            "/>
        <s v="Licensee - Wine COGS - Private Label                        "/>
        <s v="Licensee - Wine COGS - Riders Valley                        "/>
        <s v="Licensee - Wine COGS - Seasons                              "/>
        <s v="Licensee - Wine COGS - Sundance                             "/>
        <s v="Licensee - Wine COGS - Tzafona                              "/>
        <s v="MB Wine COGS - 20 Bees - Product                            "/>
        <s v="MB Wine COGS - Benchmark - Product                          "/>
        <s v="MB Wine COGS - Candy Wines - Product                        "/>
        <s v="MB Wine COGS - Celine Dion - Product                        "/>
        <s v="MB Wine COGS - Crooked Pine - Product                       "/>
        <s v="MB Wine COGS - Dan Aykroyd - Product                        "/>
        <s v="MB Wine COGS - De Sousa - Product                           "/>
        <s v="MB Wine COGS - EastDell - Product                           "/>
        <s v="MB Wine COGS - Fresh - Product                              "/>
        <s v="MB Wine COGS - Hat Trick - Product                          "/>
        <s v="MB Wine COGS - Honour &amp; Valour - Product                    "/>
        <s v="MB Wine COGS - Lakeview - Product                           "/>
        <s v="MB Wine COGS - McMichael - Product                          "/>
        <s v="MB Wine COGS - Private Label - Product                      "/>
        <s v="MB Wine COGS - Riders Valley - Product                      "/>
        <s v="MB Wine COGS - Seasons - Product                            "/>
        <s v="MB Wine COGS - Sundance - Product                           "/>
        <s v="MB Wine COGS - Tzafona - Product                            "/>
        <s v="NB Wine COGS - 20 Bees - Product                            "/>
        <s v="NB Wine COGS - Benchmark - Product                          "/>
        <s v="NB Wine COGS - Candy Wines - Product                        "/>
        <s v="NB Wine COGS - Celine Dion - Product                        "/>
        <s v="NB Wine COGS - Crooked Pine - Product                       "/>
        <s v="NB Wine COGS - Dan Aykroyd - Product                        "/>
        <s v="NB Wine COGS - De Sousa - Product                           "/>
        <s v="NB Wine COGS - EastDell - Product                           "/>
        <s v="NB Wine COGS - Fresh - Product                              "/>
        <s v="NB Wine COGS - Hat Trick - Product                          "/>
        <s v="NB Wine COGS - Honour &amp; Valour - Product                    "/>
        <s v="NB Wine COGS - Lakeview - Product                           "/>
        <s v="NB Wine COGS - McMichael - Product                          "/>
        <s v="NB Wine COGS - Private Label - Product                      "/>
        <s v="NB Wine COGS - Riders Valley - Product                      "/>
        <s v="NB Wine COGS - Seasons - Product                            "/>
        <s v="NB Wine COGS - Sundance - Product                           "/>
        <s v="NB Wine COGS - Tzafona - Product                            "/>
        <s v="NL Wine COGS - 20 Bees - Product                            "/>
        <s v="NL Wine COGS - Benchmark - Product                          "/>
        <s v="NL Wine COGS - Candy Wines - Product                        "/>
        <s v="NL Wine COGS - Celine Dion - Product                        "/>
        <s v="NL Wine COGS - Crooked Pine - Product                       "/>
        <s v="NL Wine COGS - Dan Aykroyd - Product                        "/>
        <s v="NL Wine COGS - De Sousa - Product                           "/>
        <s v="NL Wine COGS - EastDell - Product                           "/>
        <s v="NL Wine COGS - Fresh - Product                              "/>
        <s v="NL Wine COGS - Hat Trick - Product                          "/>
        <s v="NL Wine COGS - Honour &amp; Valour - Product                    "/>
        <s v="NL Wine COGS - Lakeview - Product                           "/>
        <s v="NL Wine COGS - McMichael - Product                          "/>
        <s v="NL Wine COGS - Private Label - Product                      "/>
        <s v="NL Wine COGS - Riders Valley - Product                      "/>
        <s v="NL Wine COGS - Seasons - Product                            "/>
        <s v="NL Wine COGS - Sundance - Product                           "/>
        <s v="NL Wine COGS - Tzafona - Product                            "/>
        <s v="NS Wine COGS - 20 Bees - Product                            "/>
        <s v="NS Wine COGS - Benchmark - Product                          "/>
        <s v="NS Wine COGS - Candy Wines - Product                        "/>
        <s v="NS Wine COGS - Celine Dion - Product                        "/>
        <s v="NS Wine COGS - Crooked Pine - Product                       "/>
        <s v="NS Wine COGS - Dan Aykroyd - Product                        "/>
        <s v="NS Wine COGS - De Sousa - Product                           "/>
        <s v="NS Wine COGS - EastDell - Product                           "/>
        <s v="NS Wine COGS - Fresh - Product                              "/>
        <s v="NS Wine COGS - Hat Trick - Product                          "/>
        <s v="NS Wine COGS - Honour &amp; Valour - Product                    "/>
        <s v="NS Wine COGS - Lakeview - Product                           "/>
        <s v="NS Wine COGS - McMichael - Product                          "/>
        <s v="NS Wine COGS - Private Label - Product                      "/>
        <s v="NS Wine COGS - Riders Valley - Product                      "/>
        <s v="NS Wine COGS - Seasons - Product                            "/>
        <s v="NS Wine COGS - Sundance - Product                           "/>
        <s v="NS Wine COGS - Tzafona - Product                            "/>
        <s v="Retail Onsite - Bus Tours Wine COGS - 20 Bees               "/>
        <s v="Retail Onsite - Bus Tours Wine COGS - Benchmark             "/>
        <s v="Retail Onsite - Bus Tours Wine COGS - Candy Wines           "/>
        <s v="Retail Onsite - Bus Tours Wine COGS - Celine Dion           "/>
        <s v="Retail Onsite - Bus Tours Wine COGS - Crooked Pine          "/>
        <s v="Retail Onsite - Bus Tours Wine COGS - Dan Aykroyd           "/>
        <s v="Retail Onsite - Bus Tours Wine COGS - De Sousa              "/>
        <s v="Retail Onsite - Bus Tours Wine COGS - EastDell              "/>
        <s v="Retail Onsite - Bus Tours Wine COGS - Fresh                 "/>
        <s v="Retail Onsite - Bus Tours Wine COGS - Hat Trick             "/>
        <s v="Retail Onsite - Bus Tours Wine COGS - Honour &amp; Valour       "/>
        <s v="Retail Onsite - Bus Tours Wine COGS - Lakeview              "/>
        <s v="Retail Onsite - Bus Tours Wine COGS - McMichael             "/>
        <s v="Retail Onsite - Bus Tours Wine COGS - Private Label         "/>
        <s v="Retail Onsite - Bus Tours Wine COGS - Riders Valley         "/>
        <s v="Retail Onsite - Bus Tours Wine COGS - Seasons               "/>
        <s v="Retail Onsite - Bus Tours Wine COGS - Sundance              "/>
        <s v="Retail Onsite - Bus Tours Wine COGS - Tzafona               "/>
        <s v="LCBO Wine COGS - 20 Bees                                    "/>
        <s v="LCBO Wine COGS - Benchmark                                  "/>
        <s v="LCBO Wine COGS - Candy Wines                                "/>
        <s v="LCBO Wine COGS - Celine Dion                                "/>
        <s v="LCBO Wine COGS - Crooked Pine                               "/>
        <s v="LCBO Wine COGS - Dan Aykroyd                                "/>
        <s v="LCBO Wine COGS - De Sousa                                   "/>
        <s v="LCBO Wine COGS - EastDell                                   "/>
        <s v="LCBO Wine COGS - Fresh                                      "/>
        <s v="LCBO Wine COGS - Hat Trick                                  "/>
        <s v="LCBO Wine COGS - Honour &amp; Valour                            "/>
        <s v="LCBO Wine COGS - Lakeview                                   "/>
        <s v="LCBO Wine COGS - McMichael                                  "/>
        <s v="LCBO Wine COGS - Private Label                              "/>
        <s v="LCBO Wine COGS - Riders Valley                              "/>
        <s v="LCBO Wine COGS - Seasons                                    "/>
        <s v="LCBO Wine COGS - Sundance                                   "/>
        <s v="LCBO Wine COGS - Tzafona                                    "/>
        <s v="PE Wine COGS - 20 Bees - Product                            "/>
        <s v="PE Wine COGS - Benchmark - Product                          "/>
        <s v="PE Wine COGS - Candy Wines - Product                        "/>
        <s v="PE Wine COGS - Celine Dion - Product                        "/>
        <s v="PE Wine COGS - Crooked Pine - Product                       "/>
        <s v="PE Wine COGS - Dan Aykroyd - Product                        "/>
        <s v="PE Wine COGS - De Sousa - Product                           "/>
        <s v="PE Wine COGS - EastDell - Product                           "/>
        <s v="PE Wine COGS - Fresh - Product                              "/>
        <s v="PE Wine COGS - Hat Trick - Product                          "/>
        <s v="PE Wine COGS - Honour &amp; Valour - Product                    "/>
        <s v="PE Wine COGS - Lakeview - Product                           "/>
        <s v="PE Wine COGS - McMichael - Product                          "/>
        <s v="PE Wine COGS - Private Label - Product                      "/>
        <s v="PE Wine COGS - Riders Valley - Product                      "/>
        <s v="PE Wine COGS - Seasons - Product                            "/>
        <s v="PE Wine COGS - Sundance - Product                           "/>
        <s v="PE Wine COGS - Tzafona - Product                            "/>
        <s v="QC Wine COGS - 20 Bees - Product                            "/>
        <s v="QC Wine COGS - Benchmark - Product                          "/>
        <s v="QC Wine COGS - Candy Wines - Product                        "/>
        <s v="QC Wine COGS - Celine Dion - Product                        "/>
        <s v="QC Wine COGS - Crooked Pine - Product                       "/>
        <s v="QC Wine COGS - Dan Aykroyd - Product                        "/>
        <s v="QC Wine COGS - De Sousa - Product                           "/>
        <s v="QC Wine COGS - EastDell - Product                           "/>
        <s v="QC Wine COGS - Fresh - Product                              "/>
        <s v="QC Wine COGS - Hat Trick - Product                          "/>
        <s v="QC Wine COGS - Honour &amp; Valour - Product                    "/>
        <s v="QC Wine COGS - Lakeview - Product                           "/>
        <s v="QC Wine COGS - McMichael - Product                          "/>
        <s v="QC Wine COGS - Private Label - Product                      "/>
        <s v="QC Wine COGS - Riders Valley - Product                      "/>
        <s v="QC Wine COGS - Seasons - Product                            "/>
        <s v="QC Wine COGS - Sundance - Product                           "/>
        <s v="QC Wine COGS - Tzafona - Product                            "/>
        <s v="Retail Onsite Wine COGS - 20 Bees                           "/>
        <s v="Retail Onsite Wine COGS - Benchmark                         "/>
        <s v="Retail Onsite Wine COGS - Candy Wines                       "/>
        <s v="Retail Onsite Wine COGS - Celine Dion                       "/>
        <s v="Retail Onsite Wine COGS - Crooked Pine                      "/>
        <s v="Retail Onsite Wine COGS - Dan Aykroyd                       "/>
        <s v="Retail Onsite Wine COGS - De Sousa                          "/>
        <s v="Retail Onsite Wine COGS - EastDell                          "/>
        <s v="Retail Onsite Wine COGS - Fresh                             "/>
        <s v="Retail Onsite Wine COGS - Hat Trick                         "/>
        <s v="Retail Onsite Wine COGS - Honour &amp; Valour                   "/>
        <s v="Retail Onsite Wine COGS - Lakeview                          "/>
        <s v="Retail Onsite Wine COGS - McMichael                         "/>
        <s v="Retail Onsite Wine COGS - Private Label                     "/>
        <s v="Retail Onsite Wine COGS - Riders Valley                     "/>
        <s v="Retail Onsite Wine COGS - Seasons                           "/>
        <s v="Retail Onsite Wine COGS - Sundance                          "/>
        <s v="Retail Onsite Wine COGS - Tzafona                           "/>
        <s v="Sacramental Wine COGS - EastDell                            "/>
        <s v="Sacramental Wine COGS - Tzafona                             "/>
        <s v="SK Wine COGS - 20 Bees - Product                            "/>
        <s v="SK Wine COGS - Benchmark - Product                          "/>
        <s v="SK Wine COGS - Candy Wines - Product                        "/>
        <s v="SK Wine COGS - Celine Dion - Product                        "/>
        <s v="SK Wine COGS - Crooked Pine - Product                       "/>
        <s v="SK Wine COGS - Dan Aykroyd - Product                        "/>
        <s v="SK Wine COGS - De Sousa - Product                           "/>
        <s v="SK Wine COGS - EastDell - Product                           "/>
        <s v="SK Wine COGS - Fresh - Product                              "/>
        <s v="SK Wine COGS - Hat Trick - Product                          "/>
        <s v="SK Wine COGS - Honour &amp; Valour - Product                    "/>
        <s v="SK Wine COGS - Lakeview - Product                           "/>
        <s v="SK Wine COGS - McMichael - Product                          "/>
        <s v="SK Wine COGS - Private Label - Product                      "/>
        <s v="SK Wine COGS - Riders Valley - Product                      "/>
        <s v="SK Wine COGS - Seasons - Product                            "/>
        <s v="SK Wine COGS - Sundance - Product                           "/>
        <s v="SK Wine COGS - Tzafona - Product                            "/>
        <s v="Retail Invoiced - Wine Club Wine COGS - 20 Bees             "/>
        <s v="Retail Invoiced - Wine Club Wine COGS - Benchmark           "/>
        <s v="Retail Invoiced - Wine Club Wine COGS - Candy Wines         "/>
        <s v="Retail Invoiced - Wine Club Wine COGS - Celine Dion         "/>
        <s v="Retail Invoiced - Wine Club Wine COGS - Crooked Pine        "/>
        <s v="Retail Invoiced - Wine Club Wine COGS - Dan Aykroyd         "/>
        <s v="Retail Invoiced - Wine Club Wine COGS - De Sousa            "/>
        <s v="Retail Invoiced - Wine Club Wine COGS - EastDell            "/>
        <s v="Retail Invoiced - Wine Club Wine COGS - Fresh               "/>
        <s v="Retail Invoiced - Wine Club Wine COGS - Hat Trick           "/>
        <s v="Retail Invoiced - Wine Club Wine COGS - Honour &amp; Valour     "/>
        <s v="Retail Invoiced - Wine Club Wine COGS - Lakeview            "/>
        <s v="Retail Invoiced - Wine Club Wine COGS - McMichael           "/>
        <s v="Retail Invoiced - Wine Club Wine COGS - Private Label       "/>
        <s v="Retail Invoiced - Wine Club Wine COGS - Riders Valley       "/>
        <s v="Retail Invoiced - Wine Club Wine COGS - Seasons             "/>
        <s v="Retail Invoiced - Wine Club Wine COGS - Sundance            "/>
        <s v="Retail Invoiced - Wine Club Wine COGS - Tzafona             "/>
        <s v="Retail Invoiced - Online COGS - 20 Bees                     "/>
        <s v="Retail Invoiced - Online COGS - Benchmark                   "/>
        <s v="Retail Invoiced - Online COGS - Candy Wines                 "/>
        <s v="Retail Invoiced - Online COGS - Celine Dion                 "/>
        <s v="Retail Invoiced - Online COGS - Crooked Pine                "/>
        <s v="Retail Invoiced - Online COGS - Dan Aykroyd                 "/>
        <s v="Retail Invoiced - Online COGS - De Sousa                    "/>
        <s v="Retail Invoiced - Online COGS - EastDell                    "/>
        <s v="Retail Invoiced - Online COGS - Fresh                       "/>
        <s v="Retail Invoiced - Online COGS - Hat Trick                   "/>
        <s v="Retail Invoiced - Online COGS - Honour &amp; Valour             "/>
        <s v="Retail Invoiced - Online COGS - Lakeview                    "/>
        <s v="Retail Invoiced - Online COGS - McMichael                   "/>
        <s v="Retail Invoiced - Online COGS - Private Label               "/>
        <s v="Retail Invoiced - Online COGS - Riders Valley               "/>
        <s v="Retail Invoiced - Online COGS - Seasons                     "/>
        <s v="Retail Invoiced - Online COGS - Sundance                    "/>
        <s v="Retail Invoiced - Online COGS - Tzafona                     "/>
        <s v="Vineyard COGS - Grape COGS                                  "/>
        <s v="Bulk Wine - Storage COGS                                    "/>
        <s v="Retail Invoiced - Agency Giftware COGS                      "/>
        <s v="Retail Invoiced - Giftware COGS                             "/>
        <s v="Licensee - Giftware COGS                                    "/>
        <s v="Retail Onsite - Bus Tours Giftware COGS                     "/>
        <s v="Retail Onsite - Giftware COGS                               "/>
        <s v="Retail Invoiced - Wine Club Giftware COGS                   "/>
        <s v="Retail Invoiced - Winery to Home Giftware COGS              "/>
        <s v="Events - COGS                                               "/>
        <s v="Inventory Provision                                         "/>
        <s v="Inventory Provision - 20 Bees                               "/>
        <s v="Inventory Provision - Benchmark                             "/>
        <s v="Inventory Provision - Candy Wines                           "/>
        <s v="Inventory Provision - Celine Dion                           "/>
        <s v="Inventory Provision - Crooked Pine                          "/>
        <s v="Inventory Provision - Dan Aykroyd                           "/>
        <s v="Inventory Provision - De Sousa                              "/>
        <s v="Inventory Provision - EastDell                              "/>
        <s v="Inventory Provision - Fresh                                 "/>
        <s v="Inventory Provision - Hat Trick                             "/>
        <s v="Inventory Provision - Honour &amp; Valour                       "/>
        <s v="Inventory Provision - Lakeview                              "/>
        <s v="Inventory Provision - McMichael                             "/>
        <s v="Inventory Provision - Private Label                         "/>
        <s v="Inventory Provision - Riders Valley                         "/>
        <s v="Inventory Provision - Seasons                               "/>
        <s v="Inventory Provision - Sundance                              "/>
        <s v="Inventory Provision - Tzafona                               "/>
        <s v="LCBO - VQA Rebate - 20 Bees                                 "/>
        <s v="LCBO - VQA Rebate - Benchmark                               "/>
        <s v="LCBO - VQA Rebate - Candy Wines                             "/>
        <s v="LCBO - VQA Rebate - Celine Dion                             "/>
        <s v="LCBO - VQA Rebate - Crooked Pine                            "/>
        <s v="LCBO - VQA Rebate - Dan Aykroyd                             "/>
        <s v="LCBO - VQA Rebate - De Sousa                                "/>
        <s v="LCBO - VQA Rebate - EastDell                                "/>
        <s v="LCBO - VQA Rebate - Fresh                                   "/>
        <s v="LCBO - VQA Rebate - Hat Trick                               "/>
        <s v="LCBO - VQA Rebate - Honour &amp; Valour                         "/>
        <s v="LCBO - VQA Rebate - Lakeview                                "/>
        <s v="LCBO - VQA Rebate - McMichael                               "/>
        <s v="LCBO - VQA Rebate - Private Label                           "/>
        <s v="LCBO - VQA Rebate - Riders Valley                           "/>
        <s v="LCBO - VQA Rebate - Seasons                                 "/>
        <s v="LCBO - VQA Rebate - Sundance                                "/>
        <s v="LCBO - VQA Rebate - Tzafona                                 "/>
        <s v="Custom Crush/Fermentation COGS                              "/>
        <s v="Bottle COGS                                                 "/>
        <s v="Cork COGS                                                   "/>
        <s v="Boxes / Packaging COGS                                      "/>
        <s v="Bulk Wine - Commissions COGS                                "/>
        <s v="AB  - Freight                                               "/>
        <s v="BC  - Freight                                               "/>
        <s v="MB  - Freight                                               "/>
        <s v="NB   - Freight                                              "/>
        <s v="NL   - Freight                                              "/>
        <s v="NS   - Freight                                              "/>
        <s v="PE   - Freight                                              "/>
        <s v="HO - Meals &amp; Entertainment                                  "/>
        <s v="HO - Travel Airfare                                         "/>
        <s v="HO - Travel - Hotels                                        "/>
        <s v="HO - Travel - Meals                                         "/>
        <s v="HO - Travel - Other                                         "/>
        <s v="Retail - Membership Expense                                 "/>
        <s v="Retail - Wine Competitions                                  "/>
        <s v="Retail - Donation Expense                                   "/>
        <s v="AB - Donation Expense - Honour &amp; Valour                     "/>
        <s v="Retail Invoiced - Agency Donation - Honour &amp; Valour         "/>
        <s v="Duty Free - Donation Expense - Honour &amp; Valour              "/>
        <s v="EXP - Donation Expense - Honour &amp; Valour                    "/>
        <s v="Retail - Farmer's Market Donation - Honour &amp; Valour         "/>
        <s v="Retail Invoiced - Donation Expense - Honour &amp; Valour        "/>
        <s v="LIC - Donation Expense - Honour &amp; Valour                    "/>
        <s v="MB - Donation Expense - Honour &amp; Valour                     "/>
        <s v="NB - Donation Expense - Honour &amp; Valour                     "/>
        <s v="NL - Donation Expense - Honour &amp; Valour                     "/>
        <s v="NS - Donation Expense - Honour &amp; Valour                     "/>
        <s v="Retail Onsite - Bus Tours Donation - Honour &amp; Valour        "/>
        <s v="LCBO - Donation Expense - Honour &amp; Valour                   "/>
        <s v="PE - Donation Expense - Honour &amp; Valour                     "/>
        <s v="QC - Donation Expense - Honour &amp; Valour                     "/>
        <s v="Retail Onsite - Donation Expense - Honour &amp; Valour          "/>
        <s v="SK - Donation Expense - Honour &amp; Valour                     "/>
        <s v="Retail Invoiced - Wine Club Donation - Honour &amp; Valour      "/>
        <s v="Retail Invoiced - Winery to Home Donation - Honour &amp; Valour "/>
        <s v="MKT - Meals &amp; Entertainment                                 "/>
        <s v="MA - Entertainment - Dan Aykroyd                            "/>
        <s v="MA - Entertainment - Honour &amp; Valour                        "/>
        <s v="MA - Entertainment - Lakeview                               "/>
        <s v="MA - Entertainment - McMichael                              "/>
        <s v="Retail - Subscription Expense                               "/>
        <s v="Airlines - Marketing Expense                                "/>
        <s v="Retail - Advertising Expense                                "/>
        <s v="Retail - Advertising Expense Wine Club                      "/>
        <s v="BC - Misc - 20 Bees                                         "/>
        <s v="EXP - Misc - 20 Bees                                        "/>
        <s v="EXP - Misc - 20 Bees-AUD                                    "/>
        <s v="EXP - Misc - 20 Bees-GBP                                    "/>
        <s v="EXP - Misc - Dan Aykroyd                                    "/>
        <s v="EXP - Misc - De Sousa                                       "/>
        <s v="EXP - Misc - EastDell                                       "/>
        <s v="EXP - Misc - Lakeview                                       "/>
        <s v="EXP - Misc - McMichael                                      "/>
        <s v="EXP - Misc - Private Label                                  "/>
        <s v="EXP - Misc - Seasons                                        "/>
        <s v="MB - Misc - Dan Aykroyd                                     "/>
        <s v="MB - Misc - EastDell                                        "/>
        <s v="MB - Misc - Fresh                                           "/>
        <s v="MB - Misc - McMichael                                       "/>
        <s v="NL  - Misc - 20 Bees                                        "/>
        <s v="NL  - Misc - Dan Aykroyd                                    "/>
        <s v="NL  - Misc - EastDell                                       "/>
        <s v="NL  - Misc - McMichael                                      "/>
        <s v="NS  - Misc - 20 Bees                                        "/>
        <s v="NS  - Misc - Dan Aykroyd                                    "/>
        <s v="NS  - Misc - McMichael                                      "/>
        <s v="LCBO - Misc - 20 Bees                                       "/>
        <s v="LCBO - Misc - Dan Aykroyd                                   "/>
        <s v="LCBO - Misc - EastDell                                      "/>
        <s v="LCBO - Misc - Fresh                                         "/>
        <s v="LCBO - Misc - Hat Trick                                     "/>
        <s v="LCBO - Misc - Lakeview                                      "/>
        <s v="LCBO - Misc - McMichael                                     "/>
        <s v="LCBO - Misc - Sundance                                      "/>
        <s v="QC  - Misc - 20 Bees                                        "/>
        <s v="SK - Misc - Honour &amp; Valour                                 "/>
        <s v="AB - Advertising - Creative - Hat Trick                     "/>
        <s v="AB - Advertising - Creative - Lakeview                      "/>
        <s v="EXP - Advertising - Creative-USD - 20 Bees                  "/>
        <s v="EXP - Advertising - Creative-USD - 20 Bees-EUR              "/>
        <s v="LIC - Advertising - Creative - 20 Bees                      "/>
        <s v="LIC - Advertising - Creative - Benchmark                    "/>
        <s v="LIC - Advertising - Creative - Dan Aykroyd                  "/>
        <s v="LIC - Advertising - Creative - EastDell                     "/>
        <s v="LIC - Advertising - Creative - Fresh                        "/>
        <s v="LIC - Advertising - Creative - Honour &amp; Valour              "/>
        <s v="LIC - Advertising - Creative - Lakeview                     "/>
        <s v="LIC - Advertising - Creative - McMichael                    "/>
        <s v="LIC - Advertising - Creative - Riders Valley                "/>
        <s v="NB  - Advertising - Creative - 20 Bees                      "/>
        <s v="LCBO - Advertising - Creative - 20 Bees                     "/>
        <s v="LCBO - Advertising - Creative - Candy Wines                 "/>
        <s v="LCBO - Advertising - Creative - Dan Aykroyd                 "/>
        <s v="LCBO - Advertising - Creative - EastDell                    "/>
        <s v="LCBO - Advertising - Creative - Fresh                       "/>
        <s v="LCBO - Advertising - Creative - Hat Trick                   "/>
        <s v="LCBO - Advertising - Creative - Honour &amp; Valour             "/>
        <s v="LCBO - Advertising - Creative - Lakeview                    "/>
        <s v="LCBO - Advertising - Creative - McMichael                   "/>
        <s v="LCBO - Advertising - Creative - Riders Valley               "/>
        <s v="LIC - Advertising - Media Buy - 20 Bees                     "/>
        <s v="LIC - Advertising - Media Buy - Dan Aykroyd                 "/>
        <s v="LIC - Advertising - Media Buy - EastDell                    "/>
        <s v="LIC - Advertising - Media Buy - Fresh                       "/>
        <s v="LIC - Advertising - Media Buy - Hat Trick                   "/>
        <s v="LIC - Advertising - Media Buy - Honour &amp; Valour             "/>
        <s v="LIC - Advertising - Media Buy - Lakeview                    "/>
        <s v="LIC - Advertising - Media Buy - McMichael                   "/>
        <s v="LIC - Advertising - Media Buy - Sundance                    "/>
        <s v="NL  - Advertising - Media Buy - 20 Bees                     "/>
        <s v="LCBO - Advertising - Media Buy - 20 Bees                    "/>
        <s v="LCBO - Advertising - Media Buy - Candy Wines                "/>
        <s v="LCBO - Advertising - Media Buy - Dan Aykroyd                "/>
        <s v="LCBO - Advertising - Media Buy - EastDell                   "/>
        <s v="LCBO - Advertising - Media Buy - Fresh                      "/>
        <s v="LCBO - Advertising - Media Buy - Hat Trick                  "/>
        <s v="LCBO - Advertising - Media Buy - Honour &amp; Valour            "/>
        <s v="LCBO - Advertising - Media Buy - Lakeview                   "/>
        <s v="LCBO - Advertising - Media Buy - McMichael                  "/>
        <s v="LCBO - Advertising - Media Buy - Riders Valley              "/>
        <s v="LCBO - Advertising - Media Buy - Sundance                   "/>
        <s v="SK - Advertising - Media Buy - Honour &amp; Valour              "/>
        <s v="AB - Media Activities - Candy Wines                         "/>
        <s v="AB - Media Activities - Lakeview                            "/>
        <s v="BC - Media Activities - EastDell                            "/>
        <s v="BC - Media Activities - Hat Trick                           "/>
        <s v="NS  - Media Activities - 20 Bees                            "/>
        <s v="LCBO - Media Activities - Hat Trick                         "/>
        <s v="LCBO - Media Activities - Honour &amp; Valour                   "/>
        <s v="AB - On-Premise Programs - 20 Bees                          "/>
        <s v="AB - On-Premise Programs - Dan Aykroyd                      "/>
        <s v="AB - On-Premise Programs - Fresh                            "/>
        <s v="AB - On-Premise Programs - Hat Trick                        "/>
        <s v="AB - On-Premise Programs - Lakeview                         "/>
        <s v="AB - On-Premise Programs - McMichael                        "/>
        <s v="AB - On-Premise Programs - Riders Valley                    "/>
        <s v="AB - On-Premise Programs - Sundance                         "/>
        <s v="BC - On-Premise Programs - Dan Aykroyd                      "/>
        <s v="BC - On-Premise Programs - McMichael                        "/>
        <s v="LIC - On-Premise Programs - 20 Bees                         "/>
        <s v="LIC - On-Premise Programs - Benchmark                       "/>
        <s v="LIC - On-Premise Programs - Candy Wines                     "/>
        <s v="LIC - On-Premise Programs - Celine Dion                     "/>
        <s v="LIC - On-Premise Programs - Dan Aykroyd                     "/>
        <s v="LIC - On-Premise Programs - De Sousa                        "/>
        <s v="LIC - On-Premise Programs - EastDell                        "/>
        <s v="LIC - On-Premise Programs - Fresh                           "/>
        <s v="LIC - On-Premise Programs - Hat Trick                       "/>
        <s v="LIC - On-Premise Programs - Honour &amp; Valour                 "/>
        <s v="LIC - On-Premise Programs - Lakeview                        "/>
        <s v="LIC - On-Premise Programs - McMichael                       "/>
        <s v="LIC - On-Premise Programs - Private Label                   "/>
        <s v="LIC - On-Premise Programs - Riders Valley                   "/>
        <s v="LIC - On-Premise Programs - Seasons                         "/>
        <s v="LIC - On-Premise Programs - Sundance                        "/>
        <s v="MB - On-Premise Programs - 20 Bees                          "/>
        <s v="MB - On-Premise Programs - Benchmark                        "/>
        <s v="MB - On-Premise Programs - Candy Wines                      "/>
        <s v="MB - On-Premise Programs - Celine Dion                      "/>
        <s v="MB - On-Premise Programs - Crooked Pine                     "/>
        <s v="MB - On-Premise Programs - Dan Aykroyd                      "/>
        <s v="MB - On-Premise Programs - De Sousa                         "/>
        <s v="MB - On-Premise Programs - EastDell                         "/>
        <s v="MB - On-Premise Programs - Fresh                            "/>
        <s v="MB - On-Premise Programs - Hat Trick                        "/>
        <s v="MB - On-Premise Programs - Honour &amp; Valour                  "/>
        <s v="MB - On-Premise Programs - Lakeview                         "/>
        <s v="MB - On-Premise Programs - McMichael                        "/>
        <s v="MB - On-Premise Programs - Private Label                    "/>
        <s v="MB - On-Premise Programs - Riders Valley                    "/>
        <s v="MB - On-Premise Programs - Seasons                          "/>
        <s v="MB - On-Premise Programs - Sundance                         "/>
        <s v="NB  - On-Premise Programs - 20 Bees                         "/>
        <s v="NB  - On-Premise Programs - Benchmark                       "/>
        <s v="NB  - On-Premise Programs - Candy Wines                     "/>
        <s v="NB  - On-Premise Programs - Celine Dion                     "/>
        <s v="NB  - On-Premise Programs - Crooked Pine                    "/>
        <s v="NB  - On-Premise Programs - Dan Aykroyd                     "/>
        <s v="NB  - On-Premise Programs - De Sousa                        "/>
        <s v="NB  - On-Premise Programs - EastDell                        "/>
        <s v="NB  - On-Premise Programs - Fresh                           "/>
        <s v="NB  - On-Premise Programs - Hat Trick                       "/>
        <s v="NB  - On-Premise Programs - Honour &amp; Valour                 "/>
        <s v="NB  - On-Premise Programs - Lakeview                        "/>
        <s v="NB  - On-Premise Programs - McMichael                       "/>
        <s v="NB  - On-Premise Programs - Private Label                   "/>
        <s v="NB  - On-Premise Programs - Riders Valley                   "/>
        <s v="NB  - On-Premise Programs - Seasons                         "/>
        <s v="NB  - On-Premise Programs - Sundance                        "/>
        <s v="NL  - On-Premise Programs - 20 Bees                         "/>
        <s v="NL  - On-Premise Programs - Benchmark                       "/>
        <s v="NL  - On-Premise Programs - Candy Wines                     "/>
        <s v="NL  - On-Premise Programs - Celine Dion                     "/>
        <s v="NL  - On-Premise Programs - Crooked Pine                    "/>
        <s v="NL  - On-Premise Programs - Dan Aykroyd                     "/>
        <s v="NL  - On-Premise Programs - De Sousa                        "/>
        <s v="NL  - On-Premise Programs - EastDell                        "/>
        <s v="NL  - On-Premise Programs - Fresh                           "/>
        <s v="NL  - On-Premise Programs - Hat Trick                       "/>
        <s v="NL  - On-Premise Programs - Honour &amp; Valour                 "/>
        <s v="NL  - On-Premise Programs - Lakeview                        "/>
        <s v="NL  - On-Premise Programs - McMichael                       "/>
        <s v="NL  - On-Premise Programs - Private Label                   "/>
        <s v="NL  - On-Premise Programs - Riders Valley                   "/>
        <s v="NL  - On-Premise Programs - Seasons                         "/>
        <s v="NL  - On-Premise Programs - Sundance                        "/>
        <s v="NS  - On-Premise Programs - 20 Bees                         "/>
        <s v="NS  - On-Premise Programs - Benchmark                       "/>
        <s v="NS  - On-Premise Programs - Candy Wines                     "/>
        <s v="NS  - On-Premise Programs - Celine Dion                     "/>
        <s v="NS  - On-Premise Programs - Crooked Pine                    "/>
        <s v="NS  - On-Premise Programs - Dan Aykroyd                     "/>
        <s v="NS  - On-Premise Programs - De Sousa                        "/>
        <s v="NS  - On-Premise Programs - EastDell                        "/>
        <s v="NS  - On-Premise Programs - Fresh                           "/>
        <s v="NS  - On-Premise Programs - Hat Trick                       "/>
        <s v="NS  - On-Premise Programs - Honour &amp; Valour                 "/>
        <s v="NS  - On-Premise Programs - Lakeview                        "/>
        <s v="NS  - On-Premise Programs - McMichael                       "/>
        <s v="NS  - On-Premise Programs - Private Label                   "/>
        <s v="NS  - On-Premise Programs - Riders Valley                   "/>
        <s v="NS  - On-Premise Programs - Seasons                         "/>
        <s v="NS  - On-Premise Programs - Sundance                        "/>
        <s v="LCBO - On-Premise Programs - 20 Bees                        "/>
        <s v="LCBO - On-Premise Programs - Dan Aykroyd                    "/>
        <s v="LCBO - On-Premise Programs - Fresh                          "/>
        <s v="LCBO - On-Premise Programs - Hat Trick                      "/>
        <s v="LCBO - On-Premise Programs - Honour &amp; Valour                "/>
        <s v="LCBO - On-Premise Programs - McMichael                      "/>
        <s v="LCBO - On-Premise Programs - Riders Valley                  "/>
        <s v="PE  - On-Premise Programs - 20 Bees                         "/>
        <s v="PE  - On-Premise Programs - Benchmark                       "/>
        <s v="PE  - On-Premise Programs - Candy Wines                     "/>
        <s v="PE  - On-Premise Programs - Celine Dion                     "/>
        <s v="PE  - On-Premise Programs - Crooked Pine                    "/>
        <s v="PE  - On-Premise Programs - Dan Aykroyd                     "/>
        <s v="PE  - On-Premise Programs - De Sousa                        "/>
        <s v="PE  - On-Premise Programs - EastDell                        "/>
        <s v="PE  - On-Premise Programs - Fresh                           "/>
        <s v="PE  - On-Premise Programs - Hat Trick                       "/>
        <s v="PE  - On-Premise Programs - Honour &amp; Valour                 "/>
        <s v="PE  - On-Premise Programs - Lakeview                        "/>
        <s v="PE  - On-Premise Programs - McMichael                       "/>
        <s v="PE  - On-Premise Programs - Private Label                   "/>
        <s v="PE  - On-Premise Programs - Riders Valley                   "/>
        <s v="PE  - On-Premise Programs - Seasons                         "/>
        <s v="PE  - On-Premise Programs - Sundance                        "/>
        <s v="QC  - On-Premise Programs - 20 Bees                         "/>
        <s v="QC  - On-Premise Programs - Benchmark                       "/>
        <s v="QC  - On-Premise Programs - Candy Wines                     "/>
        <s v="QC  - On-Premise Programs - Celine Dion                     "/>
        <s v="QC  - On-Premise Programs - Crooked Pine                    "/>
        <s v="QC  - On-Premise Programs - Dan Aykroyd                     "/>
        <s v="QC  - On-Premise Programs - De Sousa                        "/>
        <s v="QC  - On-Premise Programs - EastDell                        "/>
        <s v="QC  - On-Premise Programs - Fresh                           "/>
        <s v="QC  - On-Premise Programs - Hat Trick                       "/>
        <s v="QC  - On-Premise Programs - Honour &amp; Valour                 "/>
        <s v="QC  - On-Premise Programs - Lakeview                        "/>
        <s v="QC  - On-Premise Programs - McMichael                       "/>
        <s v="QC  - On-Premise Programs - Private Label                   "/>
        <s v="QC  - On-Premise Programs - Riders Valley                   "/>
        <s v="QC  - On-Premise Programs - Seasons                         "/>
        <s v="QC  - On-Premise Programs - Sundance                        "/>
        <s v="SK - On-Premise Programs - 20 Bees                          "/>
        <s v="SK - On-Premise Programs - Benchmark                        "/>
        <s v="SK - On-Premise Programs - Candy Wines                      "/>
        <s v="SK - On-Premise Programs - Celine Dion                      "/>
        <s v="SK - On-Premise Programs - Crooked Pine                     "/>
        <s v="SK - On-Premise Programs - Dan Aykroyd                      "/>
        <s v="SK - On-Premise Programs - De Sousa                         "/>
        <s v="SK - On-Premise Programs - EastDell                         "/>
        <s v="SK - On-Premise Programs - Fresh                            "/>
        <s v="SK - On-Premise Programs - Hat Trick                        "/>
        <s v="SK - On-Premise Programs - Honour &amp; Valour                  "/>
        <s v="SK - On-Premise Programs - Lakeview                         "/>
        <s v="SK - On-Premise Programs - McMichael                        "/>
        <s v="SK - On-Premise Programs - Private Label                    "/>
        <s v="SK - On-Premise Programs - Riders Valley                    "/>
        <s v="SK - On-Premise Programs - Seasons                          "/>
        <s v="SK - On-Premise Programs - Sundance                         "/>
        <s v="AB - On-Premise Promotions / Tastings - 20 Bees             "/>
        <s v="AB - On-Premise Promotions / Tastings - Benchmark           "/>
        <s v="AB - On-Premise Promotions / Tastings - Candy Wines         "/>
        <s v="AB - On-Premise Promotions / Tastings - Celine Dion         "/>
        <s v="AB - On-Premise Promotions / Tastings - Crooked Pine        "/>
        <s v="AB - On-Premise Promotions / Tastings - Dan Aykroyd         "/>
        <s v="AB - On-Premise Promotions / Tastings - De Sousa            "/>
        <s v="AB - On-Premise Promotions / Tastings - EastDell            "/>
        <s v="AB - On-Premise Promotions / Tastings - Fresh               "/>
        <s v="AB - On-Premise Promotions / Tastings - Hat Trick           "/>
        <s v="AB - On-Premise Promotions / Tastings - Honour &amp; Valour     "/>
        <s v="AB - On-Premise Promotions / Tastings - Lakeview            "/>
        <s v="AB - On-Premise Promotions / Tastings - McMichael           "/>
        <s v="AB - On-Premise Promotions / Tastings - Private Label       "/>
        <s v="AB - On-Premise Promotions / Tastings - Riders Valley       "/>
        <s v="AB - On-Premise Promotions / Tastings - Seasons             "/>
        <s v="AB - On-Premise Promotions / Tastings - Sundance            "/>
        <s v="BC - On-Premise Promotions / Tastings - 20 Bees             "/>
        <s v="BC - On-Premise Promotions / Tastings - Benchmark           "/>
        <s v="BC - On-Premise Promotions / Tastings - Candy Wines         "/>
        <s v="BC - On-Premise Promotions / Tastings - Celine Dion         "/>
        <s v="BC - On-Premise Promotions / Tastings - Crooked Pine        "/>
        <s v="BC - On-Premise Promotions / Tastings - Dan Aykroyd         "/>
        <s v="BC - On-Premise Promotions / Tastings - De Sousa            "/>
        <s v="BC - On-Premise Promotions / Tastings - EastDell            "/>
        <s v="BC - On-Premise Promotions / Tastings - Fresh               "/>
        <s v="BC - On-Premise Promotions / Tastings - Hat Trick           "/>
        <s v="BC - On-Premise Promotions / Tastings - Honour &amp; Valour     "/>
        <s v="BC - On-Premise Promotions / Tastings - Lakeview            "/>
        <s v="BC - On-Premise Promotions / Tastings - McMichael           "/>
        <s v="BC - On-Premise Promotions / Tastings - Private Label       "/>
        <s v="BC - On-Premise Promotions / Tastings - Riders Valley       "/>
        <s v="BC - On-Premise Promotions / Tastings - Seasons             "/>
        <s v="BC - On-Premise Promotions / Tastings - Sundance            "/>
        <s v="LIC - On-Premise Promotions / Tastings - 20 Bees            "/>
        <s v="LIC - On-Premise Promotions / Tastings - Benchmark          "/>
        <s v="LIC - On-Premise Promotions / Tastings - Dan Aykroyd        "/>
        <s v="LIC - On-Premise Promotions / Tastings - EastDell           "/>
        <s v="LIC - On-Premise Promotions / Tastings - Fresh              "/>
        <s v="LIC - On-Premise Promotions / Tastings - Hat Trick          "/>
        <s v="LIC - On-Premise Promotions / Tastings - Honour &amp; Valour    "/>
        <s v="LIC - On-Premise Promotions / Tastings - McMichael          "/>
        <s v="LIC - On-Premise Promotions / Tastings - Private Label      "/>
        <s v="LIC - On-Premise Promotions / Tastings - Riders Valley      "/>
        <s v="LIC - On-Premise Promotions / Tastings - Seasons            "/>
        <s v="MA - On-Premise Promotions / Tastings - 20 Bees             "/>
        <s v="MA - On-Premise Promotions / Tastings - Benchmark           "/>
        <s v="MA - On-Premise Promotions / Tastings - Candy Wines         "/>
        <s v="MA - On-Premise Promotions / Tastings - Celine Dion         "/>
        <s v="MA - On-Premise Promotions / Tastings - Crooked Pine        "/>
        <s v="MA - On-Premise Promotions / Tastings - Dan Aykroyd         "/>
        <s v="MA - On-Premise Promotions / Tastings - De Sousa            "/>
        <s v="MA - On-Premise Promotions / Tastings - EastDell            "/>
        <s v="MA - On-Premise Promotions / Tastings - Fresh               "/>
        <s v="MA - On-Premise Promotions / Tastings - Hat Trick           "/>
        <s v="MA - On-Premise Promotions / Tastings - Honour &amp; Valour     "/>
        <s v="MA - On-Premise Promotions / Tastings - Lakeview            "/>
        <s v="MA - On-Premise Promotions / Tastings - McMichael           "/>
        <s v="MA - On-Premise Promotions / Tastings - Private Label       "/>
        <s v="MA - On-Premise Promotions / Tastings - Riders Valley       "/>
        <s v="MA - On-Premise Promotions / Tastings - Seasons             "/>
        <s v="MA - On-Premise Promotions / Tastings - Sundance            "/>
        <s v="NB  - On-Premise Promotions / Tastings - 20 Bees            "/>
        <s v="NB  - On-Premise Promotions / Tastings - Benchmark          "/>
        <s v="NB  - On-Premise Promotions / Tastings - Candy Wines        "/>
        <s v="NB  - On-Premise Promotions / Tastings - Celine Dion        "/>
        <s v="NB  - On-Premise Promotions / Tastings - Crooked Pine       "/>
        <s v="NB  - On-Premise Promotions / Tastings - Dan Aykroyd        "/>
        <s v="NB  - On-Premise Promotions / Tastings - De Sousa           "/>
        <s v="NB  - On-Premise Promotions / Tastings - EastDell           "/>
        <s v="NB  - On-Premise Promotions / Tastings - Fresh              "/>
        <s v="NB  - On-Premise Promotions / Tastings - Hat Trick          "/>
        <s v="NB  - On-Premise Promotions / Tastings - Honour &amp; Valour    "/>
        <s v="NB  - On-Premise Promotions / Tastings - Lakeview           "/>
        <s v="NB  - On-Premise Promotions / Tastings - McMichael          "/>
        <s v="NB  - On-Premise Promotions / Tastings - Private Label      "/>
        <s v="NB  - On-Premise Promotions / Tastings - Riders Valley      "/>
        <s v="NB  - On-Premise Promotions / Tastings - Seasons            "/>
        <s v="NB  - On-Premise Promotions / Tastings - Sundance           "/>
        <s v="NL  - On-Premise PromotioNL / Tastings - 20 Bees            "/>
        <s v="NL  - On-Premise PromotioNL / Tastings - Benchmark          "/>
        <s v="NL  - On-Premise PromotioNL / Tastings - Candy Wines        "/>
        <s v="NL  - On-Premise PromotioNL / Tastings - Celine Dion        "/>
        <s v="NL  - On-Premise PromotioNL / Tastings - Crooked Pine       "/>
        <s v="NL  - On-Premise PromotioNL / Tastings - Dan Aykroyd        "/>
        <s v="NL  - On-Premise PromotioNL / Tastings - De Sousa           "/>
        <s v="NL  - On-Premise PromotioNL / Tastings - EastDell           "/>
        <s v="NL  - On-Premise PromotioNL / Tastings - Fresh              "/>
        <s v="NL  - On-Premise PromotioNL / Tastings - Hat Trick          "/>
        <s v="NL  - On-Premise PromotioNL / Tastings - Honour &amp; Valour    "/>
        <s v="NL  - On-Premise PromotioNL / Tastings - Lakeview           "/>
        <s v="NL  - On-Premise PromotioNL / Tastings - McMichael          "/>
        <s v="NL  - On-Premise PromotioNL / Tastings - Private Label      "/>
        <s v="NL  - On-Premise PromotioNL / Tastings - Riders Valley      "/>
        <s v="NL  - On-Premise PromotioNL / Tastings - Seasons            "/>
        <s v="NL  - On-Premise PromotioNL / Tastings - Sundance           "/>
        <s v="NS  - On-Premise Promotions / Tastings - 20 Bees            "/>
        <s v="NS  - On-Premise Promotions / Tastings - Benchmark          "/>
        <s v="NS  - On-Premise Promotions / Tastings - Candy Wines        "/>
        <s v="NS  - On-Premise Promotions / Tastings - Celine Dion        "/>
        <s v="NS  - On-Premise Promotions / Tastings - Crooked Pine       "/>
        <s v="NS  - On-Premise Promotions / Tastings - Dan Aykroyd        "/>
        <s v="NS  - On-Premise Promotions / Tastings - De Sousa           "/>
        <s v="NS  - On-Premise Promotions / Tastings - EastDell           "/>
        <s v="NS  - On-Premise Promotions / Tastings - Fresh              "/>
        <s v="NS  - On-Premise Promotions / Tastings - Hat Trick          "/>
        <s v="NS  - On-Premise Promotions / Tastings - Honour &amp; Valour    "/>
        <s v="NS  - On-Premise Promotions / Tastings - Lakeview           "/>
        <s v="NS  - On-Premise Promotions / Tastings - McMichael          "/>
        <s v="NS  - On-Premise Promotions / Tastings - Private Label      "/>
        <s v="NS  - On-Premise Promotions / Tastings - Riders Valley      "/>
        <s v="NS  - On-Premise Promotions / Tastings - Seasons            "/>
        <s v="NS  - On-Premise Promotions / Tastings - Sundance           "/>
        <s v="LCBO - On-Premise Promotions / Tastings - 20 Bees           "/>
        <s v="LCBO - On-Premise Promotions / Tastings - Dan Aykroyd       "/>
        <s v="LCBO - On-Premise Promotions / Tastings - EastDell          "/>
        <s v="LCBO - On-Premise Promotions / Tastings - Honour &amp; Valour   "/>
        <s v="LCBO - On-Premise Promotions / Tastings - McMichael         "/>
        <s v="PE  - On-Premise PromotioPE / Tastings - 20 Bees            "/>
        <s v="PE  - On-Premise PromotioPE / Tastings - Benchmark          "/>
        <s v="PE  - On-Premise PromotioPE / Tastings - Candy Wines        "/>
        <s v="PE  - On-Premise PromotioPE / Tastings - Celine Dion        "/>
        <s v="PE  - On-Premise PromotioPE / Tastings - Crooked Pine       "/>
        <s v="PE  - On-Premise PromotioPE / Tastings - Dan Aykroyd        "/>
        <s v="PE  - On-Premise PromotioPE / Tastings - De Sousa           "/>
        <s v="PE  - On-Premise PromotioPE / Tastings - EastDell           "/>
        <s v="PE  - On-Premise PromotioPE / Tastings - Fresh              "/>
        <s v="PE  - On-Premise PromotioPE / Tastings - Hat Trick          "/>
        <s v="PE  - On-Premise PromotioPE / Tastings - Honour &amp; Valour    "/>
        <s v="PE  - On-Premise PromotioPE / Tastings - Lakeview           "/>
        <s v="PE  - On-Premise PromotioPE / Tastings - McMichael          "/>
        <s v="PE  - On-Premise PromotioPE / Tastings - Private Label      "/>
        <s v="PE  - On-Premise PromotioPE / Tastings - Riders Valley      "/>
        <s v="PE  - On-Premise PromotioPE / Tastings - Seasons            "/>
        <s v="PE  - On-Premise PromotioPE / Tastings - Sundance           "/>
        <s v="QC  - On-Premise Promotions / Tastings - 20 Bees            "/>
        <s v="QC  - On-Premise Promotions / Tastings - Benchmark          "/>
        <s v="QC  - On-Premise Promotions / Tastings - Candy Wines        "/>
        <s v="QC  - On-Premise Promotions / Tastings - Celine Dion        "/>
        <s v="QC  - On-Premise Promotions / Tastings - Crooked Pine       "/>
        <s v="QC  - On-Premise Promotions / Tastings - Dan Aykroyd        "/>
        <s v="QC  - On-Premise Promotions / Tastings - De Sousa           "/>
        <s v="QC  - On-Premise Promotions / Tastings - EastDell           "/>
        <s v="QC  - On-Premise Promotions / Tastings - Fresh              "/>
        <s v="QC  - On-Premise Promotions / Tastings - Hat Trick          "/>
        <s v="QC  - On-Premise Promotions / Tastings - Honour &amp; Valour    "/>
        <s v="QC  - On-Premise Promotions / Tastings - Lakeview           "/>
        <s v="QC  - On-Premise Promotions / Tastings - McMichael          "/>
        <s v="QC  - On-Premise Promotions / Tastings - Private Label      "/>
        <s v="QC  - On-Premise Promotions / Tastings - Riders Valley      "/>
        <s v="QC  - On-Premise Promotions / Tastings - Seasons            "/>
        <s v="QC  - On-Premise Promotions / Tastings - Sundance           "/>
        <s v="SK - On-Premise Promotions / Tastings - 20 Bees             "/>
        <s v="SK - On-Premise Promotions / Tastings - Benchmark           "/>
        <s v="SK - On-Premise Promotions / Tastings - Candy Wines         "/>
        <s v="SK - On-Premise Promotions / Tastings - Celine Dion         "/>
        <s v="SK - On-Premise Promotions / Tastings - Crooked Pine        "/>
        <s v="SK - On-Premise Promotions / Tastings - Dan Aykroyd         "/>
        <s v="SK - On-Premise Promotions / Tastings - De Sousa            "/>
        <s v="SK - On-Premise Promotions / Tastings - EastDell            "/>
        <s v="SK - On-Premise Promotions / Tastings - Fresh               "/>
        <s v="SK - On-Premise Promotions / Tastings - Hat Trick           "/>
        <s v="SK - On-Premise Promotions / Tastings - Honour &amp; Valour     "/>
        <s v="SK - On-Premise Promotions / Tastings - Lakeview            "/>
        <s v="SK - On-Premise Promotions / Tastings - McMichael           "/>
        <s v="SK - On-Premise Promotions / Tastings - Private Label       "/>
        <s v="SK - On-Premise Promotions / Tastings - Riders Valley       "/>
        <s v="SK - On-Premise Promotions / Tastings - Seasons             "/>
        <s v="SK - On-Premise Promotions / Tastings - Sundance            "/>
        <s v="EXP - POS - Materials - Fresh                               "/>
        <s v="LIC - POS - Materials - 20 Bees                             "/>
        <s v="LIC - POS - Materials - Benchmark                           "/>
        <s v="LIC - POS - Materials - Dan Aykroyd                         "/>
        <s v="LIC - POS - Materials - EastDell                            "/>
        <s v="LIC - POS - Materials - Fresh                               "/>
        <s v="LIC - POS - Materials - Hat Trick                           "/>
        <s v="LIC - POS - Materials - Honour &amp; Valour                     "/>
        <s v="LIC - POS - Materials - Lakeview                            "/>
        <s v="LIC - POS - Materials - McMichael                           "/>
        <s v="LIC - POS - Materials - Private Label                       "/>
        <s v="LIC - POS - Materials - Seasons                             "/>
        <s v="NL  - POS - NL terials - 20 Bees                            "/>
        <s v="NL  - POS - NL terials - Dan Aykroyd                        "/>
        <s v="NL  - POS - NL terials - De Sousa                           "/>
        <s v="NL  - POS - NL terials - EastDell                           "/>
        <s v="NL  - POS - NL terials - Hat Trick                          "/>
        <s v="NL  - POS - NL terials - McMichael                          "/>
        <s v="NS  - POS - NS terials - 20 Bees                            "/>
        <s v="LCBO - POS - Materials - 20 Bees                            "/>
        <s v="LCBO - POS - Materials - Candy Wines                        "/>
        <s v="LCBO - POS - Materials - Dan Aykroyd                        "/>
        <s v="LCBO - POS - Materials - De Sousa                           "/>
        <s v="LCBO - POS - Materials - EastDell                           "/>
        <s v="LCBO - POS - Materials - Fresh                              "/>
        <s v="LCBO - POS - Materials - Hat Trick                          "/>
        <s v="LCBO - POS - Materials - Honour &amp; Valour                    "/>
        <s v="LCBO - POS - Materials - Lakeview                           "/>
        <s v="LCBO - POS - Materials - McMichael                          "/>
        <s v="LCBO - POS - Materials - Riders Valley                      "/>
        <s v="LCBO - POS - Materials - Seasons                            "/>
        <s v="SK - POS - Materials - Lakeview                             "/>
        <s v="AB - POS - On-Premise - 20 Bees                             "/>
        <s v="AB - POS - On-Premise - Dan Aykroyd                         "/>
        <s v="AB - POS - On-Premise - Hat Trick                           "/>
        <s v="AB - POS - On-Premise - McMichael                           "/>
        <s v="AB - POS - On-Premise - Riders Valley                       "/>
        <s v="LIC - POS - On-Premise - 20 Bees                            "/>
        <s v="LIC - POS - On-Premise - Benchmark                          "/>
        <s v="LIC - POS - On-Premise - Dan Aykroyd                        "/>
        <s v="LIC - POS - On-Premise - EastDell                           "/>
        <s v="LIC - POS - On-Premise - Fresh                              "/>
        <s v="LIC - POS - On-Premise - Hat Trick                          "/>
        <s v="LIC - POS - On-Premise - Honour &amp; Valour                    "/>
        <s v="LIC - POS - On-Premise - Lakeview                           "/>
        <s v="LIC - POS - On-Premise - McMichael                          "/>
        <s v="LIC - POS - On-Premise - Private Label                      "/>
        <s v="LIC - POS - On-Premise - Riders Valley                      "/>
        <s v="LIC - POS - On-Premise - Seasons                            "/>
        <s v="NL  - POS - On-Premise - Hat Trick                          "/>
        <s v="LCBO - POS - On-Premise - Candy Wines                       "/>
        <s v="LCBO - POS - On-Premise - EastDell                          "/>
        <s v="LCBO - POS - On-Premise - Fresh                             "/>
        <s v="LCBO - POS - On-Premise - Riders Valley                     "/>
        <s v="AB - POS - Retail - Riders Valley                           "/>
        <s v="BC - POS - Retail - Dan Aykroyd                             "/>
        <s v="BC - POS - Retail - De Sousa                                "/>
        <s v="BC - POS - Retail - EastDell                                "/>
        <s v="BC - POS - Retail - Fresh                                   "/>
        <s v="BC - POS - Retail - Hat Trick                               "/>
        <s v="BC - POS - Retail - Honour &amp; Valour                         "/>
        <s v="BC - POS - Retail - Lakeview                                "/>
        <s v="BC - POS - Retail - McMichael                               "/>
        <s v="BC - POS - Retail - Private Label                           "/>
        <s v="BC - POS - Retail - Riders Valley                           "/>
        <s v="BC - POS - Retail - Seasons                                 "/>
        <s v="BC - POS - Retail - Sundance                                "/>
        <s v="EXP - POS - Retail - Crooked Pine                           "/>
        <s v="EXP - POS - Retail - Dan Aykroyd                            "/>
        <s v="EXP - POS - Retail - De Sousa                               "/>
        <s v="EXP - POS - Retail - EastDell                               "/>
        <s v="EXP - POS - Retail - Fresh                                  "/>
        <s v="EXP - POS - Retail - Hat Trick                              "/>
        <s v="EXP - POS - Retail - Honour &amp; Valour                        "/>
        <s v="EXP - POS - Retail - Lakeview                               "/>
        <s v="EXP - POS - Retail - McMichael                              "/>
        <s v="EXP - POS - Retail - Private Label                          "/>
        <s v="EXP - POS - Retail - Riders Valley                          "/>
        <s v="EXP - POS - Retail - Seasons                                "/>
        <s v="EXP - POS - Retail - Sundance                               "/>
        <s v="LIC - POS - Retail - Seasons                                "/>
        <s v="MA - POS - Retail - Dan Aykroyd                             "/>
        <s v="MA - POS - Retail - Honour &amp; Valour                         "/>
        <s v="MA - POS - Retail - Lakeview                                "/>
        <s v="MA - POS - Retail - McMichael                               "/>
        <s v="LCBO - POS - Retail - 20 Bees                               "/>
        <s v="LCBO - POS - Retail - Dan Aykroyd                           "/>
        <s v="LCBO - POS - Retail - EastDell                              "/>
        <s v="LCBO - POS - Retail - McMichael                             "/>
        <s v="SK - POS - Retail - Lakeview                                "/>
        <s v="AB - Shows - 20 Bees                                        "/>
        <s v="AB - Shows - Crooked Pine                                   "/>
        <s v="AB - Shows - Hat Trick                                      "/>
        <s v="AB - Shows - Honour &amp; Valour                                "/>
        <s v="AB - Shows - Riders Valley                                  "/>
        <s v="EXP - Shows                                                 "/>
        <s v="EXP - Shows - 20 Bees                                       "/>
        <s v="EXP - Shows - Dan Aykroyd                                   "/>
        <s v="EXP - Shows - Lakeview                                      "/>
        <s v="EXP - Shows - McMichael                                     "/>
        <s v="LIC - Shows - 20 Bees                                       "/>
        <s v="LIC - Shows - Benchmark                                     "/>
        <s v="LIC - Shows - Dan Aykroyd                                   "/>
        <s v="LIC - Shows - EastDell                                      "/>
        <s v="LIC - Shows - Fresh                                         "/>
        <s v="LIC - Shows - Hat Trick                                     "/>
        <s v="LIC - Shows - Honour &amp; Valour                               "/>
        <s v="LIC - Shows - Lakeview                                      "/>
        <s v="LIC - Shows - McMichael                                     "/>
        <s v="LIC - Shows - Riders Valley                                 "/>
        <s v="MA - Shows - 20 Bees                                        "/>
        <s v="MA - Shows - Dan Aykroyd                                    "/>
        <s v="MA - Shows - EastDell                                       "/>
        <s v="MA - Shows - Fresh                                          "/>
        <s v="MA - Shows - Hat Trick                                      "/>
        <s v="MA - Shows - Honour &amp; Valour                                "/>
        <s v="MA - Shows - Lakeview                                       "/>
        <s v="MA - Shows - McMichael                                      "/>
        <s v="NB  - Shows - Hat Trick                                     "/>
        <s v="NL  - Shows - 20 Bees                                       "/>
        <s v="NL  - Shows - Dan Aykroyd                                   "/>
        <s v="NL  - Shows - De Sousa                                      "/>
        <s v="NL  - Shows - EastDell                                      "/>
        <s v="NL  - Shows - Hat Trick                                     "/>
        <s v="NL  - Shows - McMichael                                     "/>
        <s v="NS  - Shows - 20 Bees                                       "/>
        <s v="LCBO - Shows - 20 Bees                                      "/>
        <s v="LCBO - Shows - Candy Wines                                  "/>
        <s v="LCBO - Shows - Dan Aykroyd                                  "/>
        <s v="LCBO - Shows - EastDell                                     "/>
        <s v="LCBO - Shows - Fresh                                        "/>
        <s v="LCBO - Shows - Hat Trick                                    "/>
        <s v="LCBO - Shows - Honour &amp; Valour                              "/>
        <s v="LCBO - Shows - Lakeview                                     "/>
        <s v="LCBO - Shows - McMichael                                    "/>
        <s v="LCBO - Shows - Private Label                                "/>
        <s v="LCBO - Shows - Riders Valley                                "/>
        <s v="LCBO - Shows - Sundance                                     "/>
        <s v="AB - Samples - Retail Selling / Staff Tastings - 20 Bees    "/>
        <s v="AB - Samples - Retail Selling / Staff Tastings - Dan Aykroyd"/>
        <s v="AB - Samples - Retail Selling / Staff Tastings - Fresh      "/>
        <s v="AB - Samples - Retail Selling / Staff Tastings - Hat Trick  "/>
        <s v="AB - Samples - Retail Selling / Staff Tastings - Honour &amp; Va"/>
        <s v="AB - Samples - Retail Selling / Staff Tastings - Lakeview   "/>
        <s v="AB - Samples - Retail Selling / Staff Tastings - McMichael  "/>
        <s v="AB - Samples - Retail Selling / Staff Tastings - Riders Vall"/>
        <s v="EXP - Samples - Retail Selling / Staff Tastings - 20 Bees   "/>
        <s v="EXP - Samples - Retail Selling / Staff Tastings - Benchmark "/>
        <s v="EXP - Samples - Retail Selling / Staff Tastings - Candy Wine"/>
        <s v="EXP - Samples - Retail Selling / Staff Tastings - Celine Dio"/>
        <s v="EXP - Samples - Retail Selling / Staff Tastings - Crooked Pi"/>
        <s v="EXP - Samples - Retail Selling / Staff Tastings - Dan Aykroy"/>
        <s v="EXP - Samples - Retail Selling / Staff Tastings - De Sousa  "/>
        <s v="EXP - Samples - Retail Selling / Staff Tastings - EastDell  "/>
        <s v="EXP - Samples - Retail Selling / Staff Tastings - Fresh     "/>
        <s v="EXP - Samples - Retail Selling / Staff Tastings - Hat Trick "/>
        <s v="EXP - Samples - Retail Selling / Staff Tastings - Honour &amp; V"/>
        <s v="EXP - Samples - Retail Selling / Staff Tastings - Lakeview  "/>
        <s v="EXP - Samples - Retail Selling / Staff Tastings - McMichael "/>
        <s v="EXP - Samples - Retail Selling / Staff Tastings - Private La"/>
        <s v="EXP - Samples - Retail Selling / Staff Tastings - Riders Val"/>
        <s v="EXP - Samples - Retail Selling / Staff Tastings - Seasons   "/>
        <s v="EXP - Samples - Retail Selling / Staff Tastings - Sundance  "/>
        <s v="LIC - Samples - Retail Selling / Staff Tastings - 20 Bees   "/>
        <s v="LIC - Samples - Retail Selling / Staff Tastings - Benchmark "/>
        <s v="LIC - Samples - Retail Selling / Staff Tastings - De Sousa  "/>
        <s v="LIC - Samples - Retail Selling / Staff Tastings - EastDell  "/>
        <s v="LIC - Samples - Retail Selling / Staff Tastings - Fresh     "/>
        <s v="LIC - Samples - Retail Selling / Staff Tastings - Hat Trick "/>
        <s v="LIC - Samples - Retail Selling / Staff Tastings - Honour &amp; V"/>
        <s v="LIC - Samples - Retail Selling / Staff Tastings - Lakeview  "/>
        <s v="MA - Samples - Retail Selling / Staff Tastings - 20 Bees    "/>
        <s v="MA - Samples - Retail Selling / Staff Tastings - Dan Aykroyd"/>
        <s v="MA - Samples - Retail Selling / Staff Tastings - EastDell   "/>
        <s v="MA - Samples - Retail Selling / Staff Tastings - Fresh      "/>
        <s v="MA - Samples - Retail Selling / Staff Tastings - Hat Trick  "/>
        <s v="MA - Samples - Retail Selling / Staff Tastings - Honour &amp; Va"/>
        <s v="MA - Samples - Retail Selling / Staff Tastings - McMichael  "/>
        <s v="NB  - Samples - Retail Selling / Staff Tastings - 20 Bees   "/>
        <s v="NL  - Samples - Retail Selling / Staff Tastings - 20 Bees   "/>
        <s v="NL  - Samples - Retail Selling / Staff Tastings - Dan Aykroy"/>
        <s v="NL  - Samples - Retail Selling / Staff Tastings - EastDell  "/>
        <s v="NL  - Samples - Retail Selling / Staff Tastings - Hat Trick "/>
        <s v="NL  - Samples - Retail Selling / Staff Tastings - McMichael "/>
        <s v="NS  - Samples - Retail Selling / Staff Tastings - 20 Bees   "/>
        <s v="NS  - Samples - Retail Selling / Staff Tastings - Seasons   "/>
        <s v="LCBO - Samples - Retail Selling / Staff Tastings - 20 Bees  "/>
        <s v="LCBO - Samples - Retail Selling / Staff Tastings - Candy Win"/>
        <s v="LCBO - Samples - Retail Selling / Staff Tastings - Celine Di"/>
        <s v="LCBO - Samples - Retail Selling / Staff Tastings - Dan Aykro"/>
        <s v="LCBO - Samples - Retail Selling / Staff Tastings - EastDell "/>
        <s v="LCBO - Samples - Retail Selling / Staff Tastings - Fresh    "/>
        <s v="LCBO - Samples - Retail Selling / Staff Tastings - Hat Trick"/>
        <s v="LCBO - Samples - Retail Selling / Staff Tastings - Honour &amp; "/>
        <s v="LCBO - Samples - Retail Selling / Staff Tastings - Lakeview "/>
        <s v="LCBO - Samples - Retail Selling / Staff Tastings - McMichael"/>
        <s v="LCBO - Samples - Retail Selling / Staff Tastings - Riders Va"/>
        <s v="LCBO - Samples - Retail Selling / Staff Tastings - Seasons  "/>
        <s v="LCBO - Samples - Retail Selling / Staff Tastings - Tzafona  "/>
        <s v="PE  - Samples - Retail Selling / Staff Tastings - Benchmark "/>
        <s v="QC  - Samples - Retail Selling / Staff Tastings - 20 Bees   "/>
        <s v="SK - Samples - Retail Selling / Staff Tastings - Honour &amp; Va"/>
        <s v="SK - Samples - Retail Selling / Staff Tastings - Lakeview   "/>
        <s v="EXP - Retail - In-Store Tastings (Including Product) - 20 Be"/>
        <s v="EXP - Retail - In-Store Tastings (Including Product) - Bench"/>
        <s v="EXP - Retail - In-Store Tastings (Including Product) - Candy"/>
        <s v="EXP - Retail - In-Store Tastings (Including Product) - Celin"/>
        <s v="EXP - Retail - In-Store Tastings (Including Product) - Crook"/>
        <s v="EXP - Retail - In-Store Tastings (Including Product) - Dan A"/>
        <s v="EXP - Retail - In-Store Tastings (Including Product) - De So"/>
        <s v="EXP - Retail - In-Store Tastings (Including Product) - EastD"/>
        <s v="EXP - Retail - In-Store Tastings (Including Product) - Hat T"/>
        <s v="EXP - Retail - In-Store Tastings (Including Product) - McMic"/>
        <s v="LIC - Retail - In-Store Tastings (Including Product) - 20 Be"/>
        <s v="LIC - Retail - In-Store Tastings (Including Product) - Dan A"/>
        <s v="LIC - Retail - In-Store Tastings (Including Product) - EastD"/>
        <s v="LIC - Retail - In-Store Tastings (Including Product) - Fresh"/>
        <s v="LIC - Retail - In-Store Tastings (Including Product) - McMic"/>
        <s v="LIC - Retail - In-Store Tastings (Including Product) - Rider"/>
        <s v="MA - Retail - In-Store Tastings (Including Product) - Dan Ay"/>
        <s v="MA - Retail - In-Store Tastings (Including Product) - Honour"/>
        <s v="MA - Retail - In-Store Tastings (Including Product) - McMich"/>
        <s v="NB  - Retail - In-Store Tastings (Including Product) - 20 Be"/>
        <s v="NL  - Retail - In-Store Tastings (Including Product) - 20 Be"/>
        <s v="NL  - Retail - In-Store Tastings (Including Product) - EastD"/>
        <s v="NL  - Retail - In-Store Tastings (Including Product) - Hat T"/>
        <s v="NS  - Retail - In-Store Tastings (Including Product) - 20 Be"/>
        <s v="LCBO - Retail - In-Store Tastings (Including Product) - 20 B"/>
        <s v="LCBO - Retail - In-Store Tastings (Including Product) - Cand"/>
        <s v="LCBO - Retail - In-Store Tastings (Including Product) - Croo"/>
        <s v="LCBO - Retail - In-Store Tastings (Including Product) - Dan "/>
        <s v="LCBO - Retail - In-Store Tastings (Including Product) - East"/>
        <s v="LCBO - Retail - In-Store Tastings (Including Product) - Fres"/>
        <s v="LCBO - Retail - In-Store Tastings (Including Product) - Hat "/>
        <s v="LCBO - Retail - In-Store Tastings (Including Product) - H&amp;V "/>
        <s v="LCBO - Retail - In-Store Tastings (Including Product) - Lake"/>
        <s v="LCBO - Retail - In-Store Tastings (Including Product) - McMi"/>
        <s v="LCBO - Retail - In-Store Tastings (Including Product) - Ride"/>
        <s v="LCBO - Retail - In-Store Tastings (Including Product) - Seas"/>
        <s v="LCBO - Retail - In-Store Tastings (Including Product) - Sund"/>
        <s v="SK - Retail - In-Store Tastings (Including Product) - Lakevi"/>
        <s v="LCBO - PR Activities - 20 Bees                              "/>
        <s v="LCBO - PR Activities - Dan Aykroyd                          "/>
        <s v="LCBO - PR Activities - EastDell                             "/>
        <s v="LCBO - PR Activities - Hat Trick                            "/>
        <s v="LCBO - PR Activities - Honour &amp; Valour                      "/>
        <s v="LCBO - PR Activities - Lakeview                             "/>
        <s v="LCBO - PR Activities - McMichael                            "/>
        <s v="EXP - Retail - Bonus Air Miles - 20 Bees                    "/>
        <s v="EXP - Retail - Bonus Air Miles - Dan Aykroyd                "/>
        <s v="EXP - Retail - Bonus Air Miles - Hat Trick                  "/>
        <s v="EXP - Retail - Bonus Air Miles - McMichael                  "/>
        <s v="LIC - Retail - Bonus Air Miles - 20 Bees                    "/>
        <s v="LIC - Retail - Bonus Air Miles - EastDell                   "/>
        <s v="MA - Retail - Bonus Air Miles - Dan Aykroyd                 "/>
        <s v="MA - Retail - Bonus Air Miles - EastDell                    "/>
        <s v="MA - Retail - Bonus Air Miles - Fresh                       "/>
        <s v="MA - Retail - Bonus Air Miles - Hat Trick                   "/>
        <s v="MA - Retail - Bonus Air Miles - Honour &amp; Valour             "/>
        <s v="MA - Retail - Bonus Air Miles - Lakeview                    "/>
        <s v="MA - Retail - Bonus Air Miles - McMichael                   "/>
        <s v="MA - Retail - Bonus Air Miles - Riders Valley               "/>
        <s v="MA - Retail - Bonus Air Miles - Seasons                     "/>
        <s v="MA - Retail - Bonus Air Miles - Sundance                    "/>
        <s v="NL  - Retail - Bonus Air Miles - 20 Bees                    "/>
        <s v="NL  - Retail - Bonus Air Miles - Dan Aykroyd                "/>
        <s v="NL  - Retail - Bonus Air Miles - De Sousa                   "/>
        <s v="NL  - Retail - Bonus Air Miles - EastDell                   "/>
        <s v="NL  - Retail - Bonus Air Miles - McMichael                  "/>
        <s v="NS  - Retail - Bonus Air Miles - 20 Bees                    "/>
        <s v="LCBO - Retail - Bonus Air Miles - 20 Bees                   "/>
        <s v="LCBO - Retail - Bonus Air Miles - Candy Wines               "/>
        <s v="LCBO - Retail - Bonus Air Miles - Dan Aykroyd               "/>
        <s v="LCBO - Retail - Bonus Air Miles - De Sousa                  "/>
        <s v="LCBO - Retail - Bonus Air Miles - EastDell                  "/>
        <s v="LCBO - Retail - Bonus Air Miles - Fresh                     "/>
        <s v="LCBO - Retail - Bonus Air Miles - Hat Trick                 "/>
        <s v="LCBO - Retail - Bonus Air Miles - Honour &amp; Valour           "/>
        <s v="LCBO - Retail - Bonus Air Miles - Lakeview                  "/>
        <s v="LCBO - Retail - Bonus Air Miles - McMichael                 "/>
        <s v="LCBO - Retail - Bonus Air Miles - Riders Valley             "/>
        <s v="LCBO - Retail - Bonus Air Miles - Seasons                   "/>
        <s v="LCBO - Retail - Bonus Air Miles - Tzafona                   "/>
        <s v="MA - Retail - End Aisles - Dan Aykroyd                      "/>
        <s v="MA - Retail - End Aisles - De Sousa                         "/>
        <s v="MA - Retail - End Aisles - EastDell                         "/>
        <s v="MA - Retail - End Aisles - Fresh                            "/>
        <s v="MA - Retail - End Aisles - Honour &amp; Valour                  "/>
        <s v="MA - Retail - End Aisles - McMichael                        "/>
        <s v="NL  - Retail - End Aisles - Fresh                           "/>
        <s v="LCBO - Retail - End Aisles - 20 Bees                        "/>
        <s v="LCBO - Retail - End Aisles - Candy Wines                    "/>
        <s v="LCBO - Retail - End Aisles - Dan Aykroyd                    "/>
        <s v="LCBO - Retail - End Aisles - EastDell                       "/>
        <s v="LCBO - Retail - End Aisles - Fresh                          "/>
        <s v="LCBO - Retail - End Aisles - Hat Trick                      "/>
        <s v="LCBO - Retail - End Aisles - Honour &amp; Valour                "/>
        <s v="LCBO - Retail - End Aisles - Lakeview                       "/>
        <s v="LCBO - Retail - End Aisles - McMichael                      "/>
        <s v="LCBO - Retail - End Aisles - Riders Valley                  "/>
        <s v="AB - Retail - LTOs - 20 Bees                                "/>
        <s v="AB - Retail - LTOs - Dan Aykroyd                            "/>
        <s v="AB - Retail - LTOs - Fresh                                  "/>
        <s v="AB - Retail - LTOs - Hat Trick                              "/>
        <s v="AB - Retail - LTOs - Honour &amp; Valour                        "/>
        <s v="AB - Retail - LTOs - Lakeview                               "/>
        <s v="AB - Retail - LTOs - McMichael                              "/>
        <s v="AB - Retail - LTOs - Riders Valley                          "/>
        <s v="EXP - Retail - LTOs - EastDell                              "/>
        <s v="EXP - Retail - LTOs - Fresh                                 "/>
        <s v="EXP - Retail - LTOs - Hat Trick                             "/>
        <s v="EXP - Retail - LTOs - Honour &amp; Valour                       "/>
        <s v="EXP - Retail - LTOs - Lakeview                              "/>
        <s v="EXP - Retail - LTOs - Private Label                         "/>
        <s v="EXP - Retail - LTOs - Riders Valley                         "/>
        <s v="EXP - Retail - LTOs - Seasons                               "/>
        <s v="EXP - Retail - LTOs - Sundance                              "/>
        <s v="LIC - Retail - LTOs - 20 Bees                               "/>
        <s v="MA - Retail - LTOs - Dan Aykroyd                            "/>
        <s v="MA - Retail - LTOs - EastDell                               "/>
        <s v="MA - Retail - LTOs - Fresh                                  "/>
        <s v="MA - Retail - LTOs - Hat Trick                              "/>
        <s v="MB - Retail - LTOs - Honour &amp; Valour                        "/>
        <s v="MA - Retail - LTOs - Lakeview                               "/>
        <s v="MA - Retail - LTOs - McMichael                              "/>
        <s v="NL  - Retail - LTOs - 20 Bees                               "/>
        <s v="NL  - Retail - LTOs - Crooked Pine                          "/>
        <s v="NL  - Retail - LTOs - Dan Aykroyd                           "/>
        <s v="NL  - Retail - LTOs - EastDell                              "/>
        <s v="NL  - Retail - LTOs - Hat Trick                             "/>
        <s v="NL  - Retail - LTOs - McMichael                             "/>
        <s v="NL  - Retail - LTOs - Seasons                               "/>
        <s v="NS  - Retail - LTOs - 20 Bees                               "/>
        <s v="NS  - Retail - LTOs - De Sousa                              "/>
        <s v="NS  - Retail - LTOs - Fresh                                 "/>
        <s v="NS  - Retail - LTOs - Hat Trick                             "/>
        <s v="NS  - Retail - LTOs - Honour &amp; Valour                       "/>
        <s v="LCBO - Retail - LTOs - 20 Bees                              "/>
        <s v="LCBO - Retail - LTOs - Candy Wines                          "/>
        <s v="LCBO - Retail - LTOs - Dan Aykroyd                          "/>
        <s v="LCBO - Retail - LTOs - De Sousa                             "/>
        <s v="LCBO - Retail - LTOs - EastDell                             "/>
        <s v="LCBO - Retail - LTOs - Fresh                                "/>
        <s v="LCBO - Retail - LTOs - Hat Trick                            "/>
        <s v="LCBO - Retail - LTOs - Honour &amp; Valour                      "/>
        <s v="LCBO - Retail - LTOs - Lakeview                             "/>
        <s v="LCBO - Retail - LTOs - McMichael                            "/>
        <s v="LCBO - Retail - LTOs - Riders Valley                        "/>
        <s v="LCBO - Retail - LTOs - Seasons                              "/>
        <s v="LCBO - Retail - LTOs - Sundance                             "/>
        <s v="PE  - Retail - LTOs - EastDell                              "/>
        <s v="SK - Retail - LTOs - Lakeview                               "/>
        <s v="SK - Retail - LTOs - Sundance                               "/>
        <s v="LCBO - Retail - Neck Tags - 20 Bees                         "/>
        <s v="LCBO - Retail - Neck Tags - Dan Aykroyd                     "/>
        <s v="LCBO - Retail - Neck Tags - EastDell                        "/>
        <s v="LCBO - Retail - Neck Tags - Fresh                           "/>
        <s v="LCBO - Retail - Neck Tags - Hat Trick                       "/>
        <s v="LCBO - Retail - Neck Tags - Honour &amp; Valour                 "/>
        <s v="LCBO - Retail - Neck Tags - Lakeview                        "/>
        <s v="LCBO - Retail - Neck Tags - McMichael                       "/>
        <s v="PE  - Retail - Neck Tags - De Sousa                         "/>
        <s v="PE  - Retail - Neck Tags - Hat Trick                        "/>
        <s v="PE  - Retail - Neck Tags - Honour &amp; Valour                  "/>
        <s v="LIC - Retail - Other Displays - 20 Bees                     "/>
        <s v="NL  - Retail - Other Displays - 20 Bees                     "/>
        <s v="NL  - Retail - Other Displays - Candy Wines                 "/>
        <s v="NL  - Retail - Other Displays - EastDell                    "/>
        <s v="NS  - Retail - Other Displays - 20 Bees                     "/>
        <s v="LCBO - Retail - Fridge Program - 20 Bees                    "/>
        <s v="LCBO - Retail - Fridge Program - Candy Wines                "/>
        <s v="LCBO - Retail - Fridge Program - Dan Aykroyd                "/>
        <s v="LCBO - Retail - Fridge Program - De Sousa                   "/>
        <s v="LCBO - Retail - Fridge Program - EastDell                   "/>
        <s v="LCBO - Retail - Fridge Program - Fresh                      "/>
        <s v="LCBO - Retail - Fridge Program - Hat Trick                  "/>
        <s v="LCBO - Retail - Fridge Program - Honour &amp; Valour            "/>
        <s v="LCBO - Retail - Fridge Program - Lakeview                   "/>
        <s v="LCBO - Retail - Fridge Program - McMichael                  "/>
        <s v="LCBO - Retail - Fridge Program - Riders Valley              "/>
        <s v="LCBO - Retail - Fridge Program - Sundance                   "/>
        <s v="AB - Retail - Other Merchandising - 20 Bees                 "/>
        <s v="EXP - Retail - Other Merchandising - Hat Trick              "/>
        <s v="LIC - Retail - Other Merchandising - 20 Bees                "/>
        <s v="LIC - Retail - Other Merchandising - Dan Aykroyd            "/>
        <s v="LIC - Retail - Other Merchandising - EastDell               "/>
        <s v="LIC - Retail - Other Merchandising - Fresh                  "/>
        <s v="LIC - Retail - Other Merchandising - Hat Trick              "/>
        <s v="LIC - Retail - Other Merchandising - McMichael              "/>
        <s v="NL  - Retail - Other Merchandising - Dan Aykroyd            "/>
        <s v="NL  - Retail - Other Merchandising - McMichael              "/>
        <s v="LCBO - Retail - Other Merchandising - 20 Bees               "/>
        <s v="LCBO - Retail - Other Merchandising - Candy Wines           "/>
        <s v="LCBO - Retail - Other Merchandising - Dan Aykroyd           "/>
        <s v="LCBO - Retail - Other Merchandising - De Sousa              "/>
        <s v="LCBO - Retail - Other Merchandising - EastDell              "/>
        <s v="LCBO - Retail - Other Merchandising - Fresh                 "/>
        <s v="LCBO - Retail - Other Merchandising - Hat Trick             "/>
        <s v="LCBO - Retail - Other Merchandising - Honour &amp; Valour       "/>
        <s v="LCBO - Retail - Other Merchandising - Lakeview              "/>
        <s v="LCBO - Retail - Other Merchandising - McMichael             "/>
        <s v="LCBO - Retail - Other Merchandising - Riders Valley         "/>
        <s v="AB - Retail - Shelf Extenders - Lakeview                    "/>
        <s v="LCBO - Retail - Shelf Extenders - 20 Bees                   "/>
        <s v="LCBO - Retail - Shelf Extenders - Candy Wines               "/>
        <s v="LCBO - Retail - Shelf Extenders - Dan Aykroyd               "/>
        <s v="LCBO - Retail - Shelf Extenders - De Sousa                  "/>
        <s v="LCBO - Retail - Shelf Extenders - EastDell                  "/>
        <s v="LCBO - Retail - Shelf Extenders - Fresh                     "/>
        <s v="LCBO - Retail - Shelf Extenders - Hat Trick                 "/>
        <s v="LCBO - Retail - Shelf Extenders - Honour &amp; Valour           "/>
        <s v="LCBO - Retail - Shelf Extenders - McMichael                 "/>
        <s v="LCBO - Retail - Shelf Extenders - Riders Valley             "/>
        <s v="AB - Retail - Shelf Talkers - 20 Bees                       "/>
        <s v="AB - Retail - Shelf Talkers - Hat Trick                     "/>
        <s v="AB - Retail - Shelf Talkers - Honour &amp; Valour               "/>
        <s v="MB - Retail - Shelf Talkers - 20 Bees                       "/>
        <s v="MB - Retail - Shelf Talkers - Dan Aykroyd                   "/>
        <s v="MB - Retail - Shelf Talkers - Hat Trick                     "/>
        <s v="MB - Retail - Shelf Talkers - Honour &amp; Valour               "/>
        <s v="MB - Retail - Shelf Talkers - McMichael                     "/>
        <s v="NS  - Retail - Shelf Talkers - 20 Bees                      "/>
        <s v="LCBO - Retail - Shelf Talkers - 20 Bees                     "/>
        <s v="LCBO - Retail - Shelf Talkers - Candy Wines                 "/>
        <s v="LCBO - Retail - Shelf Talkers - Dan Aykroyd                 "/>
        <s v="LCBO - Retail - Shelf Talkers - De Sousa                    "/>
        <s v="LCBO - Retail - Shelf Talkers - EastDell                    "/>
        <s v="LCBO - Retail - Shelf Talkers - Fresh                       "/>
        <s v="LCBO - Retail - Shelf Talkers - Hat Trick                   "/>
        <s v="LCBO - Retail - Shelf Talkers - Honour &amp; Valour             "/>
        <s v="LCBO - Retail - Shelf Talkers - Lakeview                    "/>
        <s v="LCBO - Retail - Shelf Talkers - McMichael                   "/>
        <s v="LCBO - Retail - Shelf Talkers - Riders Valley               "/>
        <s v="SK - Retail - Shelf Talkers - 20 Bees                       "/>
        <s v="SK - Retail - Shelf Talkers - Benchmark                     "/>
        <s v="SK - Retail - Shelf Talkers - Candy Wines                   "/>
        <s v="SK - Retail - Shelf Talkers - Celine Dion                   "/>
        <s v="SK - Retail - Shelf Talkers - Crooked Pine                  "/>
        <s v="SK - Retail - Shelf Talkers - Dan Aykroyd                   "/>
        <s v="SK - Retail - Shelf Talkers - De Sousa                      "/>
        <s v="SK - Retail - Shelf Talkers - EastDell                      "/>
        <s v="SK - Retail - Shelf Talkers - Fresh                         "/>
        <s v="SK - Retail - Shelf Talkers - Hat Trick                     "/>
        <s v="SK - Retail - Shelf Talkers - Honour &amp; Valour               "/>
        <s v="SK - Retail - Shelf Talkers - Lakeview                      "/>
        <s v="SK - Retail - Shelf Talkers - McMichael                     "/>
        <s v="SK - Retail - Shelf Talkers - Private Label                 "/>
        <s v="SK - Retail - Shelf Talkers - Riders Valley                 "/>
        <s v="SK - Retail - Shelf Talkers - Seasons                       "/>
        <s v="SK - Retail - Shelf Talkers - Sundance                      "/>
        <s v="NB  - Retail - Value-Adds - Sundance                        "/>
        <s v="LCBO - Retail - Value-Adds - 20 Bees                        "/>
        <s v="LCBO - Retail - Value-Adds - DeSousa                        "/>
        <s v="LCBO - Retail - Value-Adds - EastDell                       "/>
        <s v="LCBO - Retail - Value-Adds - Honour &amp; Valour                "/>
        <s v="LCBO - Retail - Value-Adds - Lakeview                       "/>
        <s v="Retail - Promotional Expense                                "/>
        <s v="LIC - Retail - Promotions - 20 Bees                         "/>
        <s v="LIC - Retail - Promotions - Benchmark                       "/>
        <s v="LIC - Retail - Promotions - Dan Aykroyd                     "/>
        <s v="LIC - Retail - Promotions - EastDell                        "/>
        <s v="LIC - Retail - Promotions - Fresh                           "/>
        <s v="LIC - Retail - Promotions - Hat Trick                       "/>
        <s v="LIC - Retail - Promotions - Lakeview                        "/>
        <s v="LIC - Retail - Promotions - McMichael                       "/>
        <s v="NB  - Retail - Promotions - Honour &amp; Valour                 "/>
        <s v="LCBO - Retail - Promotions - 20 Bees                        "/>
        <s v="LCBO - Retail - Promotions - Candy Wines                    "/>
        <s v="LCBO - Retail - Promotions - Dan Ayrkoyd                    "/>
        <s v="LCBO - Retail - Promotions - De Sousa                       "/>
        <s v="LCBO - Retail - Promotions - EastDell                       "/>
        <s v="LCBO - Retail - Promotions - Fresh                          "/>
        <s v="LCBO - Retail - Promotions - Hat Trick                      "/>
        <s v="LCBO - Retail - Promotions - Lakeview                       "/>
        <s v="LCBO - Retail - Promotions - McMichael                      "/>
        <s v="LCBO - Retail - Promotions - Riders Valley                  "/>
        <s v="LCBO - Retail - Vintages - Lakeview                         "/>
        <s v="AB - Samples - On-Premise - 20 Bees                         "/>
        <s v="AB - Samples - On-Premise - Dan Aykroyd                     "/>
        <s v="AB - Samples - On-Premise - EastDell                        "/>
        <s v="AB - Samples - On-Premise - Hat Trick                       "/>
        <s v="AB - Samples - On-Premise - Honour &amp; Valour                 "/>
        <s v="AB - Samples - On-Premise - Lakeview                        "/>
        <s v="AB - Samples - On-Premise - McMichael                       "/>
        <s v="AB - Samples - On-Premise - Riders Valley                   "/>
        <s v="BC - Samples - On-Premise - Candy Wines                     "/>
        <s v="EXP - Samples - On-Premise - 20 Bees                        "/>
        <s v="EXP - Samples - On-Premise - Dan Aykroyd                    "/>
        <s v="EXP - Samples - On-Premise - EastDell                       "/>
        <s v="EXP - Samples - On-Premise - Honour &amp; Valour                "/>
        <s v="EXP - Samples - On-Premise - Lakeview                       "/>
        <s v="EXP - Samples - On-Premise - McMichael                      "/>
        <s v="EXP - Samples - On-Premise - Seasons                        "/>
        <s v="EXP - Samples - On-Premise - Tzafona                        "/>
        <s v="LIC - Samples - On-Premise - 20 Bees                        "/>
        <s v="LIC - Samples - On-Premise - Benchmark                      "/>
        <s v="LIC - Samples - On-Premise - Candy Wines                    "/>
        <s v="LIC - Samples - On-Premise - Dan Aykroyd                    "/>
        <s v="LIC - Samples - On-Premise - EastDell                       "/>
        <s v="LIC - Samples - On-Premise - Honour &amp; Valour                "/>
        <s v="LIC - Samples - On-Premise - Lakeview                       "/>
        <s v="LIC - Samples - On-Premise - McMichael                      "/>
        <s v="LIC - Samples - On-Premise - Riders Valley                  "/>
        <s v="LIC - Samples - On-Premise - Seasons                        "/>
        <s v="NL  - Samples - On-Premise - 20 Bees                        "/>
        <s v="NS  - Samples - On-Premise - 20 Bees                        "/>
        <s v="LCBO - FSI - 20 Bees                                        "/>
        <s v="LCBO - FSI - Celine Dion                                    "/>
        <s v="LCBO - FSI - Dan Aykroyd                                    "/>
        <s v="LCBO - FSI - EastDell                                       "/>
        <s v="LCBO - FSI - Fresh                                          "/>
        <s v="LCBO - FSI - Hat Trick                                      "/>
        <s v="LCBO - FSI - Honour &amp; Valour                                "/>
        <s v="LCBO - FSI - Lakeview                                       "/>
        <s v="LCBO - FSI - McMichael                                      "/>
        <s v="LCBO - FSI - Riders Valley                                  "/>
        <s v="LCBO - FSI - Seasons                                        "/>
        <s v="QC  - Samples - On-Premise - 20 Bees                        "/>
        <s v="AB - Trade Sample Refund - Dan Aykroyd                      "/>
        <s v="AB - Trade Sample Refund - McMichael                        "/>
        <s v="LCBO - Trade Sample Refund - 20 Bees                        "/>
        <s v="LCBO - Trade Sample Refund - Dan Aykroyd                    "/>
        <s v="LCBO - Trade Sample Refund - EastDell                       "/>
        <s v="LCBO - Trade Sample Refund - Fresh                          "/>
        <s v="LCBO - Trade Sample Refund - Hat Trick                      "/>
        <s v="LCBO - Trade Sample Refund - Lakeview                       "/>
        <s v="LCBO - Trade Sample Refund - McMichael                      "/>
        <s v="LCBO - Trade Sample Refund - Sundance                       "/>
        <s v="QC  - Trade Sample Refund - De Sousa                        "/>
        <s v="Retail - Direct Mail/Postage                                "/>
        <s v="Retail - Events - Expenses                                  "/>
        <s v="New Brand Development - FB                                  "/>
        <s v="LIC - Misc - 20 Bees                                        "/>
        <s v="LIC - Misc - Celine Dion                                    "/>
        <s v="LIC - Misc - Dan Aykroyd                                    "/>
        <s v="LIC - Misc - EastDell                                       "/>
        <s v="LIC - Misc - Fresh                                          "/>
        <s v="LIC - Misc - Hat Trick                                      "/>
        <s v="LIC - Misc - Lakeview                                       "/>
        <s v="LIC - Misc - McMichael                                      "/>
        <s v="LIC - Misc - Seasons                                        "/>
        <s v="LIC - Misc - Sundance                                       "/>
        <s v="Retail - Website Expense                                    "/>
        <s v="Retail - Printing/Design Expense                            "/>
        <s v="Retail - Radio/TV                                           "/>
        <s v="Retail - Signange - 20 Bees                                 "/>
        <s v="Retail - Signange - Dan Aykroyd                             "/>
        <s v="Retail - Signange - EastDell                                "/>
        <s v="Retail - Signange - Honour &amp; Valour                         "/>
        <s v="Retail - Signange - Lakeview                                "/>
        <s v="Retail - Signange - McMichael                               "/>
        <s v="Sponsorship                                                 "/>
        <s v="Sponsorship - 20 Bees                                       "/>
        <s v="Sponsorship - Benchmark                                     "/>
        <s v="Sponsorship - Candy Wines                                   "/>
        <s v="Sponsorship - Celine Dion                                   "/>
        <s v="Sponsorship - Crooked Pine                                  "/>
        <s v="Sponsorship - Dan Aykroyd                                   "/>
        <s v="Sponsorship - De Sousa                                      "/>
        <s v="Sponsorship - EastDell                                      "/>
        <s v="Sponsorship - Fresh                                         "/>
        <s v="Sponsorship - Hat Trick                                     "/>
        <s v="Sponsorship - Honour &amp; Valour                               "/>
        <s v="Sponsorship - Lakeview                                      "/>
        <s v="Sponsorship - McMichael                                     "/>
        <s v="Sponsorship - Private Label                                 "/>
        <s v="Sponsorship - Riders Valley                                 "/>
        <s v="Sponsorship - Seasons                                       "/>
        <s v="Sponsorship - Sundance                                      "/>
        <s v="Retail - Corporate Rebranding - New Logo, Design, Signage   "/>
        <s v="MKT - Travel Airfare                                        "/>
        <s v="MKT - Travel - Hotels                                       "/>
        <s v="MKT - Travel - Meals                                        "/>
        <s v="MKT - Travel - Other                                        "/>
        <s v="Breakage &amp; Loss Expense                                     "/>
        <s v="EXP - Shipping Expense                                      "/>
        <s v="Licensee - Delivery Expense                                 "/>
        <s v="Delivery Van - Repairs                                      "/>
        <s v="Licensee - Giftware Promo COGS                              "/>
        <s v="LIC - Meals &amp; Entertainment                                 "/>
        <s v="Retail - Meals &amp; Entertainment                              "/>
        <s v="Retail - Farmer's Market Miscelllaneous                     "/>
        <s v="Retail Invoiced - Agency Wine Promo Wine - 20 Bees          "/>
        <s v="Retail Invoiced - Agency Wine Promo Wine - Benchmark        "/>
        <s v="Retail Invoiced - Agency Wine Promo Wine - Candy Wines      "/>
        <s v="Retail Invoiced - Agency Wine Promo Wine - Celine Dion      "/>
        <s v="Retail Invoiced - Agency Wine Promo Wine - Crooked Pine     "/>
        <s v="Retail Invoiced - Agency Wine Promo Wine - Dan Aykroyd      "/>
        <s v="Retail Invoiced - Agency Wine Promo Wine - De Sousa         "/>
        <s v="Retail Invoiced - Agency Wine Promo Wine - EastDell         "/>
        <s v="Retail Invoiced - Agency Wine Promo Wine - Fresh            "/>
        <s v="Retail Invoiced - Agency Wine Promo Wine - Hat Trick        "/>
        <s v="Retail Invoiced - Agency Wine Promo Wine - Honour &amp; Valour  "/>
        <s v="Retail Invoiced - Agency Wine Promo Wine - Lakeview         "/>
        <s v="Retail Invoiced - Agency Wine Promo Wine - McMichael        "/>
        <s v="Retail Invoiced - Agency Wine Promo Wine - Private Label    "/>
        <s v="Retail Invoiced - Agency Wine Promo Wine - Riders Valley    "/>
        <s v="Retail Invoiced - Agency Wine Promo Wine - Seasons          "/>
        <s v="Retail Invoiced - Agency Wine Promo Wine - Sundance         "/>
        <s v="Retail Invoiced - Agency Wine Promo Wine - Tzafona          "/>
        <s v="Retail Invoiced - Promo Wine - 20 Bees                      "/>
        <s v="Retail Invoiced - Promo Wine - Benchmark                    "/>
        <s v="Retail Invoiced - Promo Wine - Candy Wines                  "/>
        <s v="Retail Invoiced - Promo Wine - Celine Dion                  "/>
        <s v="Retail Invoiced - Promo Wine - Crooked Pine                 "/>
        <s v="Retail Invoiced - Promo Wine - Dan Aykroyd                  "/>
        <s v="Retail Invoiced - Promo Wine - De Sousa                     "/>
        <s v="Retail Invoiced - Promo Wine - EastDell                     "/>
        <s v="Retail Invoiced - Promo Wine - Fresh                        "/>
        <s v="Retail Invoiced - Promo Wine - Hat Trick                    "/>
        <s v="Retail Invoiced - Promo Wine - Honour &amp; Valour              "/>
        <s v="Retail Invoiced - Promo Wine - Lakeview                     "/>
        <s v="Retail Invoiced - Promo Wine - McMichael                    "/>
        <s v="Retail Invoiced - Promo Wine - Private Label                "/>
        <s v="Retail Invoiced - Promo Wine - Riders Valley                "/>
        <s v="Retail Invoiced - Promo Wine - Seasons                      "/>
        <s v="Retail Invoiced - Promo Wine - Sundance                     "/>
        <s v="Retail Invoiced - Promo Wine - Tzafona                      "/>
        <s v="Retail Onsite Promo Wine - 20 Bees                          "/>
        <s v="Retail Onsite Promo Wine - Benchmark                        "/>
        <s v="Retail Onsite Promo Wine - Candy Wines                      "/>
        <s v="Retail Onsite Promo Wine - Celine Dion                      "/>
        <s v="Retail Onsite Promo Wine - Crooked Pine                     "/>
        <s v="Retail Onsite Promo Wine - Dan Aykroyd                      "/>
        <s v="Retail Onsite Promo Wine - De Sousa                         "/>
        <s v="Retail Onsite Promo Wine - EastDell                         "/>
        <s v="Retail Onsite Promo Wine - Fresh                            "/>
        <s v="Retail Onsite Promo Wine - Hat Trick                        "/>
        <s v="Retail Onsite Promo Wine - Honour &amp; Valour                  "/>
        <s v="Retail Onsite Promo Wine - Lakeview                         "/>
        <s v="Retail Onsite Promo Wine - McMichael                        "/>
        <s v="Retail Onsite Promo Wine - Private Label                    "/>
        <s v="Retail Onsite Promo Wine - Riders Valley                    "/>
        <s v="Retail Onsite Promo Wine - Seasons                          "/>
        <s v="Retail Onsite Promo Wine - Sundance                         "/>
        <s v="Retail Invoiced - Wine Club Promo Wine - 20 Bees            "/>
        <s v="Retail Invoiced - Wine Club Promo Wine - Dan Aykroyd        "/>
        <s v="Retail Invoiced - Wine Club Promo Wine - De Sousa           "/>
        <s v="Retail Invoiced - Wine Club Promo Wine - EastDell           "/>
        <s v="Retail Invoiced - Wine Club Promo Wine - Lakeview           "/>
        <s v="Retail Invoiced - Wine Club Promo Wine - McMichael          "/>
        <s v="Retail Invoiced - Wine Club Promo Wine - Sundance           "/>
        <s v="Retail Invoiced - Winery to Home Wine Promo Wine - 20 Bees  "/>
        <s v="Retail Invoiced - Winery to Home Wine Promo Wine - EastDell "/>
        <s v="Retail Invoiced - Winery to Home Wine Promo Wine - Fresh    "/>
        <s v="Retail Invoiced - Winery to Home Wine Promo Wine - Lakeview "/>
        <s v="Retail Invoiced - Promo Wine - Executive CEO                "/>
        <s v="Retail Invoiced - Promo Wine - Executive CFO                "/>
        <s v="Retail Invoiced - Promo Wine - Executive Marketing          "/>
        <s v="Retail Invoiced - Promo Wine - Executive Sales              "/>
        <s v="Retail Invoiced - Promo Wine - Executive Winemaking         "/>
        <s v="LIC - IND - Meals &amp; Entertainment                           "/>
        <s v="NS - Meals &amp; Entertainment                                  "/>
        <s v="LIC - IND - Sales Meeting Expenses                          "/>
        <s v="NS - Sales Meeting Expenses                                 "/>
        <s v="LIC - IND - Travel Airfare                                  "/>
        <s v="NS - Travel Airfare                                         "/>
        <s v="LIC - IND - Travel - Hotels                                 "/>
        <s v="NS - Travel - Hotels                                        "/>
        <s v="LIC - IND - Travel - Meals                                  "/>
        <s v="NS - Travel - Meals                                         "/>
        <s v="LIC - IND - Travel - Other                                  "/>
        <s v="NS - Travel - Other                                         "/>
        <s v="Duty Free - Marketing and Advertising - 20 Bees             "/>
        <s v="Duty Free - Marketing and Advertising - Dan Aykroyd         "/>
        <s v="Duty Free - Marketing and Advertising - EastDell            "/>
        <s v="Duty Free - Marketing and Advertising - Fresh               "/>
        <s v="Duty Free - Marketing and Advertising - Hat Trick           "/>
        <s v="Duty Free - Marketing and Advertising - Lakeview            "/>
        <s v="Duty Free - Marketing and Advertising - McMichael           "/>
        <s v="Duty Free - Marketing and Advertising - Seasons             "/>
        <s v="Duty Free - Marketing and Advertising - Sundance            "/>
        <s v="EXP - Promo Wine Expense - 20 Bees                          "/>
        <s v="EXP - Promo Wine Expense - Benchmark                        "/>
        <s v="EXP - Promo Wine Expense - Celine Dion                      "/>
        <s v="EXP - Promo Wine Expense - Crooked Pine                     "/>
        <s v="EXP - Promo Wine Expense - Dan Aykroyd                      "/>
        <s v="EXP - Promo Wine Expense - De Sousa                         "/>
        <s v="EXP - Promo Wine Expense - EastDell                         "/>
        <s v="EXP - Promo Wine Expense - Fresh                            "/>
        <s v="EXP - Promo Wine Expense - Hat Trick                        "/>
        <s v="EXP - Promo Wine Expense - Lakeview                         "/>
        <s v="EXP - Promo Wine Expense - McMichael                        "/>
        <s v="EXP - Promo Wine Expense - Private Label                    "/>
        <s v="EXP - Promo Wine Expense - Riders Valley                    "/>
        <s v="EXP - Promo Wine Expense - Seasons                          "/>
        <s v="EXP - Promo Wine Expense - Sundance                         "/>
        <s v="Licensee - Wine Promo Expense - 20 Bees                     "/>
        <s v="Licensee - Wine Promo Expense - Benchmark                   "/>
        <s v="Licensee - Wine Promo Expense - Candy Wines                 "/>
        <s v="Licensee - Wine Promo Expense - Celine Dion                 "/>
        <s v="Licensee - Wine Promo Expense - Crooked Pine                "/>
        <s v="Licensee - Wine Promo Expense - Dan Aykroyd                 "/>
        <s v="Licensee - Wine Promo Expense - De Sousa                    "/>
        <s v="Licensee - Wine Promo Expense - EastDell                    "/>
        <s v="Licensee - Wine Promo Expense - Fresh                       "/>
        <s v="Licensee - Wine Promo Expense - Hat Trick                   "/>
        <s v="Licensee - Wine Promo Expense - Honour &amp; Valour             "/>
        <s v="Licensee - Wine Promo Expense - Lakeview                    "/>
        <s v="Licensee - Wine Promo Expense - McMichael                   "/>
        <s v="Licensee - Wine Promo Expense - Private Label               "/>
        <s v="Licensee - Wine Promo Expense - Riders Valley               "/>
        <s v="Licensee - Wine Promo Expense - Seasons                     "/>
        <s v="Licensee - Wine Promo Expense - Sundance                    "/>
        <s v="NS   - Promo Wine Expense - De Sousa                        "/>
        <s v="NS   - Promo Wine Expense - EastDell                        "/>
        <s v="NS   - Promo Wine Expense - Honour &amp; Valour                 "/>
        <s v="LIC - Sales Meeting Expenses                                "/>
        <s v="Export - Travel Airfare                                     "/>
        <s v="LIC - Travel Airfare                                        "/>
        <s v="Export - Travel Hotel                                       "/>
        <s v="LIC - Travel - Hotels                                       "/>
        <s v="Export - Travel Meals &amp; Entertainment                       "/>
        <s v="LIC - Travel - Meals                                        "/>
        <s v="Export - Travel Other                                       "/>
        <s v="LIC - Travel - Other                                        "/>
        <s v="Wine Allotment - Expense - Production                       "/>
        <s v="Production - Meals &amp; Entertainment                          "/>
        <s v="Wine Allotment - Expense - Retail                           "/>
        <s v="Delivery Van - Gas                                          "/>
        <s v="Retail - Farmer's Market Fees                               "/>
        <s v="HO - Mileage                                                "/>
        <s v="HO - Auto - Parking                                         "/>
        <s v="HO - Auto - Tolls                                           "/>
        <s v="HO - Auto Allowance                                         "/>
        <s v="Automotive Expenses                                         "/>
        <s v="Auto - Lease                                                "/>
        <s v="HO - Auto - Fuel                                            "/>
        <s v="HO - Auto - Repairs                                         "/>
        <s v="MKT - Mileage                                               "/>
        <s v="MKT - Auto - Parking                                        "/>
        <s v="MKT - Auto - Tolls                                          "/>
        <s v="LIC - Mileage                                               "/>
        <s v="LIC - Auto - Parking                                        "/>
        <s v="LIC - Auto - Tolls                                          "/>
        <s v="LIC - IND - Mileage                                         "/>
        <s v="NS - Mileage                                                "/>
        <s v="LIC - IND - Auto Allowance                                  "/>
        <s v="LIC - IND - Auto - Fuel                                     "/>
        <s v="LIC - IND - Auto - Parking                                  "/>
        <s v="NS - Auto - Parking                                         "/>
        <s v="LIC - IND - Auto - Tolls                                    "/>
        <s v="NS - Auto - Tolls                                           "/>
        <s v="Bad Debt Expense                                            "/>
        <s v="Bad Debt Expense-AUD                                        "/>
        <s v="Bad Debt Expense-EUR                                        "/>
        <s v="Bad Debt Expense-GBP                                        "/>
        <s v="Bad Debt Expense-USD                                        "/>
        <s v="AB - Extra-Provincial Commissions - 20 Bees                 "/>
        <s v="AB - Extra-Provincial Commissions - Candy Wines             "/>
        <s v="AB - Extra-Provincial Commissions - Dan Aykroyd             "/>
        <s v="AB - Extra-Provincial Commissions - De Sousa                "/>
        <s v="AB - Extra-Provincial Commissions - EastDell                "/>
        <s v="AB - Extra-Provincial Commissions - Fresh                   "/>
        <s v="AB - Extra-Provincial Commissions - Hat Trick               "/>
        <s v="AB - Extra-Provincial Commissions - Honour &amp; Valour         "/>
        <s v="AB - Extra-Provincial Commissions - Lakeview                "/>
        <s v="AB - Extra-Provincial Commissions - McMichael               "/>
        <s v="AB - Extra-Provincial Commissions - Riders Valley           "/>
        <s v="AB - Extra-Provincial Commissions - Seasons                 "/>
        <s v="AB - Extra-Provincial Commissions - Sundance                "/>
        <s v="Retail Invoiced - Agency Commissions - 20 Bees              "/>
        <s v="Retail Invoiced - Agency Commissions - Benchmark            "/>
        <s v="Retail Invoiced - Agency Commissions - Celine Dion          "/>
        <s v="Retail Invoiced - Agency Commissions - Dan Aykroyd          "/>
        <s v="Retail Invoiced - Agency Commissions - De Sousa             "/>
        <s v="Retail Invoiced - Agency Commissions - EastDell             "/>
        <s v="Retail Invoiced - Agency Commissions - Fresh                "/>
        <s v="Retail Invoiced - Agency Commissions - Hat Trick            "/>
        <s v="Retail Invoiced - Agency Commissions - Honour &amp; Valour      "/>
        <s v="Retail Invoiced - Agency Commissions - Lakeview             "/>
        <s v="Retail Invoiced - Agency Commissions - McMichael            "/>
        <s v="Retail Invoiced - Agency Commissions - Private Label        "/>
        <s v="Retail Invoiced - Agency Commissions - Riders Valley        "/>
        <s v="Retail Invoiced - Agency Commissions - Seasons              "/>
        <s v="Retail Invoiced - Agency Commissions - Sundance             "/>
        <s v="BC - Extra-Provincial Commissions - 20 Bees                 "/>
        <s v="Duty Free - Commissions - 20 Bees                           "/>
        <s v="Duty Free - Commissions - Celine Dion                       "/>
        <s v="Duty Free - Commissions - Dan Aykroyd                       "/>
        <s v="Duty Free - Commissions - EastDell                          "/>
        <s v="Duty Free - Commissions - Fresh                             "/>
        <s v="Duty Free - Commissions - Hat Trick                         "/>
        <s v="Duty Free - Commissions - Honour &amp; Valour                   "/>
        <s v="Duty Free - Commissions - Lakeview                          "/>
        <s v="Duty Free - Commissions - McMichael                         "/>
        <s v="Duty Free - Commissions - Seasons                           "/>
        <s v="Duty Free - Commissions - Sundance                          "/>
        <s v="EXP - Commisisons - 20 Bees                                 "/>
        <s v="EXP - Commissions - Celine Dion                             "/>
        <s v="EXP - Commisisons - De Sousa                                "/>
        <s v="EXP - Commisisons - EastDell                                "/>
        <s v="EXP - Commisisons - Fresh                                   "/>
        <s v="EXP - Commisisons - Private Label                           "/>
        <s v="EXP - Commisisons - Riders Valley                           "/>
        <s v="EXP - Commisisons - Seasons                                 "/>
        <s v="Retail Invoiced - Commissions - 20 Bees                     "/>
        <s v="Retail Invoiced - Commissions - Benchmark                   "/>
        <s v="Retail Invoiced - Commissions - Candy Wines                 "/>
        <s v="Retail Invoiced - Commissions - Celine Dion                 "/>
        <s v="Retail Invoiced - Commissions - Crooked Pine                "/>
        <s v="Retail Invoiced - Commissions - Dan Aykroyd                 "/>
        <s v="Retail Invoiced - Commissions - De Sousa                    "/>
        <s v="Retail Invoiced - Commissions - EastDell                    "/>
        <s v="Retail Invoiced - Commissions - Fresh                       "/>
        <s v="Retail Invoiced - Commissions - Hat Trick                   "/>
        <s v="Retail Invoiced - Commissions - Honour &amp; Valour             "/>
        <s v="Retail Invoiced - Commissions - Lakeview                    "/>
        <s v="Retail Invoiced - Commissions - McMichael                   "/>
        <s v="Retail Invoiced - Commissions - Private Label               "/>
        <s v="Retail Invoiced - Commissions - Riders Valley               "/>
        <s v="Retail Invoiced - Commissions - Seasons                     "/>
        <s v="Retail Invoiced - Commissions - Sundance                    "/>
        <s v="Licensee - Commissions - 20 Bees                            "/>
        <s v="Licensee - Commissions - Benchmark                          "/>
        <s v="Licensee - Commissions - Candy Wines                        "/>
        <s v="Licensee - Commissions - Celine Dion                        "/>
        <s v="Licensee - Commissions - Crooked Pine                       "/>
        <s v="Licensee - Commissions - Dan Aykroyd                        "/>
        <s v="Licensee - Commissions - De Sousa                           "/>
        <s v="Licensee - Commissions - EastDell                           "/>
        <s v="Licensee - Commissions - Fresh                              "/>
        <s v="Licensee - Commissions - Hat Trick                          "/>
        <s v="Licensee - Commissions - Honour &amp; Valour                    "/>
        <s v="Licensee - Commissions - Lakeview                           "/>
        <s v="Licensee - Commissions - McMichael                          "/>
        <s v="Licensee - Commissions - Private Label                      "/>
        <s v="Licensee - Commissions - Riders Valley                      "/>
        <s v="Licensee - Commissions - Seasons                            "/>
        <s v="Licensee - Commissions - Sundance                           "/>
        <s v="MA - Extra-Provincial Commissions - 20 Bees                 "/>
        <s v="MA - Extra-Provincial Commissions - Dan Aykroyd             "/>
        <s v="MA - Extra-Provincial Commissions - EastDell                "/>
        <s v="MA - Extra-Provincial Commissions - Fresh                   "/>
        <s v="MA - Extra-Provincial Commissions - Hat Trick               "/>
        <s v="MA - Extra-Provincial Commissions - Honour &amp; Valour         "/>
        <s v="MA - Extra-Provincial Commissions - Lakeview                "/>
        <s v="MA - Extra-Provincial Commissions - McMichael               "/>
        <s v="NB - Extra-Provincial Commissions - 20 Bees                 "/>
        <s v="NB - Extra-Provincial Commissions - Hat Trick               "/>
        <s v="NB - Extra-Provincial Commissions - Honour &amp; Valour         "/>
        <s v="NB - Extra-Provincial Commissions - Riders Valley           "/>
        <s v="NL - Extra-Provincial Commissions - 20 Bees                 "/>
        <s v="NL - Extra-Provincial Commissions - Candy                   "/>
        <s v="NL - Extra-Provincial Commissions - Dan Aykroyd             "/>
        <s v="NL - Extra-Provincial Commissions - EastDell                "/>
        <s v="NL - Extra-Provincial Commissions - Hat Trick               "/>
        <s v="NL - Extra-Provincial Commissions - Honour &amp; Valour         "/>
        <s v="NL - Extra-Provincial Commissions - McMichael               "/>
        <s v="NL - Extra-Provincial Commissions - Seasons                 "/>
        <s v="NL - Extra-Provincial Commissions - Sundance                "/>
        <s v="NS - Extra-Provincial Commissions - 20 Bees                 "/>
        <s v="NS - Extra-Provincial Commissions - Dan Aykroyd             "/>
        <s v="NS - Extra-Provincial Commissions - EastDell                "/>
        <s v="NS - Extra-Provincial Commissions - Fresh                   "/>
        <s v="NS - Extra-Provincial Commissions - Hat Trick               "/>
        <s v="NS - Extra-Provincial Commissions - Honour &amp; Valour         "/>
        <s v="NS - Extra-Provincial Commissions - Lakeview                "/>
        <s v="NS - Extra-Provincial Commissions - McMichael               "/>
        <s v="NS - Extra-Provincial Commissions - Seasons                 "/>
        <s v="Retail - Bus Tour Commissions                               "/>
        <s v="LCBO - Commissions and Fees - 20 Bees                       "/>
        <s v="LCBO - Commissions and Fees - Candy Wines                   "/>
        <s v="LCBO - Commissions and Fees - Celine Dion                   "/>
        <s v="LCBO - Commissions and Fees - Crooked Pine                  "/>
        <s v="LCBO - Commissions and Fees - Dan Aykroyd                   "/>
        <s v="LCBO - Commissions and Fees - De Sousa                      "/>
        <s v="LCBO - Commissions and Fees - EastDell                      "/>
        <s v="LCBO - Commissions and Fees - Fresh                         "/>
        <s v="LCBO - Commissions and Fees - Hat Trick                     "/>
        <s v="LCBO - Commissions and Fees - Honour &amp; Valour               "/>
        <s v="LCBO - Commissions and Fees - Lakeview                      "/>
        <s v="LCBO - Commissions and Fees - McMichael                     "/>
        <s v="LCBO - Commissions and Fees - Private Label                 "/>
        <s v="LCBO - Commissions and Fees - Riders Valley                 "/>
        <s v="LCBO - Commissions and Fees - Seasons                       "/>
        <s v="LCBO - Commissions and Fees - Sundance                      "/>
        <s v="PE - Extra-Provincial Commissions - Honour &amp; Valour         "/>
        <s v="PE - Extra-Provincial Commissions - Lakeview                "/>
        <s v="QC - Extra-Provincial Commissions - 20 Bees                 "/>
        <s v="QC - Extra-Provincial Commissions - Dan Aykroyd             "/>
        <s v="QC - Extra-Provincial Commissions - EastDell                "/>
        <s v="QC - Extra-Provincial Commissions - Fresh                   "/>
        <s v="QC - Extra-Provincial Commissions - Honour &amp; Valour         "/>
        <s v="QC - Extra-Provincial Commissions - McMichael               "/>
        <s v="Retail - Commissions                                        "/>
        <s v="SK - Extra-Provincial Commissions - 20 Bees                 "/>
        <s v="SK - Extra-Provincial Commissions - Hat Trick               "/>
        <s v="SK - Extra-Provincial Commissions - Honour &amp; Valour         "/>
        <s v="SK - Extra-Provincial Commissions - Lakeview                "/>
        <s v="SK - Extra-Provincial Commissions - Sundance                "/>
        <s v="Retail Invoiced - Wine Club Commissions - EastDell          "/>
        <s v="Retail Invoiced - Winery to Home Commissions - 20 Bees      "/>
        <s v="Retail Invoiced - Winery to Home Commissions - Dan Aykroyd  "/>
        <s v="Retail Invoiced - Winery to Home Commissions - EastDell     "/>
        <s v="Retail Invoiced - Winery to Home Commissions - Fresh        "/>
        <s v="Retail Invoiced - Winery to Home Commissions - Hat Trick    "/>
        <s v="Retail Invoiced - Winery to Home Commissions - Honour &amp; Valo"/>
        <s v="Retail Invoiced - Winery to Home Commissions - Lakeview     "/>
        <s v="Retail Invoiced - Winery to Home Commissions - McMichael    "/>
        <s v="Retail Invoiced - Winery to Home Commissions - Riders Valley"/>
        <s v="Retail Invoiced - Winery to Home Commissions - Seasons      "/>
        <s v="Licensee - IND - Commissions - 20 Bees                      "/>
        <s v="Licensee - IND - Commissions - Benchmark                    "/>
        <s v="Licensee - IND - Commissions - Candy Wines                  "/>
        <s v="Licensee - IND - Commissions - Celine Dion                  "/>
        <s v="Licensee - IND - Commissions - Crooked Pine                 "/>
        <s v="Licensee - IND - Commissions - Dan Aykroyd                  "/>
        <s v="Licensee - IND - Commissions - De Sousa                     "/>
        <s v="Licensee - IND - Commissions - EastDell                     "/>
        <s v="Licensee - IND - Commissions - Fresh                        "/>
        <s v="Licensee - IND - Commissions - Hat Trick                    "/>
        <s v="Licensee - IND - Commissions - Honour &amp; Valour              "/>
        <s v="Licensee - IND - Commissions - Lakeview                     "/>
        <s v="Licensee - IND - Commissions - McMichael                    "/>
        <s v="Licensee - IND - Commissions - Private Label                "/>
        <s v="Licensee - IND - Commissions - Riders Valley                "/>
        <s v="Licensee - IND - Commissions - Seasons                      "/>
        <s v="Licensee - IND - Commissions - Sundance                     "/>
        <s v="HO - Wages                                                  "/>
        <s v="Maintenance Wages                                           "/>
        <s v="HO - CPP                                                    "/>
        <s v="HO - EHT                                                    "/>
        <s v="HO - EI                                                     "/>
        <s v="HO - Indirect                                               "/>
        <s v="HO - WSIB                                                   "/>
        <s v="HO - Benefits                                               "/>
        <s v="HO - Bonuses                                                "/>
        <s v="HO - Accounting Services Billback                           "/>
        <s v="HO - Relocation Expenses                                    "/>
        <s v="HO - Training                                               "/>
        <s v="HO - Uniforms                                               "/>
        <s v="HO - Board of Director Fees                                 "/>
        <s v="HO - Board of Director CPP                                  "/>
        <s v="HO - Board of Director EI                                   "/>
        <s v="HO - Board of Director EHT                                  "/>
        <s v="MKT - Wages                                                 "/>
        <s v="Retail - Events - Wages and Salaries                        "/>
        <s v="MKT - CPP                                                   "/>
        <s v="MKT - EHT                                                   "/>
        <s v="MKT - EI                                                    "/>
        <s v="MKT - WSIB                                                  "/>
        <s v="MKT - Benefits                                              "/>
        <s v="MKT - Bonuses                                               "/>
        <s v="MKT - Training                                              "/>
        <s v="Retail - Farmer's Market Wages                              "/>
        <s v="LIC - Wages                                                 "/>
        <s v="Retail - Wages                                              "/>
        <s v="LIC - CPP                                                   "/>
        <s v="Retail - CPP                                                "/>
        <s v="LIC - EHT                                                   "/>
        <s v="Retail - EHT                                                "/>
        <s v="LIC - EI                                                    "/>
        <s v="Retail - EI                                                 "/>
        <s v="LIC - Indirect                                              "/>
        <s v="Retail - Indirect                                           "/>
        <s v="LIC - WSIB                                                  "/>
        <s v="Retail - WSIB                                               "/>
        <s v="LIC - Benefits                                              "/>
        <s v="Employee Benefits - NS                                      "/>
        <s v="Retail - Benefits                                           "/>
        <s v="LIC - Bonuses                                               "/>
        <s v="Retail - Bonuses                                            "/>
        <s v="LIC - Training                                              "/>
        <s v="Retail - Training                                           "/>
        <s v="LIC - Uniforms                                              "/>
        <s v="Retail - Uniforms                                           "/>
        <s v="LIC - IND - Indirect                                        "/>
        <s v="NS - Indirect                                               "/>
        <s v="Auto - Insurance                                            "/>
        <s v="Insurance                                                   "/>
        <s v="Directors and Officers Insurance                            "/>
        <s v="Head Office Management Fees                                 "/>
        <s v="Property Taxes                                              "/>
        <s v="Lease-Oakwest                                               "/>
        <s v="Office Rent                                                 "/>
        <s v="Cleaning Expense                                            "/>
        <s v="Computer - Hardware                                         "/>
        <s v="Computer - Monthly Support                                  "/>
        <s v="Computer - Software                                         "/>
        <s v="Corporate Functions                                         "/>
        <s v="Photo Copier Lease &amp; Expense                                "/>
        <s v="Postage &amp; Courier                                           "/>
        <s v="Office Supplies                                             "/>
        <s v="Other - Expense Recovered                                   "/>
        <s v="HO - Wine Allotment                                         "/>
        <s v="HO - Board of Director Expenses                             "/>
        <s v="Exchange fees                                               "/>
        <s v="Exchange Fees - OSC Fees                                    "/>
        <s v="Exchange Fees - Transfer Agent Fees                         "/>
        <s v="Exchange Fees - AGM Expenses                                "/>
        <s v="Exchange Fees - Press Releases                              "/>
        <s v="MKT - Postage &amp; Courier                                     "/>
        <s v="MKT - Office Supplies                                       "/>
        <s v="MKT - Wine Allotment                                        "/>
        <s v="MKT - Recruitment                                           "/>
        <s v="Retail - Packaging                                          "/>
        <s v="LIC - Postage &amp; Courier                                     "/>
        <s v="Retail - Supplies                                           "/>
        <s v="LIC - Office Supplies                                       "/>
        <s v="Wine allotment Admin  DO NOT USE                            "/>
        <s v="LIC - Wine Allotment                                        "/>
        <s v="Production - Office Expenses                                "/>
        <s v="Retail - Service Contracts                                  "/>
        <s v="Retail - Supplies - Consumables                             "/>
        <s v="LIC - Recruitment                                           "/>
        <s v="LIC - IND - Office Supplies                                 "/>
        <s v="NS - Office Supplies                                        "/>
        <s v="LIC - IND - Postage &amp; Courier                               "/>
        <s v="NS - Postage &amp; Courier                                      "/>
        <s v="Do not Use                                                  "/>
        <s v="Do not Use-USD                                              "/>
        <s v="Accounting Fees                                             "/>
        <s v="Consulting Fees                                             "/>
        <s v="Legal Fees                                                  "/>
        <s v="Legal Fees-USD                                              "/>
        <s v="Legal Fees - Trademarks                                     "/>
        <s v="Management Fees                                             "/>
        <s v="Landscaping                                                 "/>
        <s v="Repairs and Maintenance to Building                         "/>
        <s v="Waste Disposal                                              "/>
        <s v="Cell Phone Expense                                          "/>
        <s v="Telephone Expense                                           "/>
        <s v="MKT - Cell Phone Expense                                    "/>
        <s v="New Brand Development - PT                                  "/>
        <s v="LIC - Cell Phone Expense                                    "/>
        <s v="Production - Cell Phones                                    "/>
        <s v="LIC - Telephone                                             "/>
        <s v="LIC - IND - Telephone                                       "/>
        <s v="LIC - NS - Telephone                                        "/>
        <s v="LIC - IND - Cell Phone Expense                              "/>
        <s v="NS - Cell Phone Expense                                     "/>
        <s v="Heat (Gas)  Expense                                         "/>
        <s v="Hydro Expense                                               "/>
        <s v="Water Expense                                               "/>
        <s v="Retail - Water                                              "/>
        <s v="Retail - Gas / Propane                                      "/>
        <s v="Retail - Hydro                                              "/>
        <s v="AB - Dan Aykroyd Royalties                                  "/>
        <s v="AB - Hat Trick Royalties                                    "/>
        <s v="AB - Honour &amp; Valour Royalties                              "/>
        <s v="AB - McMichael Royalties                                    "/>
        <s v="AB - Tzafona Royalties                                      "/>
        <s v="Retail Invoiced - Agency Dan Aykroyd Royalties              "/>
        <s v="Retail Invoiced - Agency Hat Trick Royalties                "/>
        <s v="Retail Invoiced - Agency Honour &amp; Valour Royalties          "/>
        <s v="Retail Invoiced - Agency McMichael Royalties                "/>
        <s v="Retail Invoiced - Agency Tzafona Royalties                  "/>
        <s v="Airlines - Dan Aykroyd Royalties                            "/>
        <s v="Airlines - Honour &amp; Valour Royalties                        "/>
        <s v="Airlines - McMichael Royalties                              "/>
        <s v="Airlines - Tzafona Royalties                                "/>
        <s v="BC  - Dan Aykroyd Royalties                                 "/>
        <s v="BC  - Hat Trick Royalties                                   "/>
        <s v="BC  - Honour &amp; Valour Royalties                             "/>
        <s v="BC  - McMichael Royalties                                   "/>
        <s v="BC  - Tzafona Royalties                                     "/>
        <s v="Duty Free - Dan Aykroyd Royalties                           "/>
        <s v="Duty Free - Hat Trick Royalties                             "/>
        <s v="Duty Free - Honour &amp; Valour Royalties                       "/>
        <s v="Duty Free - McMichael Royalties                             "/>
        <s v="Duty Free - Tzafona Royalties                               "/>
        <s v="EXP - Royalties - Dan Aykroyd                               "/>
        <s v="EXP - Royalties - Hat Trick                                 "/>
        <s v="EXP - Royalties - Honour &amp; Valour                           "/>
        <s v="EXP - Royalties - McMichael                                 "/>
        <s v="EXP - Royalties - Tzafona                                   "/>
        <s v="Retail Onsite - Farmers Market - Royalties Dan Aykroyd      "/>
        <s v="Retail Onsite - Farmers Market - Royalties Hat Trick        "/>
        <s v="Retail Onsite - Farmers Market - Royalties Honour &amp; Valour  "/>
        <s v="Retail Onsite - Farmers Market - Royalties McMichael        "/>
        <s v="Retail Onsite - Farmers Market - Royalties Tzafona          "/>
        <s v="Retail Invoiced - Dan Aykroyd Royalties                     "/>
        <s v="Retail Invoiced - Hat Trick Royalties                       "/>
        <s v="Retail Invoiced - Honour &amp; Valour Royalties                 "/>
        <s v="Retail Invoiced - McMichael Royalties                       "/>
        <s v="Retail Invoiced - Tzafona Royalties                         "/>
        <s v="Licensee - Dan Aykroyd Royalties                            "/>
        <s v="Licensee - Hat Trick Royalties                              "/>
        <s v="Licensee - Honour &amp; Valour Royalties                        "/>
        <s v="Licensee - McMichael Royalties                              "/>
        <s v="Licensee - Tzafona Royalties                                "/>
        <s v="MB - Dan Aykroyd Royalties                                  "/>
        <s v="MB - Hat Trick Royalties                                    "/>
        <s v="MB - Honour &amp; Valour Royalties                              "/>
        <s v="MB - McMichael Royalties                                    "/>
        <s v="MB - Tzafona Royalties                                      "/>
        <s v="NB - Dan Aykroyd Royalties                                  "/>
        <s v="NB - Hat Trick Royalties                                    "/>
        <s v="NB - Honour &amp; Valour Royalties                              "/>
        <s v="NB - McMichael Royalties                                    "/>
        <s v="NB - Tzafona Royalties                                      "/>
        <s v="NL - Dan Aykroyd Royalties                                  "/>
        <s v="NL - Hat Trick Royalties                                    "/>
        <s v="NL - Honour &amp; Valour Royalties                              "/>
        <s v="NL - McMichael Royalties                                    "/>
        <s v="NL - Tzafona Royalties                                      "/>
        <s v="NS - Dan Aykroyd Royalties                                  "/>
        <s v="NS - Hat Trick Royalties                                    "/>
        <s v="NS - Honour &amp; Valour Royalties                              "/>
        <s v="NS - McMichael Royalties                                    "/>
        <s v="NS - Tzafona Royalties                                      "/>
        <s v="Retail Onsite - Bus Tours - Royalties - Dan Aykroyd         "/>
        <s v="Retail Onsite - Bus Tours - Royalties - Hat Trick           "/>
        <s v="Retail Onsite - Bus Tours - Royalties - Honour &amp; Valour     "/>
        <s v="Retail Onsite - Bus Tours - Royalties - McMichael           "/>
        <s v="Retail Onsite - Bus Tours - Royalties - Tzafona             "/>
        <s v="LCBO - Dan Aykroyd Royalties                                "/>
        <s v="LCBO - Hat Trick Royalties                                  "/>
        <s v="LCBO - Honour &amp; Valour Royalties                            "/>
        <s v="LCBO - McMichael Royalties                                  "/>
        <s v="LCBO - Tzafona Royalties                                    "/>
        <s v="PE   - Dan Aykroyd Royalties                                "/>
        <s v="PE   - Hat Trick Royalties                                  "/>
        <s v="PE   - Honour &amp; Valour Royalties                            "/>
        <s v="PE   - McMichael Royalties                                  "/>
        <s v="PE   - Tzafona Royalties                                    "/>
        <s v="QC   - Dan Aykroyd Royalties                                "/>
        <s v="QC   - Hat Trick Royalties                                  "/>
        <s v="QC   - Honour &amp; Valour Royalties                            "/>
        <s v="QC   - McMichael Royalties                                  "/>
        <s v="QC   - Tzafona Royalties                                    "/>
        <s v="Retail Onsite - Royalties - Dan Aykroyd                     "/>
        <s v="Retail Onsite - Royalties - Hat Trick                       "/>
        <s v="Retail Onsite - Royalties - Honour &amp; Valour                 "/>
        <s v="Retail Onsite - Royalties - McMichael                       "/>
        <s v="Retail Onsite - Royalties - Tzafona                         "/>
        <s v="Sacramental - Royalties - Tzafona                           "/>
        <s v="SK  - Dan Aykroyd Royalties                                 "/>
        <s v="SK  - Hat Trick Royalties                                   "/>
        <s v="SK  - Honour &amp; Valour Royalties                             "/>
        <s v="SK  - McMichael Royalties                                   "/>
        <s v="SK  - Tzafona Royalties                                     "/>
        <s v="Retail Invoiced - Wine Club Dan Aykroyd Royalties           "/>
        <s v="Retail Invoiced - Wine Club Hat Trick Royalties             "/>
        <s v="Retail Invoiced - Wine Club Honour &amp; Valour Royalties       "/>
        <s v="Retail Invoiced - Wine Club McMichael Royalties             "/>
        <s v="Retail Invoiced - Wine Club Tzafona Royalties               "/>
        <s v="Retail Invoiced - Winery to Home Dan Aykroyd Royalties      "/>
        <s v="Retail Invoiced - Winery to Home Hat Trick Royalties        "/>
        <s v="Retail Invoiced - Winery to Home Honour &amp; Valour Royalties  "/>
        <s v="Retail Invoiced - Winery to Home McMichael Royalties        "/>
        <s v="Winery to Home - Tzafona Royalties                          "/>
        <s v="AB Wine COGS - 20 Bees - Freight                            "/>
        <s v="AB Wine COGS - Benchmark - Freight                          "/>
        <s v="AB Wine COGS - Candy Wines - Freight                        "/>
        <s v="AB Wine COGS - Celine Dion - Freight                        "/>
        <s v="AB Wine COGS - Crooked Pine - Freight                       "/>
        <s v="AB Wine COGS - Dan Aykroyd - Freight                        "/>
        <s v="AB Wine COGS - De Sousa - Freight                           "/>
        <s v="AB Wine COGS - EastDell - Freight                           "/>
        <s v="AB Wine COGS - Fresh - Freight                              "/>
        <s v="AB Wine COGS - Hat Trick - Freight                          "/>
        <s v="AB Wine COGS - Honour &amp; Valour - Freight                    "/>
        <s v="AB Wine COGS - Lakeview - Freight                           "/>
        <s v="AB Wine COGS - McMichael - Freight                          "/>
        <s v="AB Wine COGS - Private Label - Freight                      "/>
        <s v="AB Wine COGS - Riders Valley - Freight                      "/>
        <s v="AB Wine COGS - Seasons - Freight                            "/>
        <s v="AB Wine COGS - Sundance - Freight                           "/>
        <s v="AB Wine COGS - Tzafona - Freight                            "/>
        <s v="BC Wine COGS - 20 Bees - Freight                            "/>
        <s v="BC Wine COGS - Benchmark - Freight                          "/>
        <s v="BC Wine COGS - Candy Wines - Freight                        "/>
        <s v="BC Wine COGS - Celine Dion - Freight                        "/>
        <s v="BC Wine COGS - Crooked Pine - Freight                       "/>
        <s v="BC Wine COGS - Dan Aykroyd - Freight                        "/>
        <s v="BC Wine COGS - De Sousa - Freight                           "/>
        <s v="BC Wine COGS - EastDell - Freight                           "/>
        <s v="BC Wine COGS - Fresh - Freight                              "/>
        <s v="BC Wine COGS - Hat Trick - Freight                          "/>
        <s v="BC Wine COGS - Honour &amp; Valour - Freight                    "/>
        <s v="BC Wine COGS - Lakeview - Freight                           "/>
        <s v="BC Wine COGS - McMichael - Freight                          "/>
        <s v="BC Wine COGS - Private Label - Freight                      "/>
        <s v="BC Wine COGS - Riders Valley - Freight                      "/>
        <s v="BC Wine COGS - Seasons - Freight                            "/>
        <s v="BC Wine COGS - Sundance - Freight                           "/>
        <s v="BC Wine COGS - Tzafona - Freight                            "/>
        <s v="MB Wine COGS - 20 Bees - Freight                            "/>
        <s v="MB Wine COGS - Benchmark - Freight                          "/>
        <s v="MB Wine COGS - Candy Wines - Freight                        "/>
        <s v="MB Wine COGS - Celine Dion - Freight                        "/>
        <s v="MB Wine COGS - Crooked Pine - Freight                       "/>
        <s v="MB Wine COGS - Dan Aykroyd - Freight                        "/>
        <s v="MB Wine COGS - De Sousa - Freight                           "/>
        <s v="MB Wine COGS - EastDell - Freight                           "/>
        <s v="MB Wine COGS - Fresh - Freight                              "/>
        <s v="MB Wine COGS - Hat Trick - Freight                          "/>
        <s v="MB Wine COGS - Honour &amp; Valour - Freight                    "/>
        <s v="MB Wine COGS - Lakeview - Freight                           "/>
        <s v="MB Wine COGS - McMichael - Freight                          "/>
        <s v="MB Wine COGS - Private Label - Freight                      "/>
        <s v="MB Wine COGS - Riders Valley - Freight                      "/>
        <s v="MB Wine COGS - Seasons - Freight                            "/>
        <s v="MB Wine COGS - Sundance - Freight                           "/>
        <s v="MB Wine COGS - Tzafona - Freight                            "/>
        <s v="NB Wine COGS - 20 Bees - Freight                            "/>
        <s v="NB Wine COGS - Benchmark - Freight                          "/>
        <s v="NB Wine COGS - Candy Wines - Freight                        "/>
        <s v="NB Wine COGS - Celine Dion - Freight                        "/>
        <s v="NB Wine COGS - Crooked Pine - Freight                       "/>
        <s v="NB Wine COGS - Dan Aykroyd - Freight                        "/>
        <s v="NB Wine COGS - De Sousa - Freight                           "/>
        <s v="NB Wine COGS - EastDell - Freight                           "/>
        <s v="NB Wine COGS - Fresh - Freight                              "/>
        <s v="NB Wine COGS - Hat Trick - Freight                          "/>
        <s v="NB Wine COGS - Honour &amp; Valour - Freight                    "/>
        <s v="NB Wine COGS - Lakeview - Freight                           "/>
        <s v="NB Wine COGS - McMichael - Freight                          "/>
        <s v="NB Wine COGS - Private Label - Freight                      "/>
        <s v="NB Wine COGS - Riders Valley - Freight                      "/>
        <s v="NB Wine COGS - Seasons - Freight                            "/>
        <s v="NB Wine COGS - Sundance - Freight                           "/>
        <s v="NB Wine COGS - Tzafona - Freight                            "/>
        <s v="NL Wine COGS - 20 Bees - Freight                            "/>
        <s v="NL Wine COGS - Benchmark - Freight                          "/>
        <s v="NL Wine COGS - Candy Wines - Freight                        "/>
        <s v="NL Wine COGS - Celine Dion - Freight                        "/>
        <s v="NL Wine COGS - Crooked Pine - Freight                       "/>
        <s v="NL Wine COGS - Dan Aykroyd - Freight                        "/>
        <s v="NL Wine COGS - De Sousa - Freight                           "/>
        <s v="NL Wine COGS - EastDell - Freight                           "/>
        <s v="NL Wine COGS - Fresh - Freight                              "/>
        <s v="NL Wine COGS - Hat Trick - Freight                          "/>
        <s v="NL Wine COGS - Honour &amp; Valour - Freight                    "/>
        <s v="NL Wine COGS - Lakeview - Freight                           "/>
        <s v="NL Wine COGS - McMichael - Freight                          "/>
        <s v="NL Wine COGS - Private Label - Freight                      "/>
        <s v="NL Wine COGS - Riders Valley - Freight                      "/>
        <s v="NL Wine COGS - Seasons - Freight                            "/>
        <s v="NL Wine COGS - Sundance - Freight                           "/>
        <s v="NL Wine COGS - Tzafona - Freight                            "/>
        <s v="NS Wine COGS - 20 Bees - Freight                            "/>
        <s v="NS Wine COGS - Benchmark - Freight                          "/>
        <s v="NS Wine COGS - Candy Wines - Freight                        "/>
        <s v="NS Wine COGS - Celine Dion - Freight                        "/>
        <s v="NS Wine COGS - Crooked Pine - Freight                       "/>
        <s v="NS Wine COGS - Dan Aykroyd - Freight                        "/>
        <s v="NS Wine COGS - De Sousa - Freight                           "/>
        <s v="NS Wine COGS - EastDell - Freight                           "/>
        <s v="NS Wine COGS - Fresh - Freight                              "/>
        <s v="NS Wine COGS - Hat Trick - Freight                          "/>
        <s v="NS Wine COGS - Honour &amp; Valour - Freight                    "/>
        <s v="NS Wine COGS - Lakeview - Freight                           "/>
        <s v="NS Wine COGS - McMichael - Freight                          "/>
        <s v="NS Wine COGS - Private Label - Freight                      "/>
        <s v="NS Wine COGS - Riders Valley - Freight                      "/>
        <s v="NS Wine COGS - Seasons - Freight                            "/>
        <s v="NS Wine COGS - Sundance - Freight                           "/>
        <s v="NS Wine COGS - Tzafona - Freight                            "/>
        <s v="PE Wine COGS - 20 Bees - Freight                            "/>
        <s v="PE Wine COGS - Benchmark - Freight                          "/>
        <s v="PE Wine COGS - Candy Wines - Freight                        "/>
        <s v="PE Wine COGS - Celine Dion - Freight                        "/>
        <s v="PE Wine COGS - Crooked Pine - Freight                       "/>
        <s v="PE Wine COGS - Dan Aykroyd - Freight                        "/>
        <s v="PE Wine COGS - De Sousa - Freight                           "/>
        <s v="PE Wine COGS - EastDell - Freight                           "/>
        <s v="PE Wine COGS - Fresh - Freight                              "/>
        <s v="PE Wine COGS - Hat Trick - Freight                          "/>
        <s v="PE Wine COGS - Honour &amp; Valour - Freight                    "/>
        <s v="PE Wine COGS - Lakeview - Freight                           "/>
        <s v="PE Wine COGS - McMichael - Freight                          "/>
        <s v="PE Wine COGS - Private Label - Freight                      "/>
        <s v="PE Wine COGS - Riders Valley - Freight                      "/>
        <s v="PE Wine COGS - Seasons - Freight                            "/>
        <s v="PE Wine COGS - Sundance - Freight                           "/>
        <s v="PE Wine COGS - Tzafona - Freight                            "/>
        <s v="QC Wine COGS - 20 Bees - Freight                            "/>
        <s v="QC Wine COGS - Dan Aykroyd - Freight                        "/>
        <s v="QC Wine COGS - EastDell - Freight                           "/>
        <s v="QC Wine COGS - McMichael - Freight                          "/>
        <s v="QC Wine COGS - Tzafona - Freight                            "/>
        <s v="SK Wine COGS - Lakeview - Freight                           "/>
        <s v="SK Wine COGS - Tzafona - Freight                            "/>
        <s v="AB  - Warehousing                                           "/>
        <s v="AB Wine COGS - 20 Bees - Warehousing                        "/>
        <s v="AB Wine COGS - Benchmark - Warehousing                      "/>
        <s v="AB Wine COGS - Candy Wines - Warehousing                    "/>
        <s v="AB Wine COGS - Celine Dion - Warehousing                    "/>
        <s v="AB Wine COGS - Crooked Pine - Warehousing                   "/>
        <s v="AB Wine COGS - Dan Aykroyd - Warehousing                    "/>
        <s v="AB Wine COGS - De Sousa - Warehousing                       "/>
        <s v="AB Wine COGS - EastDell - Warehousing                       "/>
        <s v="AB Wine COGS - Fresh - Warehousing                          "/>
        <s v="AB Wine COGS - Hat Trick - Warehousing                      "/>
        <s v="AB Wine COGS - Honour &amp; Valour - Warehousing                "/>
        <s v="AB Wine COGS - Lakeview - Warehousing                       "/>
        <s v="AB Wine COGS - McMichael - Warehousing                      "/>
        <s v="AB Wine COGS - Private Label - Warehousing                  "/>
        <s v="AB Wine COGS - Riders Valley - Warehousing                  "/>
        <s v="AB Wine COGS - Seasons - Warehousing                        "/>
        <s v="AB Wine COGS - Sundance - Warehousing                       "/>
        <s v="AB Wine COGS - Tzafona - Warehousing                        "/>
        <s v="MB Wine COGS - Dan Aykroyd - Warehousing                    "/>
        <s v="MB Wine COGS - Fresh - Warehousing                          "/>
        <s v="MB Wine COGS - Hat Trick - Warehousing                      "/>
        <s v="MB Wine COGS - Honour &amp; Valour - Warehousing                "/>
        <s v="MB Wine COGS - Lakeview - Warehousing                       "/>
        <s v="MB Wine COGS - McMichael - Warehousing                      "/>
        <s v="MB Wine COGS - Tzafona - Warehousing                        "/>
        <s v="AB Wine COGS - 20 Bees - Receiving                          "/>
        <s v="AB Wine COGS - Dan Aykroyd - Receiving                      "/>
        <s v="AB Wine COGS - Fresh - Receiving                            "/>
        <s v="AB Wine COGS - Hat Trick - Receiving                        "/>
        <s v="AB Wine COGS - Honour &amp; Valour - Receiving                  "/>
        <s v="AB Wine COGS - Lakeview - Receiving                         "/>
        <s v="AB Wine COGS - McMichael - Receiving                        "/>
        <s v="AB Wine COGS - Riders Valley - Receiving                    "/>
        <s v="AB Wine COGS - Sundance - Receiving                         "/>
        <s v="AB Wine COGS - Tzafona - Receiving                          "/>
        <s v="MB Wine COGS - Dan Aykroyd - Receiving                      "/>
        <s v="MB Wine COGS - Fresh - Receiving                            "/>
        <s v="MB Wine COGS - Hat Trick - Receiving                        "/>
        <s v="MB Wine COGS - Lakeview - Receiving                         "/>
        <s v="MB Wine COGS - McMichael - Receiving                        "/>
        <s v="MB Wine COGS - Tzafona - Receiving                          "/>
        <s v="SK Wine COGS - Lakeview - Receiving                         "/>
        <s v="SK Wine COGS - Seasons - Receiving                          "/>
        <s v="SK Wine COGS - Sundance - Receiving                         "/>
        <s v="AB Wine COGS - 20 Bees - Returns/Damaged Product            "/>
        <s v="AB Wine COGS - Dan Aykroyd - Returns/Damaged Product        "/>
        <s v="AB Wine COGS - EastDell - Returns/Damaged Product           "/>
        <s v="AB Wine COGS - Fresh - Returns/Damaged Product              "/>
        <s v="AB Wine COGS - McMichael - Returns/Damaged Product          "/>
        <s v="AB Wine COGS - Private Label - Returns/Damaged Product      "/>
        <s v="AB Wine COGS - Riders Valley - Returns/Damaged Product      "/>
        <s v="AB Wine COGS - Tzafona - Returns/Damaged Product            "/>
        <s v="NS Wine COGS - 20 Bees - Returns/Damaged Product            "/>
        <s v="NS Wine COGS - Dan Aykroyd - Returns/Damaged Product        "/>
        <s v="NS Wine COGS - De Sousa - Returns/Damaged Product           "/>
        <s v="NS Wine COGS - McMichael - Returns/Damaged Product          "/>
        <s v="NS Wine COGS - Tzafona - Returns/Damaged Product            "/>
        <s v="SK Wine COGS - 20 Bees - Returns/Damaged Product            "/>
        <s v="SK Wine COGS - Dan Aykroyd - Returns/Damaged Product        "/>
        <s v="SK Wine COGS - McMichael - Returns/Damaged Product          "/>
        <s v="SK Wine COGS - Private Label - Returns/Damaged Product      "/>
        <s v="SK Wine COGS - Tzafona - Returns/Damaged Product            "/>
        <s v="AB - Extra-Provincial Freight - Riders Valley               "/>
        <s v="BC - Extra-Provincial Freight - Dan Aykroyd                 "/>
        <s v="BC - Extra-Provincial Freight - EastDell                    "/>
        <s v="BC - Extra-Provincial Freight - McMichael                   "/>
        <s v="MA - Extra-Provincial Freight - Lakeview                    "/>
        <s v="MA - Extra-Provincial Freight - Riders Valley               "/>
        <s v="NB - Extra Provincial Freight - Honour &amp; Valour             "/>
        <s v="NL - Extra-Provincial Freight - EastDell                    "/>
        <s v="LCBO - Customs and Shipping Charges - Celine Dion           "/>
        <s v="LCBO - Customs and Shipping Charges - Dan Aykroyd           "/>
        <s v="LCBO - Customs and Shipping Charges - McMichael             "/>
        <s v="PE  - Customs and Shipping Charges - Honour &amp; Valour        "/>
        <s v="Pallet Expense                                              "/>
        <s v="SK - Customs and Shipping Charges - Lakeview                "/>
        <s v="SK - Extra-Provincial Freight - Riders Valley               "/>
        <s v="Retail Invoiced - Agency Wine Delivery Expense              "/>
        <s v="Airlines - Delivery Expense                                 "/>
        <s v="Duty Free - Delivery expense                                "/>
        <s v="Retail Invoiced - Delivery Expense                          "/>
        <s v="Retail - Delivery Expense                                   "/>
        <s v="Retail Invoiced - Wine Club Delivery Expense                "/>
        <s v="Retail Invoiced - Winery to Home Delivery Expense           "/>
        <s v="Warehousing - Hipple                                        "/>
        <s v="Warehousing - Legends                                       "/>
        <s v="Warehousing - WP                                            "/>
        <s v="Retail - Mileage                                            "/>
        <s v="Retail - Farmer's Market Mileage                            "/>
        <s v="Membership Expense                                          "/>
        <s v="HO - Subscription Expense                                   "/>
        <s v="Financing Costs                                             "/>
        <s v="Severance Costs                                             "/>
        <s v="Wine COGS Clearing - 20 Bees                                "/>
        <s v="Wine COGS Clearing - Benchmark                              "/>
        <s v="Wine COGS Clearing - Candy Wines                            "/>
        <s v="Wine COGS Clearing - Celine Dion                            "/>
        <s v="Wine COGS Clearing - Crooked Pine                           "/>
        <s v="Wine COGS Clearing - Dan Aykroyd                            "/>
        <s v="Wine COGS Clearing - De Sousa                               "/>
        <s v="Wine COGS Clearing - EastDell                               "/>
        <s v="Wine COGS Clearing - Fresh                                  "/>
        <s v="Wine COGS Clearing - Hat Trick                              "/>
        <s v="Wine COGS Clearing - Honour &amp; Valour                        "/>
        <s v="Wine COGS Clearing - Lakeview                               "/>
        <s v="Wine COGS Clearing - McMichael                              "/>
        <s v="Wine COGS Clearing - Private Label                          "/>
        <s v="Wine COGS Clearing - Riders Valley                          "/>
        <s v="Wine COGS Clearing - Seasons                                "/>
        <s v="Wine COGS Clearing - Sundance                               "/>
        <s v="Wine COGS Clearing - Tzafona                                "/>
        <s v="Bulk Wine - COGS                                            "/>
        <s v="Grape Juice - COGS                                          "/>
        <s v="Bulk Wine - Shipping COGS                                   "/>
        <s v="Other - Shipping COGS                                       "/>
        <s v="Bulk Wine - Customs Clearing COGS                           "/>
        <s v="Gift Certificates - COGS                                    "/>
        <s v="Tours &amp; Tastings                                            "/>
        <s v="Events                                                      "/>
        <s v="Other - COGS                                                "/>
        <s v="Other                                                       "/>
        <s v="Co-packing COGS                                             "/>
        <s v="Filtration COGS                                             "/>
        <s v="Lab Analysis COGS                                           "/>
        <s v="Label Printing COGS                                         "/>
        <s v="Production - Other COGS                                     "/>
        <s v="Barrel COGS                                                 "/>
        <s v="Capsule COGS                                                "/>
        <s v="Services                                                    "/>
        <s v="Vineyard COGS - Vehicles - Truck - Gas                      "/>
        <s v="Vineyard COGS - Vehicles - Truck - Repairs                  "/>
        <s v="Vineyard COGS - Vehicles - Tractor - Repairs                "/>
        <s v="Vineyard COGS - Insurance - Agricorp                        "/>
        <s v="Vineyard COGS - Consultant                                  "/>
        <s v="Vineyard COGS - Contractor                                  "/>
        <s v="Vineyard COGS - Insurance                                   "/>
        <s v="Vineyard COGS - Supplies                                    "/>
        <s v="Vineyard COGS - Property Taxes                              "/>
        <s v="Foreign Exchange Expense                                    "/>
        <s v="Building - Farm House                                       "/>
        <s v="Building - Fence                                            "/>
        <s v="Building - Parking Lot                                      "/>
        <s v="Building - Retail Store                                     "/>
        <s v="Capital lease 1                                             "/>
        <s v="Capital lease 2                                             "/>
        <s v="Capital lease 3                                             "/>
        <s v="Equipment - Automotive                                      "/>
        <s v="Equipment - Computer Hardware                               "/>
        <s v="Equipment - Computer Software                               "/>
        <s v="Equipment - Dining Room                                     "/>
        <s v="Equipment - Farm                                            "/>
        <s v="Equipment - Kitchen                                         "/>
        <s v="Equipment - Plant Machinery                                 "/>
        <s v="Equipment - Security                                        "/>
        <s v="Equipment - Telephone                                       "/>
        <s v="Leasehold Improvement                                       "/>
        <s v="Office Furniture &amp; Fixtures                                 "/>
        <s v="Paving                                                      "/>
        <s v="Prior Year Adjustments                                      "/>
        <s v="Signs                                                       "/>
        <s v="Artwork                                                     "/>
        <s v="Barrels                                                     "/>
        <s v="Building - Farm                                             "/>
        <s v="Building - Storage                                          "/>
        <s v="Building - Winery Expansion                                 "/>
        <s v="Equipment - Winery                                          "/>
        <s v="Filters                                                     "/>
        <s v="Vineyard Netting                                            "/>
        <s v="Equipment - Retail Store                                    "/>
        <s v="Vehicles - Delivery Van                                     "/>
        <s v="Other Assets                                                "/>
        <s v="Collection Agency Fees                                      "/>
        <s v="Bank Charges                                                "/>
        <s v="Cash Over / Short                                           "/>
        <s v="Credit Card Fees                                            "/>
        <s v="Online Fees                                                 "/>
        <s v="HO - Bank charges                                           "/>
        <s v="Hospitality Sundry                                          "/>
        <s v="Head Office Allocation Interest                             "/>
        <s v="Head Office Interest Allocation                             "/>
        <s v="Income Tax - Provincial                                     "/>
        <s v="Interest - Arrears &amp; Penalties                              "/>
        <s v="Interest - Caplital Lease                                   "/>
        <s v="Interest - Delivery Van                                     "/>
        <s v="Interest - Drainage Loan                                    "/>
        <s v="Interest - Earned                                           "/>
        <s v="Interest - Expense                                          "/>
        <s v="Interest - Other                                            "/>
        <s v="Interest - LOC                                              "/>
        <s v="Interest - MCU Back Interest #12                            "/>
        <s v="Interest - MCU Mortgage                                     "/>
        <s v="Interest - MCU extension on LOC (250K) #11                  "/>
        <s v="Interest - Loan #14                                         "/>
        <s v="Interest - Loan #15                                         "/>
        <s v="Interest - Note Payable Oakwest                             "/>
        <s v="Interest - MCU Demand Loan 10                               "/>
        <s v="Interest - MCU Demand loan 6                                "/>
        <s v="Interest MCU Loan 9 2012 Harvest loan                       "/>
        <s v="Interest - Demand Loan 5                                    "/>
        <s v="Interest - MCU Capital #4                                   "/>
        <s v="Interest - MCU Chequing 2                                   "/>
        <s v="Interest - MCU Installment Loan 2                           "/>
        <s v="Interest - Scotia                                           "/>
        <s v="Interest - MCU #14                                          "/>
        <s v="Interest - MCU #15                                          "/>
        <s v="Gain or Loss on Asset Disposal                              "/>
        <s v="Reorganization Costs                                        "/>
        <s v="Capital Tax                                                 "/>
        <s v="Income Tax - Federal                                        "/>
        <s v="Wine Sales Clearing - MADD                                  "/>
        <s v="Retail Onsite Wine Sales - MADD                             "/>
        <s v="Wine COGS Clearing - MADD                                   "/>
        <s v="Retail Onsite Wine COGS - MADD                              "/>
        <s v="Inventory Provision - MADD                                  "/>
        <s v="Retail - Signage                                            "/>
        <s v="Retail Invoiced - Agency Wine Promo Wine - EAST             "/>
        <s v="Rent Expense                                                "/>
        <s v="Gain/Loss on Disposal of Asset                              "/>
        <s v="MA Wine Sales - Fresh                                       " u="1"/>
        <s v="MA Wine Sales - Dan Aykroyd                                 " u="1"/>
        <s v="MB  - McMichael Royalties                                   " u="1"/>
        <s v="Retail Invoiced - Winery to Home Wine Sales - EastDell      " u="1"/>
        <s v="Exchange Fees - Tansfer Agent Fees                          " u="1"/>
        <s v="LCBO - Retail - Other Displays - De Sousa                   " u="1"/>
        <s v="Retail Invoiced - Winery to Home Wine Sales - Dan Aykroyd   " u="1"/>
        <s v="Sales allocation to DEW Ltd.                                " u="1"/>
        <s v="Airlines - Wine Sales COGS - Honour &amp; Valour                " u="1"/>
        <s v="COGS Allocation to DEW Ltd.                                 " u="1"/>
        <s v="Retail Invoiced - Winery to Home Wine COGS - Riders Valley  " u="1"/>
        <s v="NS   - Dan Aykroyd Royalties                                " u="1"/>
        <s v="NS   - Hat Trick Royalties                                  " u="1"/>
        <s v="Retail Invoiced - Winery to Home Wine COGS - Lakeview       " u="1"/>
        <s v="LCBO - Retail - Other Displays - Lakeview                   " u="1"/>
        <s v="AI - Dan Aykroyd Royalties                                  " u="1"/>
        <s v="Retail Invoiced - Winery to Home Wine COGS - Dan Aykroyd    " u="1"/>
        <s v="NS   - McMichael Royalties                                  " u="1"/>
        <s v="LCBO - Retail - Other Displays - Dan Aykroyd                " u="1"/>
        <s v="MA Wine Sales - Honour &amp; Valour                             " u="1"/>
        <s v="Retail Invoiced - Winery to Home Wine Sales - Hat Trick     " u="1"/>
        <s v="Retail Invoiced - Winery to Home Wine COGS - Hat Trick      " u="1"/>
        <s v="NB   - Tzafona Royalties                                    " u="1"/>
        <s v="BC Wine COGS - Tzafona  - Product                           " u="1"/>
        <s v="MA Wine Sales - 20 Bees                                     " u="1"/>
        <s v="AB  - Dan Aykroyd Royalties                                 " u="1"/>
        <s v="AB  - Tzafona Royalties                                     " u="1"/>
        <s v="Retail Invoiced - Winery to Home Wine Sales - Fresh         " u="1"/>
        <s v="Lease Revenue - DEW Ltd.                                    " u="1"/>
        <s v="NL   - Dan Aykroyd Royalties                                " u="1"/>
        <s v="Retail Invoiced - Winery to Home Wine COGS - Crooked Pine   " u="1"/>
        <s v="NL   - Hat Trick Royalties                                  " u="1"/>
        <s v="LCBO - Retail - Other Displays - Candy Wines                " u="1"/>
        <s v="NS   - Honour &amp; Valour Royalties                            " u="1"/>
        <s v="NL   - McMichael Royalties                                  " u="1"/>
        <s v="AI - Tzafona Royalties                                      " u="1"/>
        <s v="MB  - Dan Aykroyd Royalties                                 " u="1"/>
        <s v="MB  - Tzafona Royalties                                     " u="1"/>
        <s v="Retail Invoiced - Winery to Home Wine COGS - 20 Bees        " u="1"/>
        <s v="AB  - Honour &amp; Valour Royalties                             " u="1"/>
        <s v="Retail Invoiced - Winery to Home Wine COGS - Candy Wines    " u="1"/>
        <s v="LCBO - Retail - Other Displays - Honour &amp; Valour            " u="1"/>
        <s v="MA Wine Sales - McMichael                                   " u="1"/>
        <s v="Retail Invoiced - Winery to Home Wine Sales - Seasons       " u="1"/>
        <s v="LCBO - Retail - Other Displays - EastDell                   " u="1"/>
        <s v="MB  - Honour &amp; Valour Royalties                             " u="1"/>
        <s v="NB   - Dan Aykroyd Royalties                                " u="1"/>
        <s v="Retail Invoiced - Winery to Home Wine COGS - Fresh          " u="1"/>
        <s v="Interest - Allocation to DEW Ltd.                           " u="1"/>
        <s v="NL   - Honour &amp; Valour Royalties                            " u="1"/>
        <s v="Retail Invoiced - Winery to Home Wine Sales - Lakeview      " u="1"/>
        <s v="NB   - Hat Trick Royalties                                  " u="1"/>
        <s v="Expenses - Allocation to DEW Ltd.                           " u="1"/>
        <s v="LCBO - Retail - Other Displays - Hat Trick                  " u="1"/>
        <s v="MA Wine Sales - EastDell                                    " u="1"/>
        <s v="LCBO - Retail - Other Displays - 20 Bees                    " u="1"/>
        <s v="MA Wine Sales - Crooked Pine                                " u="1"/>
        <s v="NB   - McMichael Royalties                                  " u="1"/>
        <s v="BC Wine COGS - McMichael  - Product                         " u="1"/>
        <s v="Retail Invoiced - Winery to Home Wine COGS - Benchmark      " u="1"/>
        <s v="Export - Wine Promo Expense - De Sousa                      " u="1"/>
        <s v="Retail Invoiced - Winery to Home Wine COGS - De Sousa       " u="1"/>
        <s v="AI - Honour &amp; Valour Royalties                              " u="1"/>
        <s v="Retail Invoiced - Winery to Home Wine COGS - Seasons        " u="1"/>
        <s v="Retail Invoiced - Winery to Home Wine COGS - Celine Dion    " u="1"/>
        <s v="AB  - Hat Trick Royalties                                   " u="1"/>
        <s v="Wine allotment Admin                                        " u="1"/>
        <s v="NB   - Honour &amp; Valour Royalties                            " u="1"/>
        <s v="Retail Invoiced - Winery to Home Wine COGS - Private Label  " u="1"/>
        <s v="Retail Invoiced - Winery to Home Wine Sales - 20 Bees       " u="1"/>
        <s v="Retail Invoiced - Winery to Home Wine COGS - EastDell       " u="1"/>
        <s v="Airlines - Wine Sales COGS - Dan Aykroyd                    " u="1"/>
        <s v="HO - Recruitment                                            " u="1"/>
        <s v="MB  - Hat Trick Royalties                                   " u="1"/>
        <s v="NS   - Tzafona Royalties                                    " u="1"/>
        <s v="Duty Free Delivery expense                                  " u="1"/>
        <s v="MA Wine Sales - Tzafona                                     " u="1"/>
        <s v="MA Wine Sales - Riders Valley                               " u="1"/>
        <s v="Retail Invoiced - Winery to Home Wine Sales - Celine Dion   " u="1"/>
        <s v="Retail Invoiced - Winery to Home Wine COGS - Honour &amp; Valour" u="1"/>
        <s v="AB  - McMichael Royalties                                   " u="1"/>
        <s v="LCBO - Retail - Other Displays - Fresh                      " u="1"/>
        <s v="MA Wine Sales - Lakeview                                    " u="1"/>
        <s v="LCBO - Retail - Other Displays - Riders Valley              " u="1"/>
        <s v="Retail Invoiced - Winery to Home Wine COGS - Sundance       " u="1"/>
        <s v="MA Wine Sales - Hat Trick                                   " u="1"/>
        <s v="LCBO - Retail - Other Displays - Sundance                   " u="1"/>
        <s v="NL   - Tzafona Royalties                                    " u="1"/>
        <s v="AI - McMichael Royalties                                    " u="1"/>
      </sharedItems>
    </cacheField>
    <cacheField name="LY01" numFmtId="0">
      <sharedItems containsSemiMixedTypes="0" containsString="0" containsNumber="1" minValue="-10000" maxValue="268126.84999999998"/>
    </cacheField>
    <cacheField name="LY02" numFmtId="0">
      <sharedItems containsSemiMixedTypes="0" containsString="0" containsNumber="1" minValue="-10000" maxValue="190456.87"/>
    </cacheField>
    <cacheField name="LY03" numFmtId="0">
      <sharedItems containsSemiMixedTypes="0" containsString="0" containsNumber="1" minValue="-10000" maxValue="221801.61"/>
    </cacheField>
    <cacheField name="LY04" numFmtId="0">
      <sharedItems containsSemiMixedTypes="0" containsString="0" containsNumber="1" minValue="-10000" maxValue="115185.42"/>
    </cacheField>
    <cacheField name="LY05" numFmtId="0">
      <sharedItems containsSemiMixedTypes="0" containsString="0" containsNumber="1" minValue="-2500" maxValue="454812"/>
    </cacheField>
    <cacheField name="LY06" numFmtId="0">
      <sharedItems containsSemiMixedTypes="0" containsString="0" containsNumber="1" minValue="-10657.28" maxValue="197807.76"/>
    </cacheField>
    <cacheField name="LY07" numFmtId="0">
      <sharedItems containsSemiMixedTypes="0" containsString="0" containsNumber="1" minValue="-7000" maxValue="236491.07"/>
    </cacheField>
    <cacheField name="LY08" numFmtId="0">
      <sharedItems containsSemiMixedTypes="0" containsString="0" containsNumber="1" minValue="-7000" maxValue="152102.18"/>
    </cacheField>
    <cacheField name="LY09" numFmtId="0">
      <sharedItems containsSemiMixedTypes="0" containsString="0" containsNumber="1" minValue="-7000" maxValue="161501.22"/>
    </cacheField>
    <cacheField name="LY10" numFmtId="0">
      <sharedItems containsSemiMixedTypes="0" containsString="0" containsNumber="1" minValue="-7000" maxValue="105192.9"/>
    </cacheField>
    <cacheField name="LY11" numFmtId="0">
      <sharedItems containsSemiMixedTypes="0" containsString="0" containsNumber="1" minValue="-9735.69" maxValue="259467.38"/>
    </cacheField>
    <cacheField name="LY12" numFmtId="0">
      <sharedItems containsSemiMixedTypes="0" containsString="0" containsNumber="1" minValue="-29054.51" maxValue="229230.21"/>
    </cacheField>
    <cacheField name="TY01" numFmtId="0">
      <sharedItems containsSemiMixedTypes="0" containsString="0" containsNumber="1" minValue="-10085.68" maxValue="175763.71"/>
    </cacheField>
    <cacheField name="TY02" numFmtId="0">
      <sharedItems containsSemiMixedTypes="0" containsString="0" containsNumber="1" minValue="-40889.230000000003" maxValue="253257.09"/>
    </cacheField>
    <cacheField name="TY03" numFmtId="0">
      <sharedItems containsSemiMixedTypes="0" containsString="0" containsNumber="1" minValue="-163949.95000000001" maxValue="153384"/>
    </cacheField>
    <cacheField name="TY04" numFmtId="0">
      <sharedItems containsSemiMixedTypes="0" containsString="0" containsNumber="1" minValue="-62909.41" maxValue="161982.85"/>
    </cacheField>
    <cacheField name="TY05" numFmtId="0">
      <sharedItems containsSemiMixedTypes="0" containsString="0" containsNumber="1" minValue="-57417.49" maxValue="254136.57"/>
    </cacheField>
    <cacheField name="TY06" numFmtId="0">
      <sharedItems containsSemiMixedTypes="0" containsString="0" containsNumber="1" minValue="-41842.480000000003" maxValue="138224.13"/>
    </cacheField>
    <cacheField name="TY07" numFmtId="0">
      <sharedItems containsSemiMixedTypes="0" containsString="0" containsNumber="1" minValue="-134619.65" maxValue="413755.63"/>
    </cacheField>
    <cacheField name="TY08" numFmtId="0">
      <sharedItems containsSemiMixedTypes="0" containsString="0" containsNumber="1" minValue="-16423.89" maxValue="203461.46"/>
    </cacheField>
    <cacheField name="TY09" numFmtId="0">
      <sharedItems containsSemiMixedTypes="0" containsString="0" containsNumber="1" minValue="-111648.89" maxValue="138745.47"/>
    </cacheField>
    <cacheField name="TY10" numFmtId="0">
      <sharedItems containsSemiMixedTypes="0" containsString="0" containsNumber="1" minValue="-43240.1" maxValue="226988"/>
    </cacheField>
    <cacheField name="TY11" numFmtId="0">
      <sharedItems containsSemiMixedTypes="0" containsString="0" containsNumber="1" minValue="-12174.63" maxValue="106441.5"/>
    </cacheField>
    <cacheField name="TY12" numFmtId="0">
      <sharedItems containsSemiMixedTypes="0" containsString="0" containsNumber="1" minValue="-64008.56" maxValue="354553.09"/>
    </cacheField>
    <cacheField name="NY01" numFmtId="0">
      <sharedItems containsSemiMixedTypes="0" containsString="0" containsNumber="1" minValue="-121624.73" maxValue="316256.13"/>
    </cacheField>
    <cacheField name="NY02" numFmtId="0">
      <sharedItems containsSemiMixedTypes="0" containsString="0" containsNumber="1" minValue="-10011.94" maxValue="554841"/>
    </cacheField>
    <cacheField name="NY03" numFmtId="0">
      <sharedItems containsSemiMixedTypes="0" containsString="0" containsNumber="1" minValue="-7560" maxValue="3286.33" count="25">
        <n v="0"/>
        <n v="771.75"/>
        <n v="-15.51"/>
        <n v="-44"/>
        <n v="-1071"/>
        <n v="-900"/>
        <n v="-74.3"/>
        <n v="-25.37"/>
        <n v="-63.27"/>
        <n v="-91.67"/>
        <n v="-366.07"/>
        <n v="-781"/>
        <n v="-446.4"/>
        <n v="-75"/>
        <n v="-94.91"/>
        <n v="-53.17"/>
        <n v="-7560"/>
        <n v="-221.78"/>
        <n v="-167.75"/>
        <n v="-1.28"/>
        <n v="41.19"/>
        <n v="841"/>
        <n v="3286.33"/>
        <n v="-152.32"/>
        <n v="-222.75"/>
      </sharedItems>
    </cacheField>
    <cacheField name="NY04" numFmtId="0">
      <sharedItems containsSemiMixedTypes="0" containsString="0" containsNumber="1" minValue="0" maxValue="3286.33" count="4">
        <n v="0"/>
        <n v="771.75"/>
        <n v="841"/>
        <n v="3286.33"/>
      </sharedItems>
    </cacheField>
    <cacheField name="NY05" numFmtId="0">
      <sharedItems containsSemiMixedTypes="0" containsString="0" containsNumber="1" minValue="0" maxValue="3286.33" count="4">
        <n v="0"/>
        <n v="771.75"/>
        <n v="841"/>
        <n v="3286.33"/>
      </sharedItems>
    </cacheField>
    <cacheField name="NY06" numFmtId="0">
      <sharedItems containsSemiMixedTypes="0" containsString="0" containsNumber="1" minValue="0" maxValue="3286.33" count="4">
        <n v="0"/>
        <n v="771.75"/>
        <n v="841"/>
        <n v="3286.33"/>
      </sharedItems>
    </cacheField>
    <cacheField name="NY07" numFmtId="0">
      <sharedItems containsSemiMixedTypes="0" containsString="0" containsNumber="1" minValue="0" maxValue="771.75" count="2">
        <n v="0"/>
        <n v="771.75"/>
      </sharedItems>
    </cacheField>
    <cacheField name="NY08" numFmtId="0">
      <sharedItems containsSemiMixedTypes="0" containsString="0" containsNumber="1" minValue="0" maxValue="771.75" count="2">
        <n v="0"/>
        <n v="771.75"/>
      </sharedItems>
    </cacheField>
    <cacheField name="NY09" numFmtId="0">
      <sharedItems containsSemiMixedTypes="0" containsString="0" containsNumber="1" minValue="0" maxValue="771.75" count="2">
        <n v="0"/>
        <n v="771.75"/>
      </sharedItems>
    </cacheField>
    <cacheField name="NY10" numFmtId="0">
      <sharedItems containsSemiMixedTypes="0" containsString="0" containsNumber="1" containsInteger="1" minValue="0" maxValue="0" count="1">
        <n v="0"/>
      </sharedItems>
    </cacheField>
    <cacheField name="NY11" numFmtId="0">
      <sharedItems containsSemiMixedTypes="0" containsString="0" containsNumber="1" containsInteger="1" minValue="0" maxValue="0" count="1">
        <n v="0"/>
      </sharedItems>
    </cacheField>
    <cacheField name="NY12" numFmtId="0">
      <sharedItems containsSemiMixedTypes="0" containsString="0" containsNumber="1" containsInteger="1" minValue="0" maxValue="0" count="1">
        <n v="0"/>
      </sharedItems>
    </cacheField>
    <cacheField name="BLY01" numFmtId="0">
      <sharedItems containsSemiMixedTypes="0" containsString="0" containsNumber="1" minValue="0" maxValue="11654.8"/>
    </cacheField>
    <cacheField name="BLY02" numFmtId="0">
      <sharedItems containsSemiMixedTypes="0" containsString="0" containsNumber="1" minValue="0" maxValue="10206.799999999999"/>
    </cacheField>
    <cacheField name="BLY03" numFmtId="0">
      <sharedItems containsSemiMixedTypes="0" containsString="0" containsNumber="1" minValue="0" maxValue="11190.8"/>
    </cacheField>
    <cacheField name="BLY04" numFmtId="0">
      <sharedItems containsSemiMixedTypes="0" containsString="0" containsNumber="1" minValue="0" maxValue="10649.8"/>
    </cacheField>
    <cacheField name="BLY05" numFmtId="0">
      <sharedItems containsSemiMixedTypes="0" containsString="0" containsNumber="1" minValue="0" maxValue="11339.8"/>
    </cacheField>
    <cacheField name="BLY06" numFmtId="0">
      <sharedItems containsSemiMixedTypes="0" containsString="0" containsNumber="1" minValue="-1000" maxValue="10491.98"/>
    </cacheField>
    <cacheField name="BLY07" numFmtId="0">
      <sharedItems containsSemiMixedTypes="0" containsString="0" containsNumber="1" minValue="0" maxValue="10599.8"/>
    </cacheField>
    <cacheField name="BLY08" numFmtId="0">
      <sharedItems containsSemiMixedTypes="0" containsString="0" containsNumber="1" minValue="0" maxValue="12581.8"/>
    </cacheField>
    <cacheField name="BLY09" numFmtId="0">
      <sharedItems containsSemiMixedTypes="0" containsString="0" containsNumber="1" minValue="0" maxValue="10808.76"/>
    </cacheField>
    <cacheField name="BLY10" numFmtId="0">
      <sharedItems containsSemiMixedTypes="0" containsString="0" containsNumber="1" minValue="0" maxValue="8841.7999999999993"/>
    </cacheField>
    <cacheField name="BLY11" numFmtId="0">
      <sharedItems containsSemiMixedTypes="0" containsString="0" containsNumber="1" minValue="0" maxValue="9174.6200000000008"/>
    </cacheField>
    <cacheField name="BLY12" numFmtId="0">
      <sharedItems containsSemiMixedTypes="0" containsString="0" containsNumber="1" minValue="0" maxValue="9306.85"/>
    </cacheField>
    <cacheField name="BTY01" numFmtId="0">
      <sharedItems containsSemiMixedTypes="0" containsString="0" containsNumber="1" minValue="-2640" maxValue="221009.6"/>
    </cacheField>
    <cacheField name="BTY02" numFmtId="0">
      <sharedItems containsSemiMixedTypes="0" containsString="0" containsNumber="1" minValue="-2782.24" maxValue="391178"/>
    </cacheField>
    <cacheField name="BTY03" numFmtId="0">
      <sharedItems containsSemiMixedTypes="0" containsString="0" containsNumber="1" minValue="-2640" maxValue="138652.54999999999"/>
    </cacheField>
    <cacheField name="BTY04" numFmtId="0">
      <sharedItems containsSemiMixedTypes="0" containsString="0" containsNumber="1" minValue="-2640" maxValue="137564.85"/>
    </cacheField>
    <cacheField name="BTY05" numFmtId="0">
      <sharedItems containsSemiMixedTypes="0" containsString="0" containsNumber="1" minValue="-2640" maxValue="137200.45000000001"/>
    </cacheField>
    <cacheField name="BTY06" numFmtId="0">
      <sharedItems containsSemiMixedTypes="0" containsString="0" containsNumber="1" minValue="-2640" maxValue="315920"/>
    </cacheField>
    <cacheField name="BTY07" numFmtId="0">
      <sharedItems containsSemiMixedTypes="0" containsString="0" containsNumber="1" minValue="-2640" maxValue="209110.3"/>
    </cacheField>
    <cacheField name="BTY08" numFmtId="0">
      <sharedItems containsSemiMixedTypes="0" containsString="0" containsNumber="1" minValue="-8000" maxValue="203300.05"/>
    </cacheField>
    <cacheField name="BTY09" numFmtId="0">
      <sharedItems containsSemiMixedTypes="0" containsString="0" containsNumber="1" minValue="-8000" maxValue="201653.5"/>
    </cacheField>
    <cacheField name="BTY10" numFmtId="0">
      <sharedItems containsSemiMixedTypes="0" containsString="0" containsNumber="1" minValue="-8000" maxValue="114757.28"/>
    </cacheField>
    <cacheField name="BTY11" numFmtId="0">
      <sharedItems containsSemiMixedTypes="0" containsString="0" containsNumber="1" minValue="-8000" maxValue="125000"/>
    </cacheField>
    <cacheField name="BTY12" numFmtId="0">
      <sharedItems containsSemiMixedTypes="0" containsString="0" containsNumber="1" minValue="-8000" maxValue="250395.83"/>
    </cacheField>
    <cacheField name="BNY01" numFmtId="0">
      <sharedItems containsSemiMixedTypes="0" containsString="0" containsNumber="1" minValue="-16436.05" maxValue="274839.75"/>
    </cacheField>
    <cacheField name="BNY02" numFmtId="0">
      <sharedItems containsSemiMixedTypes="0" containsString="0" containsNumber="1" minValue="-16584.47" maxValue="822494.12"/>
    </cacheField>
    <cacheField name="BNY03" numFmtId="0">
      <sharedItems containsSemiMixedTypes="0" containsString="0" containsNumber="1" minValue="-16436.05" maxValue="157352.46"/>
    </cacheField>
    <cacheField name="BNY04" numFmtId="0">
      <sharedItems containsSemiMixedTypes="0" containsString="0" containsNumber="1" minValue="-16584.47" maxValue="110527.32"/>
    </cacheField>
    <cacheField name="BNY05" numFmtId="0">
      <sharedItems containsSemiMixedTypes="0" containsString="0" containsNumber="1" minValue="-16584.47" maxValue="195401.39"/>
    </cacheField>
    <cacheField name="BNY06" numFmtId="0">
      <sharedItems containsSemiMixedTypes="0" containsString="0" containsNumber="1" minValue="-16419.93" maxValue="1418240.01"/>
    </cacheField>
    <cacheField name="BNY07" numFmtId="0">
      <sharedItems containsSemiMixedTypes="0" containsString="0" containsNumber="1" minValue="-16537.54" maxValue="390246.88"/>
    </cacheField>
    <cacheField name="BNY08" numFmtId="0">
      <sharedItems containsSemiMixedTypes="0" containsString="0" containsNumber="1" minValue="-16390.64" maxValue="145763.06"/>
    </cacheField>
    <cacheField name="BNY09" numFmtId="0">
      <sharedItems containsSemiMixedTypes="0" containsString="0" containsNumber="1" minValue="-16537.54" maxValue="149289.09"/>
    </cacheField>
    <cacheField name="BNY10" numFmtId="0">
      <sharedItems containsSemiMixedTypes="0" containsString="0" containsNumber="1" minValue="-16537.54" maxValue="89191.1"/>
    </cacheField>
    <cacheField name="BNY11" numFmtId="0">
      <sharedItems containsSemiMixedTypes="0" containsString="0" containsNumber="1" minValue="-16096.83" maxValue="227670"/>
    </cacheField>
    <cacheField name="BNY12" numFmtId="0">
      <sharedItems containsSemiMixedTypes="0" containsString="0" containsNumber="1" minValue="-16537.54" maxValue="86296.24"/>
    </cacheField>
    <cacheField name="DIV" numFmtId="0">
      <sharedItems count="4">
        <s v="DEST"/>
        <s v="HO "/>
        <s v="NC "/>
        <s v="DS "/>
      </sharedItems>
    </cacheField>
    <cacheField name="ACCT_NO_1" numFmtId="0">
      <sharedItems count="8">
        <s v="SAL                     "/>
        <s v="COG                     "/>
        <s v="OPS                     "/>
        <s v="EXE                     "/>
        <s v="MKT                     "/>
        <s v="PRO                     "/>
        <s v="RET                     "/>
        <s v="FIN                     "/>
      </sharedItems>
    </cacheField>
    <cacheField name="ACCT_NO_2" numFmtId="0">
      <sharedItems/>
    </cacheField>
    <cacheField name="ACCT_NO_3" numFmtId="0">
      <sharedItems count="30">
        <s v="OT                      "/>
        <s v="                        "/>
        <s v="AB                      "/>
        <s v="AG                      "/>
        <s v="AI                      "/>
        <s v="BC                      "/>
        <s v="CO                      "/>
        <s v="DU                      "/>
        <s v="EX                      "/>
        <s v="FM                      "/>
        <s v="IN                      "/>
        <s v="LI                      "/>
        <s v="MA                      "/>
        <s v="NB                      "/>
        <s v="NL                      "/>
        <s v="NS                      "/>
        <s v="OB                      "/>
        <s v="ON                      "/>
        <s v="PE                      "/>
        <s v="QC                      "/>
        <s v="RO                      "/>
        <s v="SA                      "/>
        <s v="SK                      "/>
        <s v="WI                      "/>
        <s v="WT                      "/>
        <s v="BU                      "/>
        <s v="GR                      "/>
        <s v="VI                      "/>
        <s v="PR                      "/>
        <s v="FI                      "/>
      </sharedItems>
    </cacheField>
    <cacheField name="ACCT_NO_4" numFmtId="0">
      <sharedItems count="22">
        <s v="CAND                    "/>
        <s v="DANA                    "/>
        <s v="                        "/>
        <s v="20BE                    "/>
        <s v="BENC                    "/>
        <s v="CELI                    "/>
        <s v="CROO                    "/>
        <s v="DESO                    "/>
        <s v="EAST                    "/>
        <s v="FRES                    "/>
        <s v="HATT                    "/>
        <s v="HONO                    "/>
        <s v="LAKE                    "/>
        <s v="MCMI                    "/>
        <s v="PRIV                    "/>
        <s v="RIDE                    "/>
        <s v="SEAS                    "/>
        <s v="SUND                    "/>
        <s v="TZAF                    "/>
        <s v="DARE                    "/>
        <s v="MADD                    "/>
        <s v="DESA                    "/>
      </sharedItems>
    </cacheField>
    <cacheField name="GLGROUP" numFmtId="0">
      <sharedItems containsBlank="1" count="71">
        <s v="R-1000                                                          "/>
        <s v="R-1210                                                          "/>
        <m/>
        <s v="R-1060                                                          "/>
        <s v="R-1020                                                          "/>
        <s v="R-1230                                                          "/>
        <s v="R-1240                                                          "/>
        <s v="R-1045                                                          "/>
        <s v="R-1050                                                          "/>
        <s v="R-1010                                                          "/>
        <s v="R-1030                                                          "/>
        <s v="R-1040                                                          "/>
        <s v="R-1250                                                          "/>
        <s v="X-1250                                                          "/>
        <s v="R-1200                                                          "/>
        <s v="R-1190                                                          "/>
        <s v="R-2000                                                          "/>
        <s v="R-1220                                                          "/>
        <s v="C-1060                                                          "/>
        <s v="C-1020                                                          "/>
        <s v="C-1230                                                          "/>
        <s v="C-1240                                                          "/>
        <s v="C-1045                                                          "/>
        <s v="C-1050                                                          "/>
        <s v="C-1010                                                          "/>
        <s v="C-1030                                                          "/>
        <s v="C-1040                                                          "/>
        <s v="C-1250                                                          "/>
        <s v="C-2000                                                          "/>
        <s v="C-1200                                                          "/>
        <s v="C-1210                                                          "/>
        <s v="X-1270                                                          "/>
        <s v="X-1070                                                          "/>
        <s v="X-1140                                                          "/>
        <s v="X-1085                                                          "/>
        <s v="X-1125                                                          "/>
        <s v="X-1130                                                          "/>
        <s v="X-1110                                                          "/>
        <s v="X-1120                                                          "/>
        <s v="X-1200                                                          "/>
        <s v="X-1141                                                          "/>
        <s v="X-1106                                                          "/>
        <s v="X-1190                                                          "/>
        <s v="X-1145                                                          "/>
        <s v="X-1102                                                          "/>
        <s v="X-1090                                                          "/>
        <s v="X-1091                                                          "/>
        <s v="X-1050                                                          "/>
        <s v="X-1065                                                          "/>
        <s v="X-1055                                                          "/>
        <s v="X-1105                                                          "/>
        <s v="X-1131                                                          "/>
        <s v="X-1160                                                          "/>
        <s v="X-1080                                                          "/>
        <s v="X-1103                                                          "/>
        <s v="X-1100                                                          "/>
        <s v="X-1060                                                          "/>
        <s v="X-1150                                                          "/>
        <s v="X-1260                                                          "/>
        <s v="X-1170                                                          "/>
        <s v="X-1180                                                          "/>
        <s v="X-1142                                                          "/>
        <s v="I-1005                                                          "/>
        <s v="C-1000                                                          "/>
        <s v="C-1190                                                          "/>
        <s v="I-1010                                                          "/>
        <s v="I-1000                                                          "/>
        <s v="X-1240                                                          "/>
        <s v="I-1040                                                          "/>
        <s v="I-1020                                                          "/>
        <s v="I-1030                                                   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11">
  <r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4"/>
    <n v="163.9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0"/>
    <x v="0"/>
  </r>
  <r>
    <x v="0"/>
    <x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8"/>
    <n v="847.9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"/>
    <x v="0"/>
  </r>
  <r>
    <x v="1"/>
    <x v="1"/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0"/>
    <s v="40000                   "/>
    <x v="1"/>
    <x v="2"/>
    <x v="1"/>
  </r>
  <r>
    <x v="1"/>
    <x v="1"/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0000                   "/>
    <x v="1"/>
    <x v="2"/>
    <x v="2"/>
  </r>
  <r>
    <x v="1"/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000                   "/>
    <x v="0"/>
    <x v="3"/>
    <x v="0"/>
  </r>
  <r>
    <x v="1"/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0"/>
    <s v="41000                   "/>
    <x v="0"/>
    <x v="3"/>
    <x v="0"/>
  </r>
  <r>
    <x v="1"/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606.9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3"/>
    <x v="0"/>
  </r>
  <r>
    <x v="1"/>
    <x v="1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3"/>
    <x v="0"/>
  </r>
  <r>
    <x v="1"/>
    <x v="1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3"/>
    <x v="0"/>
  </r>
  <r>
    <x v="1"/>
    <x v="1"/>
    <x v="4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178.9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4"/>
    <x v="0"/>
  </r>
  <r>
    <x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69.2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0"/>
    <x v="0"/>
  </r>
  <r>
    <x v="1"/>
    <x v="1"/>
    <x v="5"/>
    <x v="7"/>
    <n v="0"/>
    <n v="0"/>
    <n v="0"/>
    <n v="0"/>
    <n v="0"/>
    <n v="0"/>
    <n v="0"/>
    <n v="0"/>
    <n v="0"/>
    <n v="0"/>
    <n v="0"/>
    <n v="0"/>
    <n v="0"/>
    <n v="0"/>
    <n v="0"/>
    <n v="-22509.4"/>
    <n v="0"/>
    <n v="0"/>
    <n v="0"/>
    <n v="0"/>
    <n v="22509.4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5"/>
    <x v="0"/>
  </r>
  <r>
    <x v="1"/>
    <x v="1"/>
    <x v="5"/>
    <x v="8"/>
    <n v="0"/>
    <n v="0"/>
    <n v="0"/>
    <n v="0"/>
    <n v="0"/>
    <n v="0"/>
    <n v="0"/>
    <n v="0"/>
    <n v="0"/>
    <n v="0"/>
    <n v="0"/>
    <n v="0"/>
    <n v="0"/>
    <n v="0"/>
    <n v="0"/>
    <n v="27819.17"/>
    <n v="0"/>
    <n v="0"/>
    <n v="0"/>
    <n v="0"/>
    <n v="-27819.16"/>
    <n v="-0.01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5"/>
    <x v="0"/>
  </r>
  <r>
    <x v="1"/>
    <x v="1"/>
    <x v="6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6"/>
    <x v="0"/>
  </r>
  <r>
    <x v="1"/>
    <x v="1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77.5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"/>
    <x v="0"/>
  </r>
  <r>
    <x v="1"/>
    <x v="1"/>
    <x v="7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68.4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7"/>
    <x v="0"/>
  </r>
  <r>
    <x v="1"/>
    <x v="1"/>
    <x v="8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328.1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8"/>
    <x v="0"/>
  </r>
  <r>
    <x v="1"/>
    <x v="1"/>
    <x v="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86.7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9"/>
    <x v="0"/>
  </r>
  <r>
    <x v="1"/>
    <x v="1"/>
    <x v="10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3.1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0"/>
    <x v="0"/>
  </r>
  <r>
    <x v="1"/>
    <x v="1"/>
    <x v="11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02.9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1"/>
    <x v="0"/>
  </r>
  <r>
    <x v="1"/>
    <x v="1"/>
    <x v="12"/>
    <x v="15"/>
    <n v="0"/>
    <n v="0"/>
    <n v="0"/>
    <n v="0"/>
    <n v="0"/>
    <n v="0"/>
    <n v="0"/>
    <n v="0"/>
    <n v="0"/>
    <n v="0.5"/>
    <n v="-0.5"/>
    <n v="0"/>
    <n v="0"/>
    <n v="0"/>
    <n v="0"/>
    <n v="0"/>
    <n v="0"/>
    <n v="0"/>
    <n v="0"/>
    <n v="0"/>
    <n v="0"/>
    <n v="0"/>
    <n v="0"/>
    <n v="0"/>
    <n v="0"/>
    <n v="55484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2"/>
    <x v="0"/>
  </r>
  <r>
    <x v="1"/>
    <x v="1"/>
    <x v="13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2.449999999999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3"/>
    <x v="0"/>
  </r>
  <r>
    <x v="1"/>
    <x v="1"/>
    <x v="14"/>
    <x v="17"/>
    <n v="0"/>
    <n v="0"/>
    <n v="0"/>
    <n v="0"/>
    <n v="0"/>
    <n v="0"/>
    <n v="0"/>
    <n v="0"/>
    <n v="0"/>
    <n v="0"/>
    <n v="0"/>
    <n v="0"/>
    <n v="0"/>
    <n v="0"/>
    <n v="0"/>
    <n v="0"/>
    <n v="-13511.4"/>
    <n v="0"/>
    <n v="0"/>
    <n v="0"/>
    <n v="13511.4"/>
    <n v="0"/>
    <n v="0"/>
    <n v="0"/>
    <n v="0"/>
    <n v="2115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4"/>
    <x v="0"/>
  </r>
  <r>
    <x v="1"/>
    <x v="1"/>
    <x v="14"/>
    <x v="18"/>
    <n v="0"/>
    <n v="0"/>
    <n v="0"/>
    <n v="0"/>
    <n v="0"/>
    <n v="0"/>
    <n v="0"/>
    <n v="0"/>
    <n v="0"/>
    <n v="0"/>
    <n v="0"/>
    <n v="0"/>
    <n v="0"/>
    <n v="0"/>
    <n v="0"/>
    <n v="0"/>
    <n v="16887.689999999999"/>
    <n v="0"/>
    <n v="0"/>
    <n v="0"/>
    <n v="-16887.68999999999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4"/>
    <x v="0"/>
  </r>
  <r>
    <x v="1"/>
    <x v="1"/>
    <x v="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0.9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5"/>
    <x v="0"/>
  </r>
  <r>
    <x v="1"/>
    <x v="1"/>
    <x v="16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2.2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6"/>
    <x v="0"/>
  </r>
  <r>
    <x v="1"/>
    <x v="1"/>
    <x v="17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.0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7"/>
    <x v="0"/>
  </r>
  <r>
    <x v="1"/>
    <x v="1"/>
    <x v="18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2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00                   "/>
    <x v="0"/>
    <x v="18"/>
    <x v="0"/>
  </r>
  <r>
    <x v="1"/>
    <x v="1"/>
    <x v="19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61                   "/>
    <x v="0"/>
    <x v="12"/>
    <x v="0"/>
  </r>
  <r>
    <x v="1"/>
    <x v="1"/>
    <x v="2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062                   "/>
    <x v="0"/>
    <x v="7"/>
    <x v="0"/>
  </r>
  <r>
    <x v="1"/>
    <x v="1"/>
    <x v="21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68                   "/>
    <x v="0"/>
    <x v="12"/>
    <x v="0"/>
  </r>
  <r>
    <x v="1"/>
    <x v="1"/>
    <x v="22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071                   "/>
    <x v="0"/>
    <x v="16"/>
    <x v="0"/>
  </r>
  <r>
    <x v="1"/>
    <x v="1"/>
    <x v="2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3.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73                   "/>
    <x v="0"/>
    <x v="2"/>
    <x v="0"/>
  </r>
  <r>
    <x v="1"/>
    <x v="1"/>
    <x v="24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4.3"/>
    <n v="94.3"/>
    <n v="0"/>
    <n v="0"/>
    <n v="0"/>
    <n v="25.6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74                   "/>
    <x v="0"/>
    <x v="2"/>
    <x v="0"/>
  </r>
  <r>
    <x v="1"/>
    <x v="1"/>
    <x v="25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075                   "/>
    <x v="0"/>
    <x v="2"/>
    <x v="0"/>
  </r>
  <r>
    <x v="1"/>
    <x v="1"/>
    <x v="26"/>
    <x v="26"/>
    <n v="2286.77"/>
    <n v="1757.66"/>
    <n v="1901.81"/>
    <n v="2462.04"/>
    <n v="4060.81"/>
    <n v="4473.6000000000004"/>
    <n v="2575.0700000000002"/>
    <n v="1742.92"/>
    <n v="5918.41"/>
    <n v="9048.26"/>
    <n v="0"/>
    <n v="10806.64"/>
    <n v="0"/>
    <n v="0"/>
    <n v="860.7"/>
    <n v="0"/>
    <n v="0"/>
    <n v="4555.93"/>
    <n v="0"/>
    <n v="0"/>
    <n v="0"/>
    <n v="10480.9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18.02"/>
    <n v="1849.46"/>
    <n v="1849.46"/>
    <n v="1849.46"/>
    <n v="1849.46"/>
    <n v="2100.96"/>
    <n v="2100.96"/>
    <n v="2100.96"/>
    <n v="2100.96"/>
    <n v="1543.14"/>
    <n v="1543.14"/>
    <n v="1718.02"/>
    <n v="0"/>
    <n v="3740.63"/>
    <n v="0"/>
    <n v="0"/>
    <n v="9685.65"/>
    <n v="0"/>
    <n v="0"/>
    <n v="3740.63"/>
    <n v="3239.45"/>
    <n v="0"/>
    <n v="2244.38"/>
    <n v="1291.05"/>
    <x v="2"/>
    <x v="0"/>
    <s v="41100                   "/>
    <x v="2"/>
    <x v="3"/>
    <x v="3"/>
  </r>
  <r>
    <x v="1"/>
    <x v="1"/>
    <x v="27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4"/>
    <x v="3"/>
  </r>
  <r>
    <x v="1"/>
    <x v="1"/>
    <x v="28"/>
    <x v="28"/>
    <n v="0"/>
    <n v="0"/>
    <n v="0"/>
    <n v="0"/>
    <n v="3120"/>
    <n v="0"/>
    <n v="0"/>
    <n v="3120"/>
    <n v="0"/>
    <n v="0"/>
    <n v="0"/>
    <n v="3120"/>
    <n v="0"/>
    <n v="3120"/>
    <n v="0"/>
    <n v="0"/>
    <n v="0"/>
    <n v="3120"/>
    <n v="0"/>
    <n v="0"/>
    <n v="3120"/>
    <n v="0"/>
    <n v="312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3.3"/>
    <n v="0"/>
    <n v="0"/>
    <n v="3093.3"/>
    <n v="0"/>
    <n v="0"/>
    <n v="3093.3"/>
    <n v="0"/>
    <n v="0"/>
    <n v="3093.3"/>
    <n v="0"/>
    <x v="2"/>
    <x v="0"/>
    <s v="41100                   "/>
    <x v="2"/>
    <x v="0"/>
    <x v="3"/>
  </r>
  <r>
    <x v="1"/>
    <x v="1"/>
    <x v="29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5"/>
    <x v="3"/>
  </r>
  <r>
    <x v="1"/>
    <x v="1"/>
    <x v="30"/>
    <x v="30"/>
    <n v="2427.1799999999998"/>
    <n v="2253.81"/>
    <n v="1907.07"/>
    <n v="3120.66"/>
    <n v="2080.44"/>
    <n v="3380.72"/>
    <n v="1907.07"/>
    <n v="1473.65"/>
    <n v="2167.13"/>
    <n v="18137.060000000001"/>
    <n v="0"/>
    <n v="3456.48"/>
    <n v="0"/>
    <n v="0"/>
    <n v="1757.86"/>
    <n v="0"/>
    <n v="0"/>
    <n v="-20.2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950"/>
    <n v="1475"/>
    <n v="1475"/>
    <n v="2360"/>
    <n v="1475"/>
    <n v="2950"/>
    <n v="2655"/>
    <n v="2065"/>
    <n v="1475"/>
    <n v="590"/>
    <n v="767"/>
    <n v="767"/>
    <n v="0"/>
    <n v="879.53"/>
    <n v="0"/>
    <n v="0"/>
    <n v="0"/>
    <n v="0"/>
    <n v="0"/>
    <n v="879.53"/>
    <n v="0"/>
    <n v="0"/>
    <n v="0"/>
    <n v="0"/>
    <x v="2"/>
    <x v="0"/>
    <s v="41100                   "/>
    <x v="2"/>
    <x v="1"/>
    <x v="3"/>
  </r>
  <r>
    <x v="1"/>
    <x v="1"/>
    <x v="31"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7"/>
    <x v="3"/>
  </r>
  <r>
    <x v="1"/>
    <x v="1"/>
    <x v="32"/>
    <x v="32"/>
    <n v="0"/>
    <n v="0"/>
    <n v="0"/>
    <n v="0"/>
    <n v="0"/>
    <n v="0"/>
    <n v="0"/>
    <n v="0"/>
    <n v="0"/>
    <n v="0"/>
    <n v="0"/>
    <n v="0"/>
    <n v="0"/>
    <n v="0"/>
    <n v="4883.04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8"/>
    <x v="3"/>
  </r>
  <r>
    <x v="1"/>
    <x v="1"/>
    <x v="33"/>
    <x v="33"/>
    <n v="163.49"/>
    <n v="181.65"/>
    <n v="217.98"/>
    <n v="326.97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9"/>
    <x v="3"/>
  </r>
  <r>
    <x v="1"/>
    <x v="1"/>
    <x v="34"/>
    <x v="34"/>
    <n v="602.28"/>
    <n v="752.85"/>
    <n v="602.28"/>
    <n v="602.28"/>
    <n v="527"/>
    <n v="301.14"/>
    <n v="1882.13"/>
    <n v="1053.99"/>
    <n v="903.42"/>
    <n v="8778.4599999999991"/>
    <n v="0"/>
    <n v="-59.2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10"/>
    <x v="3"/>
  </r>
  <r>
    <x v="1"/>
    <x v="1"/>
    <x v="35"/>
    <x v="35"/>
    <n v="0"/>
    <n v="0"/>
    <n v="0"/>
    <n v="0"/>
    <n v="0"/>
    <n v="277.86"/>
    <n v="1945.02"/>
    <n v="6112.91"/>
    <n v="416.79"/>
    <n v="13554.93"/>
    <n v="0"/>
    <n v="-59.2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75"/>
    <n v="1575"/>
    <n v="1575"/>
    <n v="1575"/>
    <n v="2100"/>
    <n v="3150"/>
    <n v="5250"/>
    <n v="3675"/>
    <n v="1575"/>
    <n v="1050"/>
    <n v="1575"/>
    <n v="1575"/>
    <n v="0"/>
    <n v="0"/>
    <n v="0"/>
    <n v="0"/>
    <n v="0"/>
    <n v="0"/>
    <n v="0"/>
    <n v="0"/>
    <n v="0"/>
    <n v="0"/>
    <n v="0"/>
    <n v="0"/>
    <x v="2"/>
    <x v="0"/>
    <s v="41100                   "/>
    <x v="2"/>
    <x v="11"/>
    <x v="3"/>
  </r>
  <r>
    <x v="1"/>
    <x v="1"/>
    <x v="36"/>
    <x v="36"/>
    <n v="2370.59"/>
    <n v="2370.59"/>
    <n v="2074.27"/>
    <n v="3259.56"/>
    <n v="2963.24"/>
    <n v="4889.3500000000004"/>
    <n v="4296.7"/>
    <n v="3407.73"/>
    <n v="4889.3500000000004"/>
    <n v="3988.15"/>
    <n v="0"/>
    <n v="6651.72"/>
    <n v="0"/>
    <n v="0"/>
    <n v="13421.85"/>
    <n v="0"/>
    <n v="0"/>
    <n v="0"/>
    <n v="0"/>
    <n v="0"/>
    <n v="0"/>
    <n v="6710.97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00"/>
    <n v="1600"/>
    <n v="1600"/>
    <n v="1600"/>
    <n v="1600"/>
    <n v="2800"/>
    <n v="3600"/>
    <n v="4000"/>
    <n v="3200"/>
    <n v="1200"/>
    <n v="1600"/>
    <n v="1600"/>
    <n v="0"/>
    <n v="5991.3"/>
    <n v="0"/>
    <n v="0"/>
    <n v="5991.3"/>
    <n v="0"/>
    <n v="0"/>
    <n v="5991.3"/>
    <n v="0"/>
    <n v="0"/>
    <n v="5991.3"/>
    <n v="0"/>
    <x v="2"/>
    <x v="0"/>
    <s v="41100                   "/>
    <x v="2"/>
    <x v="12"/>
    <x v="3"/>
  </r>
  <r>
    <x v="1"/>
    <x v="1"/>
    <x v="37"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13"/>
    <x v="3"/>
  </r>
  <r>
    <x v="1"/>
    <x v="1"/>
    <x v="38"/>
    <x v="38"/>
    <n v="0"/>
    <n v="5536.68"/>
    <n v="279.8"/>
    <n v="0"/>
    <n v="0"/>
    <n v="0"/>
    <n v="0"/>
    <n v="954.6"/>
    <n v="0"/>
    <n v="0"/>
    <n v="0"/>
    <n v="0"/>
    <n v="0"/>
    <n v="0"/>
    <n v="0"/>
    <n v="0"/>
    <n v="0"/>
    <n v="-6.48"/>
    <n v="0"/>
    <n v="0"/>
    <n v="0"/>
    <n v="1393.9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3.65"/>
    <n v="0"/>
    <n v="0"/>
    <n v="0"/>
    <n v="0"/>
    <n v="0"/>
    <n v="1393.65"/>
    <n v="0"/>
    <n v="0"/>
    <n v="0"/>
    <n v="0"/>
    <x v="2"/>
    <x v="0"/>
    <s v="41100                   "/>
    <x v="2"/>
    <x v="14"/>
    <x v="3"/>
  </r>
  <r>
    <x v="1"/>
    <x v="1"/>
    <x v="39"/>
    <x v="39"/>
    <n v="419.22"/>
    <n v="-423.6"/>
    <n v="0"/>
    <n v="489.09"/>
    <n v="0"/>
    <n v="0"/>
    <n v="279.48"/>
    <n v="0"/>
    <n v="56.85"/>
    <n v="3763.2"/>
    <n v="0"/>
    <n v="-60.15"/>
    <n v="0"/>
    <n v="0"/>
    <n v="1387.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8.5"/>
    <n v="388.5"/>
    <n v="388.5"/>
    <n v="388.5"/>
    <n v="388.5"/>
    <n v="388.5"/>
    <n v="388.5"/>
    <n v="388.5"/>
    <n v="388.5"/>
    <n v="388.5"/>
    <n v="388.5"/>
    <n v="388.5"/>
    <n v="0"/>
    <n v="0"/>
    <n v="0"/>
    <n v="0"/>
    <n v="0"/>
    <n v="0"/>
    <n v="0"/>
    <n v="0"/>
    <n v="0"/>
    <n v="0"/>
    <n v="0"/>
    <n v="0"/>
    <x v="2"/>
    <x v="0"/>
    <s v="41100                   "/>
    <x v="2"/>
    <x v="15"/>
    <x v="3"/>
  </r>
  <r>
    <x v="1"/>
    <x v="1"/>
    <x v="40"/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16"/>
    <x v="3"/>
  </r>
  <r>
    <x v="1"/>
    <x v="1"/>
    <x v="41"/>
    <x v="41"/>
    <n v="163.44"/>
    <n v="70.05"/>
    <n v="46.7"/>
    <n v="46.7"/>
    <n v="116.74"/>
    <n v="23.34"/>
    <n v="46.7"/>
    <n v="23.35"/>
    <n v="116.74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17"/>
    <x v="3"/>
  </r>
  <r>
    <x v="1"/>
    <x v="1"/>
    <x v="42"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"/>
    <x v="18"/>
    <x v="3"/>
  </r>
  <r>
    <x v="1"/>
    <x v="1"/>
    <x v="43"/>
    <x v="43"/>
    <n v="430.34"/>
    <n v="0"/>
    <n v="642.35"/>
    <n v="434.9"/>
    <n v="-434.9"/>
    <n v="2547.54"/>
    <n v="56.86"/>
    <n v="2246.4"/>
    <n v="202.91"/>
    <n v="424.89"/>
    <n v="0"/>
    <n v="74.040000000000006"/>
    <n v="0"/>
    <n v="227.47"/>
    <n v="1195.98"/>
    <n v="190.94"/>
    <n v="199.57"/>
    <n v="651.66999999999996"/>
    <n v="267.88"/>
    <n v="2472.04"/>
    <n v="2289.3000000000002"/>
    <n v="0"/>
    <n v="0"/>
    <n v="190.94"/>
    <n v="2321.449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0.34"/>
    <n v="0"/>
    <n v="642.35"/>
    <n v="434.9"/>
    <n v="-434.9"/>
    <n v="2547.54"/>
    <n v="56.86"/>
    <n v="2246.4"/>
    <n v="202.91"/>
    <n v="424.89"/>
    <n v="0"/>
    <n v="74.040000000000006"/>
    <n v="133.77000000000001"/>
    <n v="428.13"/>
    <n v="986.98"/>
    <n v="190.96"/>
    <n v="1083.22"/>
    <n v="1673.85"/>
    <n v="3166.66"/>
    <n v="2096.73"/>
    <n v="1134.8399999999999"/>
    <n v="379.99"/>
    <n v="341.19"/>
    <n v="755.08"/>
    <x v="2"/>
    <x v="0"/>
    <s v="41100                   "/>
    <x v="3"/>
    <x v="3"/>
    <x v="4"/>
  </r>
  <r>
    <x v="1"/>
    <x v="1"/>
    <x v="44"/>
    <x v="44"/>
    <n v="1662.84"/>
    <n v="1636.25"/>
    <n v="2573.34"/>
    <n v="887.44"/>
    <n v="754.94"/>
    <n v="2306.0700000000002"/>
    <n v="1317.23"/>
    <n v="2138.3200000000002"/>
    <n v="1407.82"/>
    <n v="1256.8599999999999"/>
    <n v="921.45"/>
    <n v="697.89"/>
    <n v="294.02"/>
    <n v="2128.73"/>
    <n v="1733.53"/>
    <n v="1732.79"/>
    <n v="1996.25"/>
    <n v="726.69"/>
    <n v="1739.29"/>
    <n v="2569.67"/>
    <n v="4393.67"/>
    <n v="1858.44"/>
    <n v="1621.54"/>
    <n v="2139.23"/>
    <n v="2291.07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62.84"/>
    <n v="1636.25"/>
    <n v="2573.34"/>
    <n v="887.44"/>
    <n v="754.94"/>
    <n v="2306.0700000000002"/>
    <n v="1317.23"/>
    <n v="2138.3200000000002"/>
    <n v="1407.82"/>
    <n v="1256.8599999999999"/>
    <n v="921.45"/>
    <n v="697.89"/>
    <n v="5149.21"/>
    <n v="8049.46"/>
    <n v="5319.7"/>
    <n v="8708.42"/>
    <n v="5997.49"/>
    <n v="10013.459999999999"/>
    <n v="7064.93"/>
    <n v="8118.55"/>
    <n v="10119.66"/>
    <n v="3453.98"/>
    <n v="6286.04"/>
    <n v="5285.59"/>
    <x v="2"/>
    <x v="0"/>
    <s v="41100                   "/>
    <x v="3"/>
    <x v="4"/>
    <x v="4"/>
  </r>
  <r>
    <x v="1"/>
    <x v="1"/>
    <x v="45"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0"/>
    <x v="4"/>
  </r>
  <r>
    <x v="1"/>
    <x v="1"/>
    <x v="46"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5"/>
    <x v="4"/>
  </r>
  <r>
    <x v="1"/>
    <x v="1"/>
    <x v="47"/>
    <x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6"/>
    <x v="4"/>
  </r>
  <r>
    <x v="1"/>
    <x v="1"/>
    <x v="48"/>
    <x v="48"/>
    <n v="762.45"/>
    <n v="0"/>
    <n v="143.76"/>
    <n v="0"/>
    <n v="263.85000000000002"/>
    <n v="1131.8599999999999"/>
    <n v="236.56"/>
    <n v="421.27"/>
    <n v="1838.37"/>
    <n v="247.48"/>
    <n v="123.74"/>
    <n v="336.05"/>
    <n v="553.51"/>
    <n v="618.70000000000005"/>
    <n v="287.52"/>
    <n v="0"/>
    <n v="66.87"/>
    <n v="880.59"/>
    <n v="287.52"/>
    <n v="0"/>
    <n v="2163.0100000000002"/>
    <n v="287.51"/>
    <n v="133.75"/>
    <n v="416.0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2.45"/>
    <n v="0"/>
    <n v="143.76"/>
    <n v="0"/>
    <n v="263.85000000000002"/>
    <n v="1131.8599999999999"/>
    <n v="236.56"/>
    <n v="421.27"/>
    <n v="1838.37"/>
    <n v="247.48"/>
    <n v="123.74"/>
    <n v="336.05"/>
    <n v="384.52"/>
    <n v="668.56"/>
    <n v="481.41"/>
    <n v="401.68"/>
    <n v="0"/>
    <n v="595.47"/>
    <n v="550.76"/>
    <n v="586.69000000000005"/>
    <n v="1670.51"/>
    <n v="140.32"/>
    <n v="236.5"/>
    <n v="215.58"/>
    <x v="2"/>
    <x v="0"/>
    <s v="41100                   "/>
    <x v="3"/>
    <x v="1"/>
    <x v="4"/>
  </r>
  <r>
    <x v="1"/>
    <x v="1"/>
    <x v="49"/>
    <x v="49"/>
    <n v="0"/>
    <n v="0"/>
    <n v="0"/>
    <n v="0"/>
    <n v="0"/>
    <n v="0"/>
    <n v="0"/>
    <n v="0"/>
    <n v="0"/>
    <n v="0"/>
    <n v="0"/>
    <n v="0"/>
    <n v="0"/>
    <n v="0"/>
    <n v="136.13999999999999"/>
    <n v="0"/>
    <n v="0"/>
    <n v="69.77"/>
    <n v="78.959999999999994"/>
    <n v="69.78"/>
    <n v="0"/>
    <n v="0"/>
    <n v="157.47999999999999"/>
    <n v="157.47999999999999"/>
    <n v="-669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3"/>
    <x v="7"/>
    <x v="4"/>
  </r>
  <r>
    <x v="1"/>
    <x v="1"/>
    <x v="49"/>
    <x v="49"/>
    <n v="697.74"/>
    <n v="69.78"/>
    <n v="139.55000000000001"/>
    <n v="209.33"/>
    <n v="348.87"/>
    <n v="209.33"/>
    <n v="209.33"/>
    <n v="139.55000000000001"/>
    <n v="348.87"/>
    <n v="279.10000000000002"/>
    <n v="0"/>
    <n v="209.33"/>
    <n v="139.55000000000001"/>
    <n v="209.33"/>
    <n v="1333.28"/>
    <n v="488.43"/>
    <n v="418.64"/>
    <n v="704.99"/>
    <n v="139.55000000000001"/>
    <n v="279.10000000000002"/>
    <n v="0"/>
    <n v="393.71"/>
    <n v="314.97000000000003"/>
    <n v="128.18"/>
    <n v="236.2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97.74"/>
    <n v="69.78"/>
    <n v="139.55000000000001"/>
    <n v="209.33"/>
    <n v="348.87"/>
    <n v="209.33"/>
    <n v="209.33"/>
    <n v="139.55000000000001"/>
    <n v="348.87"/>
    <n v="279.10000000000002"/>
    <n v="0"/>
    <n v="209.33"/>
    <n v="1238.97"/>
    <n v="984.84"/>
    <n v="2038.15"/>
    <n v="1283.75"/>
    <n v="727.95"/>
    <n v="1877.96"/>
    <n v="772.31"/>
    <n v="1357.81"/>
    <n v="2225.08"/>
    <n v="759.6"/>
    <n v="567.11"/>
    <n v="1227.4000000000001"/>
    <x v="2"/>
    <x v="0"/>
    <s v="41100                   "/>
    <x v="3"/>
    <x v="7"/>
    <x v="4"/>
  </r>
  <r>
    <x v="1"/>
    <x v="1"/>
    <x v="50"/>
    <x v="50"/>
    <n v="318.7"/>
    <n v="1411.17"/>
    <n v="3559.04"/>
    <n v="3036.51"/>
    <n v="1004.9"/>
    <n v="226.33"/>
    <n v="534.21"/>
    <n v="3125.14"/>
    <n v="3140.72"/>
    <n v="467.33"/>
    <n v="564.24"/>
    <n v="353.29"/>
    <n v="467.33"/>
    <n v="945.78"/>
    <n v="3174.19"/>
    <n v="3120.9"/>
    <n v="1594.15"/>
    <n v="331.51"/>
    <n v="791.66"/>
    <n v="1799.45"/>
    <n v="4851.7299999999996"/>
    <n v="316.43"/>
    <n v="316.43"/>
    <n v="2456.4"/>
    <n v="1557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8.7"/>
    <n v="1411.17"/>
    <n v="3559.04"/>
    <n v="3036.51"/>
    <n v="1004.9"/>
    <n v="226.33"/>
    <n v="534.21"/>
    <n v="3125.14"/>
    <n v="3140.72"/>
    <n v="467.33"/>
    <n v="564.24"/>
    <n v="353.29"/>
    <n v="1652.39"/>
    <n v="868.26"/>
    <n v="758.18"/>
    <n v="3600.24"/>
    <n v="1323.26"/>
    <n v="331.56"/>
    <n v="655.49"/>
    <n v="4067.65"/>
    <n v="5556.44"/>
    <n v="444.83"/>
    <n v="570.17999999999995"/>
    <n v="345.8"/>
    <x v="2"/>
    <x v="0"/>
    <s v="41100                   "/>
    <x v="3"/>
    <x v="8"/>
    <x v="4"/>
  </r>
  <r>
    <x v="1"/>
    <x v="1"/>
    <x v="51"/>
    <x v="51"/>
    <n v="247.48"/>
    <n v="0"/>
    <n v="0"/>
    <n v="0"/>
    <n v="0"/>
    <n v="123.74"/>
    <n v="0"/>
    <n v="0"/>
    <n v="20.62"/>
    <n v="0"/>
    <n v="0"/>
    <n v="0"/>
    <n v="0"/>
    <n v="0"/>
    <n v="770.23"/>
    <n v="0"/>
    <n v="0"/>
    <n v="123.74"/>
    <n v="0"/>
    <n v="143.76"/>
    <n v="215.64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7.48"/>
    <n v="0"/>
    <n v="0"/>
    <n v="0"/>
    <n v="0"/>
    <n v="123.74"/>
    <n v="0"/>
    <n v="0"/>
    <n v="20.62"/>
    <n v="0"/>
    <n v="0"/>
    <n v="0"/>
    <n v="271.13"/>
    <n v="147.41999999999999"/>
    <n v="1077.69"/>
    <n v="176.39"/>
    <n v="12.53"/>
    <n v="364.75"/>
    <n v="197.42"/>
    <n v="1484.43"/>
    <n v="19.34"/>
    <n v="73.709999999999994"/>
    <n v="0"/>
    <n v="73.709999999999994"/>
    <x v="2"/>
    <x v="0"/>
    <s v="41100                   "/>
    <x v="3"/>
    <x v="9"/>
    <x v="4"/>
  </r>
  <r>
    <x v="1"/>
    <x v="1"/>
    <x v="52"/>
    <x v="52"/>
    <n v="618.69000000000005"/>
    <n v="0"/>
    <n v="0"/>
    <n v="0"/>
    <n v="41.25"/>
    <n v="0"/>
    <n v="435.36"/>
    <n v="0"/>
    <n v="309.3500000000000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8.69000000000005"/>
    <n v="0"/>
    <n v="0"/>
    <n v="0"/>
    <n v="41.25"/>
    <n v="0"/>
    <n v="435.36"/>
    <n v="0"/>
    <n v="309.35000000000002"/>
    <n v="0"/>
    <n v="0"/>
    <n v="0"/>
    <n v="0"/>
    <n v="0"/>
    <n v="0"/>
    <n v="0"/>
    <n v="0"/>
    <n v="0"/>
    <n v="0"/>
    <n v="0"/>
    <n v="240.55"/>
    <n v="0"/>
    <n v="0"/>
    <n v="0"/>
    <x v="2"/>
    <x v="0"/>
    <s v="41100                   "/>
    <x v="3"/>
    <x v="10"/>
    <x v="4"/>
  </r>
  <r>
    <x v="1"/>
    <x v="1"/>
    <x v="53"/>
    <x v="53"/>
    <n v="0"/>
    <n v="0"/>
    <n v="0"/>
    <n v="0"/>
    <n v="478.39"/>
    <n v="267.5"/>
    <n v="159.69999999999999"/>
    <n v="257.49"/>
    <n v="387.91"/>
    <n v="1029.95"/>
    <n v="0"/>
    <n v="133.75"/>
    <n v="0"/>
    <n v="0"/>
    <n v="844.92"/>
    <n v="711.13"/>
    <n v="752.58"/>
    <n v="71.12"/>
    <n v="568.92999999999995"/>
    <n v="568.92999999999995"/>
    <n v="204.86"/>
    <n v="142.22999999999999"/>
    <n v="213.32"/>
    <n v="640.04999999999995"/>
    <n v="284.4700000000000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478.39"/>
    <n v="267.5"/>
    <n v="159.69999999999999"/>
    <n v="257.49"/>
    <n v="387.91"/>
    <n v="1029.95"/>
    <n v="0"/>
    <n v="133.75"/>
    <n v="284.45"/>
    <n v="497.79"/>
    <n v="1480.69"/>
    <n v="1422.26"/>
    <n v="1243.43"/>
    <n v="1280.04"/>
    <n v="1149.72"/>
    <n v="551.99"/>
    <n v="708.5"/>
    <n v="1354.6"/>
    <n v="426.68"/>
    <n v="560.45000000000005"/>
    <x v="2"/>
    <x v="0"/>
    <s v="41100                   "/>
    <x v="3"/>
    <x v="11"/>
    <x v="4"/>
  </r>
  <r>
    <x v="1"/>
    <x v="1"/>
    <x v="54"/>
    <x v="54"/>
    <n v="0"/>
    <n v="0"/>
    <n v="0"/>
    <n v="0"/>
    <n v="0"/>
    <n v="207.44"/>
    <n v="0"/>
    <n v="0"/>
    <n v="558.29"/>
    <n v="0"/>
    <n v="71.88"/>
    <n v="71.88"/>
    <n v="0"/>
    <n v="143.76"/>
    <n v="143.76"/>
    <n v="0"/>
    <n v="0"/>
    <n v="71.88"/>
    <n v="81.89"/>
    <n v="0"/>
    <n v="0"/>
    <n v="0"/>
    <n v="0"/>
    <n v="0"/>
    <n v="531.3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14.88"/>
    <n v="0"/>
    <n v="0"/>
    <n v="558.29"/>
    <n v="0"/>
    <n v="71.88"/>
    <n v="71.88"/>
    <n v="0"/>
    <n v="143.72"/>
    <n v="143.72"/>
    <n v="0"/>
    <n v="0"/>
    <n v="71.86"/>
    <n v="0"/>
    <n v="0"/>
    <n v="437.64"/>
    <n v="0"/>
    <n v="71.86"/>
    <n v="71.86"/>
    <x v="2"/>
    <x v="0"/>
    <s v="41100                   "/>
    <x v="3"/>
    <x v="12"/>
    <x v="4"/>
  </r>
  <r>
    <x v="1"/>
    <x v="1"/>
    <x v="55"/>
    <x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13"/>
    <x v="4"/>
  </r>
  <r>
    <x v="1"/>
    <x v="1"/>
    <x v="56"/>
    <x v="56"/>
    <n v="0"/>
    <n v="0"/>
    <n v="0"/>
    <n v="0"/>
    <n v="0"/>
    <n v="0"/>
    <n v="21724.53"/>
    <n v="0"/>
    <n v="12694"/>
    <n v="338.02"/>
    <n v="0"/>
    <n v="0"/>
    <n v="0"/>
    <n v="0"/>
    <n v="9936.0300000000007"/>
    <n v="0"/>
    <n v="10.31"/>
    <n v="0"/>
    <n v="0"/>
    <n v="0"/>
    <n v="26843.19"/>
    <n v="1521.07"/>
    <n v="0"/>
    <n v="507.02"/>
    <n v="2674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24.53"/>
    <n v="0"/>
    <n v="12694"/>
    <n v="338.02"/>
    <n v="0"/>
    <n v="0"/>
    <n v="0"/>
    <n v="0"/>
    <n v="9969.11"/>
    <n v="21542.61"/>
    <n v="9.9"/>
    <n v="0"/>
    <n v="535.24"/>
    <n v="0"/>
    <n v="18765.03"/>
    <n v="929.12"/>
    <n v="271.56"/>
    <n v="0"/>
    <x v="2"/>
    <x v="0"/>
    <s v="41100                   "/>
    <x v="3"/>
    <x v="14"/>
    <x v="4"/>
  </r>
  <r>
    <x v="1"/>
    <x v="1"/>
    <x v="57"/>
    <x v="57"/>
    <n v="0"/>
    <n v="0"/>
    <n v="0"/>
    <n v="0"/>
    <n v="26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1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26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15"/>
    <x v="4"/>
  </r>
  <r>
    <x v="1"/>
    <x v="1"/>
    <x v="58"/>
    <x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1.27"/>
    <n v="0"/>
    <n v="0"/>
    <n v="133.75"/>
    <n v="-1665.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3"/>
    <x v="16"/>
    <x v="4"/>
  </r>
  <r>
    <x v="1"/>
    <x v="1"/>
    <x v="58"/>
    <x v="58"/>
    <n v="0"/>
    <n v="0"/>
    <n v="0"/>
    <n v="0"/>
    <n v="0"/>
    <n v="0"/>
    <n v="0"/>
    <n v="0"/>
    <n v="1497.4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7.47"/>
    <n v="0"/>
    <n v="0"/>
    <n v="0"/>
    <n v="0"/>
    <n v="0"/>
    <n v="0"/>
    <n v="0"/>
    <n v="0"/>
    <n v="0"/>
    <n v="0"/>
    <n v="133.75"/>
    <n v="2112.7399999999998"/>
    <n v="0"/>
    <n v="267.52"/>
    <n v="0"/>
    <x v="2"/>
    <x v="0"/>
    <s v="41100                   "/>
    <x v="3"/>
    <x v="16"/>
    <x v="4"/>
  </r>
  <r>
    <x v="1"/>
    <x v="1"/>
    <x v="59"/>
    <x v="59"/>
    <n v="0"/>
    <n v="0"/>
    <n v="591.5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4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591.5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17"/>
    <x v="4"/>
  </r>
  <r>
    <x v="1"/>
    <x v="1"/>
    <x v="60"/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3"/>
    <x v="18"/>
    <x v="4"/>
  </r>
  <r>
    <x v="1"/>
    <x v="1"/>
    <x v="61"/>
    <x v="61"/>
    <n v="0"/>
    <n v="0"/>
    <n v="0"/>
    <n v="0"/>
    <n v="0"/>
    <n v="0"/>
    <n v="0"/>
    <n v="0"/>
    <n v="0"/>
    <n v="0"/>
    <n v="0"/>
    <n v="0"/>
    <n v="0"/>
    <n v="0"/>
    <n v="0"/>
    <n v="16066.35"/>
    <n v="12862.8"/>
    <n v="6431.4"/>
    <n v="3215.7"/>
    <n v="12862.8"/>
    <n v="19294.2"/>
    <n v="2111.4"/>
    <n v="6071.4"/>
    <n v="21249.9"/>
    <n v="21249.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02.75"/>
    <n v="5902.75"/>
    <n v="5902.75"/>
    <n v="5902.75"/>
    <n v="0"/>
    <n v="0"/>
    <n v="0"/>
    <n v="0"/>
    <n v="0"/>
    <n v="0"/>
    <n v="0"/>
    <n v="0"/>
    <x v="2"/>
    <x v="0"/>
    <s v="41100                   "/>
    <x v="4"/>
    <x v="1"/>
    <x v="5"/>
  </r>
  <r>
    <x v="1"/>
    <x v="1"/>
    <x v="62"/>
    <x v="62"/>
    <n v="0"/>
    <n v="0"/>
    <n v="0"/>
    <n v="0"/>
    <n v="0"/>
    <n v="0"/>
    <n v="0"/>
    <n v="0"/>
    <n v="0"/>
    <n v="0"/>
    <n v="0"/>
    <n v="0"/>
    <n v="0"/>
    <n v="0"/>
    <n v="0"/>
    <n v="16066.35"/>
    <n v="12862.8"/>
    <n v="6431.4"/>
    <n v="3215.7"/>
    <n v="12862.8"/>
    <n v="28941.3"/>
    <n v="1571.4"/>
    <n v="9107.1"/>
    <n v="21249.9"/>
    <n v="18214.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05.5"/>
    <n v="11805.5"/>
    <n v="11805.5"/>
    <n v="11805.5"/>
    <n v="0"/>
    <n v="0"/>
    <n v="0"/>
    <n v="0"/>
    <n v="0"/>
    <n v="0"/>
    <n v="0"/>
    <n v="0"/>
    <x v="2"/>
    <x v="0"/>
    <s v="41100                   "/>
    <x v="4"/>
    <x v="11"/>
    <x v="5"/>
  </r>
  <r>
    <x v="1"/>
    <x v="1"/>
    <x v="63"/>
    <x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4"/>
    <x v="13"/>
    <x v="5"/>
  </r>
  <r>
    <x v="1"/>
    <x v="1"/>
    <x v="64"/>
    <x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4"/>
    <x v="18"/>
    <x v="5"/>
  </r>
  <r>
    <x v="1"/>
    <x v="1"/>
    <x v="65"/>
    <x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3"/>
    <x v="3"/>
  </r>
  <r>
    <x v="1"/>
    <x v="1"/>
    <x v="66"/>
    <x v="66"/>
    <n v="0"/>
    <n v="0"/>
    <n v="0"/>
    <n v="279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4"/>
    <x v="3"/>
  </r>
  <r>
    <x v="1"/>
    <x v="1"/>
    <x v="67"/>
    <x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5"/>
    <x v="3"/>
  </r>
  <r>
    <x v="1"/>
    <x v="1"/>
    <x v="68"/>
    <x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1"/>
    <x v="3"/>
  </r>
  <r>
    <x v="1"/>
    <x v="1"/>
    <x v="69"/>
    <x v="69"/>
    <n v="0"/>
    <n v="0"/>
    <n v="0"/>
    <n v="149.29"/>
    <n v="0"/>
    <n v="1291.9000000000001"/>
    <n v="0"/>
    <n v="0"/>
    <n v="0"/>
    <n v="0"/>
    <n v="0"/>
    <n v="0"/>
    <n v="0"/>
    <n v="0"/>
    <n v="0"/>
    <n v="1627.68"/>
    <n v="3255.36"/>
    <n v="0"/>
    <n v="0"/>
    <n v="0"/>
    <n v="1639.68"/>
    <n v="0"/>
    <n v="0"/>
    <n v="0"/>
    <n v="6133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8"/>
    <x v="3"/>
  </r>
  <r>
    <x v="1"/>
    <x v="1"/>
    <x v="70"/>
    <x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12"/>
    <x v="3"/>
  </r>
  <r>
    <x v="1"/>
    <x v="1"/>
    <x v="71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13"/>
    <x v="3"/>
  </r>
  <r>
    <x v="1"/>
    <x v="1"/>
    <x v="72"/>
    <x v="72"/>
    <n v="0"/>
    <n v="0"/>
    <n v="0"/>
    <n v="0"/>
    <n v="31706.54"/>
    <n v="645.95000000000005"/>
    <n v="0"/>
    <n v="0"/>
    <n v="0"/>
    <n v="0"/>
    <n v="12863.17"/>
    <n v="0"/>
    <n v="0"/>
    <n v="-2.0299999999999998"/>
    <n v="0"/>
    <n v="0"/>
    <n v="0"/>
    <n v="0"/>
    <n v="16589.439999999999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14"/>
    <x v="3"/>
  </r>
  <r>
    <x v="1"/>
    <x v="1"/>
    <x v="73"/>
    <x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5"/>
    <x v="18"/>
    <x v="3"/>
  </r>
  <r>
    <x v="1"/>
    <x v="1"/>
    <x v="74"/>
    <x v="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764.35"/>
    <n v="0"/>
    <n v="16210.13"/>
    <n v="13530.77"/>
    <n v="14870.45"/>
    <n v="48764.35"/>
    <n v="0"/>
    <n v="14870.45"/>
    <n v="12191.09"/>
    <n v="12191.09"/>
    <n v="14870.45"/>
    <n v="12191.09"/>
    <x v="2"/>
    <x v="0"/>
    <s v="41100                   "/>
    <x v="6"/>
    <x v="8"/>
    <x v="6"/>
  </r>
  <r>
    <x v="1"/>
    <x v="1"/>
    <x v="75"/>
    <x v="75"/>
    <n v="2642.59"/>
    <n v="4016.81"/>
    <n v="4198.26"/>
    <n v="3885.15"/>
    <n v="6459.49"/>
    <n v="2215.3200000000002"/>
    <n v="1601.5"/>
    <n v="1266.17"/>
    <n v="4416.24"/>
    <n v="0.04"/>
    <n v="2391.66"/>
    <n v="507.34"/>
    <n v="1841.35"/>
    <n v="3360.14"/>
    <n v="1751.12"/>
    <n v="3867.8"/>
    <n v="2575.85"/>
    <n v="-640.83000000000004"/>
    <n v="2522.37"/>
    <n v="1266.1400000000001"/>
    <n v="2682.77"/>
    <n v="495.58"/>
    <n v="2284.17"/>
    <n v="2232.85"/>
    <n v="437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00"/>
    <n v="4000"/>
    <n v="4200"/>
    <n v="3900"/>
    <n v="6400"/>
    <n v="2200"/>
    <n v="1600"/>
    <n v="1300"/>
    <n v="2500"/>
    <n v="1200"/>
    <n v="1600"/>
    <n v="2800"/>
    <n v="1911.53"/>
    <n v="3485.44"/>
    <n v="1833.68"/>
    <n v="3989.01"/>
    <n v="2655.53"/>
    <n v="4122.1400000000003"/>
    <n v="1642.37"/>
    <n v="1347.98"/>
    <n v="4585.0600000000004"/>
    <n v="0"/>
    <n v="2509.39"/>
    <n v="507.63"/>
    <x v="2"/>
    <x v="0"/>
    <s v="41100                   "/>
    <x v="7"/>
    <x v="3"/>
    <x v="7"/>
  </r>
  <r>
    <x v="1"/>
    <x v="1"/>
    <x v="76"/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4"/>
    <x v="7"/>
  </r>
  <r>
    <x v="1"/>
    <x v="1"/>
    <x v="77"/>
    <x v="77"/>
    <n v="0"/>
    <n v="0"/>
    <n v="0"/>
    <n v="0"/>
    <n v="0"/>
    <n v="0"/>
    <n v="0"/>
    <n v="0"/>
    <n v="0"/>
    <n v="0"/>
    <n v="0"/>
    <n v="0"/>
    <n v="0"/>
    <n v="0"/>
    <n v="0"/>
    <n v="677.32"/>
    <n v="1615.37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6.4"/>
    <n v="1683.38"/>
    <n v="0"/>
    <n v="0"/>
    <n v="0"/>
    <n v="0"/>
    <n v="0"/>
    <n v="0"/>
    <n v="0"/>
    <x v="2"/>
    <x v="0"/>
    <s v="41100                   "/>
    <x v="7"/>
    <x v="5"/>
    <x v="7"/>
  </r>
  <r>
    <x v="1"/>
    <x v="1"/>
    <x v="78"/>
    <x v="78"/>
    <n v="150.71"/>
    <n v="75.36"/>
    <n v="289.38"/>
    <n v="75.36"/>
    <n v="226.06"/>
    <n v="0"/>
    <n v="214.03"/>
    <n v="0"/>
    <n v="153.27000000000001"/>
    <n v="0"/>
    <n v="0"/>
    <n v="0"/>
    <n v="281.01"/>
    <n v="619.69000000000005"/>
    <n v="490.56"/>
    <n v="360.02"/>
    <n v="1139.51"/>
    <n v="633.04"/>
    <n v="136.36000000000001"/>
    <n v="0"/>
    <n v="361.67"/>
    <n v="211.49"/>
    <n v="483.37"/>
    <n v="0"/>
    <n v="651.419999999999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0"/>
    <n v="75"/>
    <n v="300"/>
    <n v="75"/>
    <n v="200"/>
    <n v="75"/>
    <n v="200"/>
    <n v="150"/>
    <n v="150"/>
    <n v="150"/>
    <n v="200"/>
    <n v="300"/>
    <n v="263.74"/>
    <n v="617.14"/>
    <n v="478.63"/>
    <n v="358.05"/>
    <n v="1174.3699999999999"/>
    <n v="618.22"/>
    <n v="63.32"/>
    <n v="0"/>
    <n v="0"/>
    <n v="0"/>
    <n v="0"/>
    <n v="0"/>
    <x v="2"/>
    <x v="0"/>
    <s v="41100                   "/>
    <x v="7"/>
    <x v="1"/>
    <x v="7"/>
  </r>
  <r>
    <x v="1"/>
    <x v="1"/>
    <x v="79"/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7"/>
    <x v="7"/>
  </r>
  <r>
    <x v="1"/>
    <x v="1"/>
    <x v="80"/>
    <x v="80"/>
    <n v="133.75"/>
    <n v="0"/>
    <n v="0"/>
    <n v="0"/>
    <n v="0"/>
    <n v="0"/>
    <n v="0"/>
    <n v="0"/>
    <n v="0"/>
    <n v="0"/>
    <n v="0"/>
    <n v="0"/>
    <n v="477.52"/>
    <n v="600.77"/>
    <n v="0"/>
    <n v="513.49"/>
    <n v="0"/>
    <n v="348.52"/>
    <n v="0"/>
    <n v="0"/>
    <n v="394.75"/>
    <n v="130.75"/>
    <n v="322.98"/>
    <n v="133.7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.17"/>
    <n v="595.76"/>
    <n v="0"/>
    <n v="262.98"/>
    <n v="0"/>
    <n v="351.68"/>
    <n v="0"/>
    <n v="0"/>
    <n v="0"/>
    <n v="0"/>
    <n v="0"/>
    <n v="0"/>
    <x v="2"/>
    <x v="0"/>
    <s v="41100                   "/>
    <x v="7"/>
    <x v="8"/>
    <x v="7"/>
  </r>
  <r>
    <x v="1"/>
    <x v="1"/>
    <x v="81"/>
    <x v="81"/>
    <n v="0"/>
    <n v="52.52"/>
    <n v="0"/>
    <n v="0"/>
    <n v="0"/>
    <n v="0"/>
    <n v="0"/>
    <n v="0"/>
    <n v="0"/>
    <n v="0"/>
    <n v="0"/>
    <n v="0"/>
    <n v="0"/>
    <n v="105.03"/>
    <n v="0"/>
    <n v="0"/>
    <n v="0"/>
    <n v="0"/>
    <n v="0"/>
    <n v="0"/>
    <n v="157.5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19"/>
    <n v="0"/>
    <n v="0"/>
    <n v="0"/>
    <n v="0"/>
    <n v="0"/>
    <n v="0"/>
    <n v="0"/>
    <n v="0"/>
    <n v="0"/>
    <n v="0"/>
    <x v="2"/>
    <x v="0"/>
    <s v="41100                   "/>
    <x v="7"/>
    <x v="9"/>
    <x v="7"/>
  </r>
  <r>
    <x v="1"/>
    <x v="1"/>
    <x v="82"/>
    <x v="82"/>
    <n v="188.58"/>
    <n v="126.63"/>
    <n v="255.82"/>
    <n v="63.3"/>
    <n v="0"/>
    <n v="0"/>
    <n v="127.91"/>
    <n v="0"/>
    <n v="127.9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0"/>
    <x v="7"/>
  </r>
  <r>
    <x v="1"/>
    <x v="1"/>
    <x v="83"/>
    <x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.63"/>
    <n v="0"/>
    <n v="0"/>
    <n v="0"/>
    <n v="0"/>
    <n v="0"/>
    <n v="0"/>
    <n v="0"/>
    <n v="0"/>
    <n v="0"/>
    <n v="0"/>
    <x v="2"/>
    <x v="0"/>
    <s v="41100                   "/>
    <x v="7"/>
    <x v="11"/>
    <x v="7"/>
  </r>
  <r>
    <x v="1"/>
    <x v="1"/>
    <x v="84"/>
    <x v="84"/>
    <n v="0"/>
    <n v="0"/>
    <n v="0"/>
    <n v="0"/>
    <n v="0"/>
    <n v="0"/>
    <n v="0"/>
    <n v="0"/>
    <n v="0"/>
    <n v="0"/>
    <n v="0"/>
    <n v="0"/>
    <n v="0"/>
    <n v="124.71"/>
    <n v="0"/>
    <n v="0"/>
    <n v="1132.42"/>
    <n v="0"/>
    <n v="0"/>
    <n v="0"/>
    <n v="1055.52"/>
    <n v="0"/>
    <n v="331.37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4.31"/>
    <n v="0"/>
    <n v="0"/>
    <n v="0"/>
    <n v="0"/>
    <n v="0"/>
    <n v="0"/>
    <n v="0"/>
    <x v="2"/>
    <x v="0"/>
    <s v="41100                   "/>
    <x v="7"/>
    <x v="12"/>
    <x v="7"/>
  </r>
  <r>
    <x v="1"/>
    <x v="1"/>
    <x v="85"/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3"/>
    <x v="7"/>
  </r>
  <r>
    <x v="1"/>
    <x v="1"/>
    <x v="86"/>
    <x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4"/>
    <x v="7"/>
  </r>
  <r>
    <x v="1"/>
    <x v="1"/>
    <x v="87"/>
    <x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5"/>
    <x v="7"/>
  </r>
  <r>
    <x v="1"/>
    <x v="1"/>
    <x v="88"/>
    <x v="88"/>
    <n v="0"/>
    <n v="0"/>
    <n v="0"/>
    <n v="0"/>
    <n v="0"/>
    <n v="0"/>
    <n v="0"/>
    <n v="0"/>
    <n v="0"/>
    <n v="0"/>
    <n v="0"/>
    <n v="0"/>
    <n v="0"/>
    <n v="147.11000000000001"/>
    <n v="0"/>
    <n v="0"/>
    <n v="0"/>
    <n v="0"/>
    <n v="0"/>
    <n v="0"/>
    <n v="0"/>
    <n v="0"/>
    <n v="128.79"/>
    <n v="127.75"/>
    <n v="-403.6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7"/>
    <x v="16"/>
    <x v="7"/>
  </r>
  <r>
    <x v="1"/>
    <x v="1"/>
    <x v="88"/>
    <x v="88"/>
    <n v="0"/>
    <n v="0"/>
    <n v="0"/>
    <n v="0"/>
    <n v="0"/>
    <n v="0"/>
    <n v="0"/>
    <n v="0"/>
    <n v="0"/>
    <n v="0"/>
    <n v="0"/>
    <n v="0"/>
    <n v="0"/>
    <n v="62.66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76"/>
    <n v="0"/>
    <n v="0"/>
    <n v="0"/>
    <n v="0"/>
    <n v="0"/>
    <n v="0"/>
    <n v="0"/>
    <n v="0"/>
    <n v="0"/>
    <n v="0"/>
    <x v="2"/>
    <x v="0"/>
    <s v="41100                   "/>
    <x v="7"/>
    <x v="16"/>
    <x v="7"/>
  </r>
  <r>
    <x v="1"/>
    <x v="1"/>
    <x v="89"/>
    <x v="89"/>
    <n v="0"/>
    <n v="32.65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7"/>
    <x v="7"/>
  </r>
  <r>
    <x v="1"/>
    <x v="1"/>
    <x v="90"/>
    <x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7"/>
    <x v="18"/>
    <x v="7"/>
  </r>
  <r>
    <x v="1"/>
    <x v="1"/>
    <x v="91"/>
    <x v="91"/>
    <n v="0"/>
    <n v="3.61"/>
    <n v="42012.85"/>
    <n v="53906.8"/>
    <n v="106918.42"/>
    <n v="92155.67"/>
    <n v="23.8"/>
    <n v="0"/>
    <n v="126.59"/>
    <n v="0"/>
    <n v="16.309999999999999"/>
    <n v="61398.13"/>
    <n v="7620"/>
    <n v="129753.2"/>
    <n v="395.98"/>
    <n v="28469.27"/>
    <n v="7477.69"/>
    <n v="75066.960000000006"/>
    <n v="212.42"/>
    <n v="1193.53"/>
    <n v="127.19"/>
    <n v="126.59"/>
    <n v="0"/>
    <n v="126.59"/>
    <n v="10063.7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495"/>
    <n v="60019"/>
    <n v="439"/>
    <n v="16729"/>
    <n v="439"/>
    <n v="72079"/>
    <n v="21679"/>
    <n v="439"/>
    <n v="439"/>
    <n v="439"/>
    <n v="439"/>
    <n v="26152"/>
    <n v="19119"/>
    <n v="0"/>
    <n v="0"/>
    <n v="0"/>
    <n v="0"/>
    <n v="241552.48"/>
    <n v="16729.13"/>
    <n v="0"/>
    <n v="0"/>
    <n v="0"/>
    <n v="0"/>
    <n v="0"/>
    <x v="2"/>
    <x v="0"/>
    <s v="41100                   "/>
    <x v="8"/>
    <x v="3"/>
    <x v="8"/>
  </r>
  <r>
    <x v="1"/>
    <x v="1"/>
    <x v="92"/>
    <x v="92"/>
    <n v="0"/>
    <n v="25.78"/>
    <n v="0"/>
    <n v="436.76"/>
    <n v="0"/>
    <n v="0"/>
    <n v="1300.1500000000001"/>
    <n v="29.05"/>
    <n v="218.3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4"/>
    <x v="8"/>
  </r>
  <r>
    <x v="1"/>
    <x v="1"/>
    <x v="93"/>
    <x v="93"/>
    <n v="0"/>
    <n v="0"/>
    <n v="0"/>
    <n v="0"/>
    <n v="0"/>
    <n v="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0"/>
    <x v="8"/>
  </r>
  <r>
    <x v="1"/>
    <x v="1"/>
    <x v="94"/>
    <x v="94"/>
    <n v="0"/>
    <n v="0"/>
    <n v="0"/>
    <n v="0"/>
    <n v="0"/>
    <n v="0"/>
    <n v="0"/>
    <n v="0"/>
    <n v="0"/>
    <n v="0"/>
    <n v="0"/>
    <n v="0"/>
    <n v="0"/>
    <n v="0"/>
    <n v="0"/>
    <n v="22231.08"/>
    <n v="0"/>
    <n v="0"/>
    <n v="27588.06"/>
    <n v="0"/>
    <n v="5309.7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5"/>
    <x v="8"/>
  </r>
  <r>
    <x v="1"/>
    <x v="1"/>
    <x v="95"/>
    <x v="95"/>
    <n v="0"/>
    <n v="0"/>
    <n v="0"/>
    <n v="0"/>
    <n v="0"/>
    <n v="0"/>
    <n v="211.6"/>
    <n v="0"/>
    <n v="0"/>
    <n v="0"/>
    <n v="0"/>
    <n v="0"/>
    <n v="0"/>
    <n v="0"/>
    <n v="96096"/>
    <n v="0"/>
    <n v="884"/>
    <n v="96551"/>
    <n v="23309.360000000001"/>
    <n v="1164.58"/>
    <n v="602.34"/>
    <n v="2535"/>
    <n v="0"/>
    <n v="892.84"/>
    <n v="103112.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823.1"/>
    <n v="0"/>
    <n v="103823.1"/>
    <n v="0"/>
    <n v="0"/>
    <n v="207043.17"/>
    <n v="275607.3"/>
    <n v="0"/>
    <n v="0"/>
    <n v="0"/>
    <n v="0"/>
    <n v="0"/>
    <x v="2"/>
    <x v="0"/>
    <s v="41100                   "/>
    <x v="8"/>
    <x v="6"/>
    <x v="8"/>
  </r>
  <r>
    <x v="1"/>
    <x v="1"/>
    <x v="96"/>
    <x v="96"/>
    <n v="37.47"/>
    <n v="147.38999999999999"/>
    <n v="0"/>
    <n v="1246.42"/>
    <n v="9916.66"/>
    <n v="12785.34"/>
    <n v="1.8"/>
    <n v="0"/>
    <n v="0"/>
    <n v="0"/>
    <n v="162.66999999999999"/>
    <n v="12.43"/>
    <n v="83.6"/>
    <n v="12532.16"/>
    <n v="1129.56"/>
    <n v="497.86"/>
    <n v="0"/>
    <n v="71.599999999999994"/>
    <n v="41121.81"/>
    <n v="286.39999999999998"/>
    <n v="126.59"/>
    <n v="554.53"/>
    <n v="0"/>
    <n v="0"/>
    <n v="253.1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77.4"/>
    <n v="7397"/>
    <n v="115"/>
    <n v="2106"/>
    <n v="115"/>
    <n v="8871"/>
    <n v="3461"/>
    <n v="115"/>
    <n v="115"/>
    <n v="115"/>
    <n v="115"/>
    <n v="3257.7"/>
    <n v="0"/>
    <n v="14319"/>
    <n v="0"/>
    <n v="0"/>
    <n v="0"/>
    <n v="15715.86"/>
    <n v="32707.35"/>
    <n v="0"/>
    <n v="0"/>
    <n v="0"/>
    <n v="0"/>
    <n v="0"/>
    <x v="2"/>
    <x v="0"/>
    <s v="41100                   "/>
    <x v="8"/>
    <x v="1"/>
    <x v="8"/>
  </r>
  <r>
    <x v="1"/>
    <x v="1"/>
    <x v="97"/>
    <x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9"/>
    <x v="8"/>
  </r>
  <r>
    <x v="1"/>
    <x v="1"/>
    <x v="98"/>
    <x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9.52"/>
    <n v="0"/>
    <n v="0"/>
    <n v="0"/>
    <n v="0"/>
    <n v="0"/>
    <n v="-759.5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8"/>
    <x v="7"/>
    <x v="8"/>
  </r>
  <r>
    <x v="1"/>
    <x v="1"/>
    <x v="98"/>
    <x v="98"/>
    <n v="0"/>
    <n v="0"/>
    <n v="55226.64"/>
    <n v="53906.8"/>
    <n v="85223.47"/>
    <n v="90003.68"/>
    <n v="102409.35"/>
    <n v="0"/>
    <n v="1236.69"/>
    <n v="0"/>
    <n v="1217.79"/>
    <n v="65860.11"/>
    <n v="0"/>
    <n v="137728.48000000001"/>
    <n v="759.53"/>
    <n v="533.65"/>
    <n v="1187.99"/>
    <n v="0"/>
    <n v="266467.07"/>
    <n v="506.35"/>
    <n v="759.53"/>
    <n v="185.02"/>
    <n v="0"/>
    <n v="506.35"/>
    <n v="438.1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505.6"/>
    <n v="88708"/>
    <n v="0"/>
    <n v="24254"/>
    <n v="0"/>
    <n v="106664"/>
    <n v="31624"/>
    <n v="0"/>
    <n v="0"/>
    <n v="0"/>
    <n v="0"/>
    <n v="38283.800000000003"/>
    <n v="0"/>
    <n v="0"/>
    <n v="0"/>
    <n v="0"/>
    <n v="0"/>
    <n v="516803.29"/>
    <n v="10441.19"/>
    <n v="0"/>
    <n v="0"/>
    <n v="0"/>
    <n v="0"/>
    <n v="0"/>
    <x v="2"/>
    <x v="0"/>
    <s v="41100                   "/>
    <x v="8"/>
    <x v="7"/>
    <x v="8"/>
  </r>
  <r>
    <x v="1"/>
    <x v="1"/>
    <x v="99"/>
    <x v="99"/>
    <n v="39.97"/>
    <n v="82.25"/>
    <n v="239.8"/>
    <n v="86407.39"/>
    <n v="203.19"/>
    <n v="1058.28"/>
    <n v="38343.1"/>
    <n v="432.57"/>
    <n v="0"/>
    <n v="0"/>
    <n v="721.16"/>
    <n v="83987.71"/>
    <n v="69594.740000000005"/>
    <n v="103297.47"/>
    <n v="3138.93"/>
    <n v="74534.55"/>
    <n v="746.74"/>
    <n v="80711.600000000006"/>
    <n v="51732.08"/>
    <n v="909.28"/>
    <n v="5757.57"/>
    <n v="3793.6"/>
    <n v="0"/>
    <n v="996.26"/>
    <n v="1569.1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22"/>
    <n v="33202"/>
    <n v="102"/>
    <n v="9152"/>
    <n v="102"/>
    <n v="39902"/>
    <n v="12952"/>
    <n v="102"/>
    <n v="102"/>
    <n v="102"/>
    <n v="102"/>
    <n v="14387"/>
    <n v="157743.76999999999"/>
    <n v="190534.58"/>
    <n v="0"/>
    <n v="0"/>
    <n v="0"/>
    <n v="253953.68"/>
    <n v="390246.88"/>
    <n v="0"/>
    <n v="0"/>
    <n v="0"/>
    <n v="0"/>
    <n v="0"/>
    <x v="2"/>
    <x v="0"/>
    <s v="41100                   "/>
    <x v="8"/>
    <x v="8"/>
    <x v="8"/>
  </r>
  <r>
    <x v="1"/>
    <x v="1"/>
    <x v="100"/>
    <x v="100"/>
    <n v="0"/>
    <n v="0"/>
    <n v="0"/>
    <n v="0"/>
    <n v="0"/>
    <n v="0"/>
    <n v="835.95"/>
    <n v="0"/>
    <n v="0"/>
    <n v="0"/>
    <n v="0"/>
    <n v="-30.37"/>
    <n v="7200"/>
    <n v="0"/>
    <n v="286.79000000000002"/>
    <n v="95.6"/>
    <n v="95.6"/>
    <n v="14400"/>
    <n v="226.04"/>
    <n v="573.5700000000000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08.880000000001"/>
    <n v="0"/>
    <n v="0"/>
    <n v="0"/>
    <n v="0"/>
    <n v="0"/>
    <n v="0"/>
    <n v="0"/>
    <n v="0"/>
    <n v="0"/>
    <n v="0"/>
    <n v="0"/>
    <x v="2"/>
    <x v="0"/>
    <s v="41100                   "/>
    <x v="8"/>
    <x v="9"/>
    <x v="8"/>
  </r>
  <r>
    <x v="1"/>
    <x v="1"/>
    <x v="101"/>
    <x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0"/>
    <x v="8"/>
  </r>
  <r>
    <x v="1"/>
    <x v="1"/>
    <x v="102"/>
    <x v="102"/>
    <n v="0"/>
    <n v="0"/>
    <n v="0"/>
    <n v="0"/>
    <n v="0"/>
    <n v="0"/>
    <n v="3603.27"/>
    <n v="0"/>
    <n v="0"/>
    <n v="7.69"/>
    <n v="0"/>
    <n v="24.37"/>
    <n v="0"/>
    <n v="0"/>
    <n v="0"/>
    <n v="11.93"/>
    <n v="109.19"/>
    <n v="87366.1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1"/>
    <x v="8"/>
  </r>
  <r>
    <x v="1"/>
    <x v="1"/>
    <x v="103"/>
    <x v="103"/>
    <n v="39.97"/>
    <n v="78.87"/>
    <n v="221801.61"/>
    <n v="115185.42"/>
    <n v="105209.13"/>
    <n v="124191.94"/>
    <n v="236491.07"/>
    <n v="985.09"/>
    <n v="11160.02"/>
    <n v="-334.38"/>
    <n v="259467.38"/>
    <n v="229230.21"/>
    <n v="19757.330000000002"/>
    <n v="253257.09"/>
    <n v="5602.51"/>
    <n v="63841.9"/>
    <n v="7837.12"/>
    <n v="97663.77"/>
    <n v="413755.63"/>
    <n v="7021.4"/>
    <n v="3170.16"/>
    <n v="4665.26"/>
    <n v="1050"/>
    <n v="137933.76000000001"/>
    <n v="134446.6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0968"/>
    <n v="261490"/>
    <n v="0"/>
    <n v="71495"/>
    <n v="0"/>
    <n v="315920"/>
    <n v="95820"/>
    <n v="0"/>
    <n v="0"/>
    <n v="0"/>
    <n v="0"/>
    <n v="117351.5"/>
    <n v="274839.75"/>
    <n v="822494.12"/>
    <n v="0"/>
    <n v="0"/>
    <n v="0"/>
    <n v="1418240.01"/>
    <n v="149886.20000000001"/>
    <n v="0"/>
    <n v="0"/>
    <n v="0"/>
    <n v="0"/>
    <n v="2248.38"/>
    <x v="2"/>
    <x v="0"/>
    <s v="41100                   "/>
    <x v="8"/>
    <x v="12"/>
    <x v="8"/>
  </r>
  <r>
    <x v="1"/>
    <x v="1"/>
    <x v="104"/>
    <x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3"/>
    <x v="8"/>
  </r>
  <r>
    <x v="1"/>
    <x v="1"/>
    <x v="105"/>
    <x v="105"/>
    <n v="268126.84999999998"/>
    <n v="92053.3"/>
    <n v="77251.87"/>
    <n v="436.76"/>
    <n v="0"/>
    <n v="1364.88"/>
    <n v="33729.67"/>
    <n v="0"/>
    <n v="2020.02"/>
    <n v="0"/>
    <n v="80527.570000000007"/>
    <n v="163.79"/>
    <n v="151314.57999999999"/>
    <n v="3407.53"/>
    <n v="79431.12"/>
    <n v="71648.7"/>
    <n v="14975.34"/>
    <n v="-0.01"/>
    <n v="3744.3"/>
    <n v="46237"/>
    <n v="102394.17"/>
    <n v="-43240.1"/>
    <n v="0"/>
    <n v="81393.899999999994"/>
    <n v="316256.1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21009.6"/>
    <n v="391178"/>
    <n v="50000"/>
    <n v="57739"/>
    <n v="0"/>
    <n v="290224"/>
    <n v="155284"/>
    <n v="125000"/>
    <n v="100000"/>
    <n v="100000"/>
    <n v="125000"/>
    <n v="91138.3"/>
    <n v="84605.71"/>
    <n v="240087.46"/>
    <n v="6864.84"/>
    <n v="6864.84"/>
    <n v="6864.84"/>
    <n v="84605.71"/>
    <n v="97116.57"/>
    <n v="6864.84"/>
    <n v="6864.84"/>
    <n v="6864.84"/>
    <n v="6864.84"/>
    <n v="6864.84"/>
    <x v="2"/>
    <x v="0"/>
    <s v="41100                   "/>
    <x v="8"/>
    <x v="14"/>
    <x v="8"/>
  </r>
  <r>
    <x v="1"/>
    <x v="1"/>
    <x v="106"/>
    <x v="106"/>
    <n v="0"/>
    <n v="0"/>
    <n v="0"/>
    <n v="0"/>
    <n v="0"/>
    <n v="0"/>
    <n v="0"/>
    <n v="0"/>
    <n v="0"/>
    <n v="0"/>
    <n v="0"/>
    <n v="12.5"/>
    <n v="0"/>
    <n v="0"/>
    <n v="-167.4"/>
    <n v="15"/>
    <n v="0"/>
    <n v="0"/>
    <n v="6502.9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5"/>
    <x v="8"/>
  </r>
  <r>
    <x v="1"/>
    <x v="1"/>
    <x v="107"/>
    <x v="107"/>
    <n v="0"/>
    <n v="0"/>
    <n v="0"/>
    <n v="0"/>
    <n v="0"/>
    <n v="0"/>
    <n v="0"/>
    <n v="0"/>
    <n v="0"/>
    <n v="0"/>
    <n v="0"/>
    <n v="0"/>
    <n v="565.96"/>
    <n v="0"/>
    <n v="0"/>
    <n v="0"/>
    <n v="565.96"/>
    <n v="0"/>
    <n v="0"/>
    <n v="0"/>
    <n v="0"/>
    <n v="0"/>
    <n v="0"/>
    <n v="0"/>
    <n v="-1131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8"/>
    <x v="16"/>
    <x v="8"/>
  </r>
  <r>
    <x v="1"/>
    <x v="1"/>
    <x v="107"/>
    <x v="107"/>
    <n v="32.630000000000003"/>
    <n v="0"/>
    <n v="197.8"/>
    <n v="0"/>
    <n v="0"/>
    <n v="1437.96"/>
    <n v="156588.85"/>
    <n v="16.25"/>
    <n v="0"/>
    <n v="0"/>
    <n v="0"/>
    <n v="143.16999999999999"/>
    <n v="2077.9699999999998"/>
    <n v="0"/>
    <n v="323.98"/>
    <n v="114475.71"/>
    <n v="340.38"/>
    <n v="0"/>
    <n v="6610.91"/>
    <n v="389.79"/>
    <n v="28.96"/>
    <n v="135.52000000000001"/>
    <n v="0"/>
    <n v="480.49"/>
    <n v="5031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6000"/>
    <n v="0"/>
    <n v="0"/>
    <n v="0"/>
    <n v="134700"/>
    <n v="300"/>
    <n v="0"/>
    <n v="0"/>
    <n v="0"/>
    <n v="0"/>
    <n v="0"/>
    <n v="0"/>
    <n v="16139.25"/>
    <n v="0"/>
    <n v="0"/>
    <n v="0"/>
    <n v="0"/>
    <n v="150957"/>
    <n v="0"/>
    <n v="0"/>
    <n v="0"/>
    <n v="0"/>
    <n v="0"/>
    <x v="2"/>
    <x v="0"/>
    <s v="41100                   "/>
    <x v="8"/>
    <x v="16"/>
    <x v="8"/>
  </r>
  <r>
    <x v="1"/>
    <x v="1"/>
    <x v="108"/>
    <x v="108"/>
    <n v="0"/>
    <n v="0"/>
    <n v="0"/>
    <n v="0"/>
    <n v="0"/>
    <n v="0"/>
    <n v="1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7"/>
    <x v="8"/>
  </r>
  <r>
    <x v="1"/>
    <x v="1"/>
    <x v="109"/>
    <x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352.02"/>
    <n v="0"/>
    <n v="0"/>
    <n v="34069.8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8"/>
    <x v="18"/>
    <x v="8"/>
  </r>
  <r>
    <x v="1"/>
    <x v="1"/>
    <x v="110"/>
    <x v="110"/>
    <n v="0"/>
    <n v="352.48"/>
    <n v="128.51"/>
    <n v="47.39"/>
    <n v="-0.01"/>
    <n v="28.44"/>
    <n v="120.99"/>
    <n v="0"/>
    <n v="0"/>
    <n v="0"/>
    <n v="0"/>
    <n v="0"/>
    <n v="0"/>
    <n v="37.9"/>
    <n v="235.57"/>
    <n v="129.66"/>
    <n v="109.86"/>
    <n v="267.85000000000002"/>
    <n v="70.8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52.48"/>
    <n v="128.51"/>
    <n v="47.39"/>
    <n v="-0.01"/>
    <n v="28.44"/>
    <n v="120.99"/>
    <n v="0"/>
    <n v="0"/>
    <n v="0"/>
    <n v="0"/>
    <n v="0"/>
    <n v="0"/>
    <n v="37.770000000000003"/>
    <n v="226.35"/>
    <n v="130.78"/>
    <n v="113.57"/>
    <n v="53.32"/>
    <n v="0"/>
    <n v="0"/>
    <n v="0"/>
    <n v="0"/>
    <n v="0"/>
    <n v="0"/>
    <x v="2"/>
    <x v="0"/>
    <s v="41100                   "/>
    <x v="9"/>
    <x v="3"/>
    <x v="9"/>
  </r>
  <r>
    <x v="1"/>
    <x v="1"/>
    <x v="111"/>
    <x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4"/>
    <x v="9"/>
  </r>
  <r>
    <x v="1"/>
    <x v="1"/>
    <x v="112"/>
    <x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5"/>
    <x v="9"/>
  </r>
  <r>
    <x v="1"/>
    <x v="1"/>
    <x v="113"/>
    <x v="113"/>
    <n v="0"/>
    <n v="0"/>
    <n v="107.82"/>
    <n v="23.95"/>
    <n v="0"/>
    <n v="0"/>
    <n v="0"/>
    <n v="0"/>
    <n v="0"/>
    <n v="0"/>
    <n v="0"/>
    <n v="0"/>
    <n v="0"/>
    <n v="-0.04"/>
    <n v="227.61"/>
    <n v="97.81"/>
    <n v="109.79"/>
    <n v="89.16"/>
    <n v="44.05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07.82"/>
    <n v="23.95"/>
    <n v="0"/>
    <n v="0"/>
    <n v="0"/>
    <n v="0"/>
    <n v="0"/>
    <n v="0"/>
    <n v="0"/>
    <n v="0"/>
    <n v="0"/>
    <n v="0"/>
    <n v="225.04"/>
    <n v="83.72"/>
    <n v="95.65"/>
    <n v="83.62"/>
    <n v="0"/>
    <n v="0"/>
    <n v="0"/>
    <n v="0"/>
    <n v="0"/>
    <n v="0"/>
    <x v="2"/>
    <x v="0"/>
    <s v="41100                   "/>
    <x v="9"/>
    <x v="1"/>
    <x v="9"/>
  </r>
  <r>
    <x v="1"/>
    <x v="1"/>
    <x v="114"/>
    <x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9"/>
    <x v="7"/>
    <x v="9"/>
  </r>
  <r>
    <x v="1"/>
    <x v="1"/>
    <x v="114"/>
    <x v="114"/>
    <n v="0"/>
    <n v="0"/>
    <n v="0"/>
    <n v="0"/>
    <n v="0"/>
    <n v="0"/>
    <n v="0"/>
    <n v="0"/>
    <n v="0"/>
    <n v="-0.0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7"/>
    <x v="9"/>
  </r>
  <r>
    <x v="1"/>
    <x v="1"/>
    <x v="115"/>
    <x v="115"/>
    <n v="0"/>
    <n v="294.5"/>
    <n v="818.4"/>
    <n v="206.09"/>
    <n v="783.17"/>
    <n v="135.51"/>
    <n v="0.01"/>
    <n v="0"/>
    <n v="0"/>
    <n v="0"/>
    <n v="0"/>
    <n v="0"/>
    <n v="-583.21"/>
    <n v="29.06"/>
    <n v="229.06"/>
    <n v="51.56"/>
    <n v="100.31"/>
    <n v="103.94"/>
    <n v="22.29"/>
    <n v="0.03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94.5"/>
    <n v="818.4"/>
    <n v="206.09"/>
    <n v="783.17"/>
    <n v="135.51"/>
    <n v="0.01"/>
    <n v="0"/>
    <n v="0"/>
    <n v="0"/>
    <n v="0"/>
    <n v="0"/>
    <n v="-581.09"/>
    <n v="30.81"/>
    <n v="228.19"/>
    <n v="20.54"/>
    <n v="99.95"/>
    <n v="108.54"/>
    <n v="121.37"/>
    <n v="0"/>
    <n v="0"/>
    <n v="0"/>
    <n v="0"/>
    <n v="0"/>
    <x v="2"/>
    <x v="0"/>
    <s v="41100                   "/>
    <x v="9"/>
    <x v="8"/>
    <x v="9"/>
  </r>
  <r>
    <x v="1"/>
    <x v="1"/>
    <x v="116"/>
    <x v="116"/>
    <n v="0"/>
    <n v="583.6"/>
    <n v="468.72"/>
    <n v="565.70000000000005"/>
    <n v="284.54000000000002"/>
    <n v="151.03"/>
    <n v="78.02"/>
    <n v="0"/>
    <n v="0"/>
    <n v="0"/>
    <n v="0"/>
    <n v="0"/>
    <n v="0"/>
    <n v="51.56"/>
    <n v="288.47000000000003"/>
    <n v="237.17"/>
    <n v="154.66999999999999"/>
    <n v="164.77"/>
    <n v="113.43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83.6"/>
    <n v="468.72"/>
    <n v="565.70000000000005"/>
    <n v="284.54000000000002"/>
    <n v="151.03"/>
    <n v="78.02"/>
    <n v="0"/>
    <n v="0"/>
    <n v="0"/>
    <n v="0"/>
    <n v="0"/>
    <n v="0"/>
    <n v="47.22"/>
    <n v="273.05"/>
    <n v="217.19"/>
    <n v="141.65"/>
    <n v="155.83000000000001"/>
    <n v="83.52"/>
    <n v="0"/>
    <n v="0"/>
    <n v="0"/>
    <n v="0"/>
    <n v="0"/>
    <x v="2"/>
    <x v="0"/>
    <s v="41100                   "/>
    <x v="9"/>
    <x v="9"/>
    <x v="9"/>
  </r>
  <r>
    <x v="1"/>
    <x v="1"/>
    <x v="117"/>
    <x v="117"/>
    <n v="0"/>
    <n v="0"/>
    <n v="0"/>
    <n v="61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61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0"/>
    <x v="9"/>
  </r>
  <r>
    <x v="1"/>
    <x v="1"/>
    <x v="118"/>
    <x v="118"/>
    <n v="0"/>
    <n v="0"/>
    <n v="0"/>
    <n v="0"/>
    <n v="122.6"/>
    <n v="111.46"/>
    <n v="0"/>
    <n v="0"/>
    <n v="0"/>
    <n v="0"/>
    <n v="0"/>
    <n v="0"/>
    <n v="0"/>
    <n v="0"/>
    <n v="96.14"/>
    <n v="11.15"/>
    <n v="66.87"/>
    <n v="78.02"/>
    <n v="11.15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22.6"/>
    <n v="111.46"/>
    <n v="0"/>
    <n v="0"/>
    <n v="0"/>
    <n v="0"/>
    <n v="0"/>
    <n v="0"/>
    <n v="0"/>
    <n v="0"/>
    <n v="99.95"/>
    <n v="11.11"/>
    <n v="66.63"/>
    <n v="77.739999999999995"/>
    <n v="0"/>
    <n v="0"/>
    <n v="0"/>
    <n v="0"/>
    <n v="0"/>
    <n v="0"/>
    <x v="2"/>
    <x v="0"/>
    <s v="41100                   "/>
    <x v="9"/>
    <x v="11"/>
    <x v="9"/>
  </r>
  <r>
    <x v="1"/>
    <x v="1"/>
    <x v="119"/>
    <x v="119"/>
    <n v="0"/>
    <n v="43.2"/>
    <n v="95.84"/>
    <n v="0"/>
    <n v="132.84"/>
    <n v="0"/>
    <n v="0"/>
    <n v="0"/>
    <n v="0"/>
    <n v="0"/>
    <n v="0"/>
    <n v="0"/>
    <n v="0"/>
    <n v="0"/>
    <n v="11.98"/>
    <n v="112"/>
    <n v="0"/>
    <n v="52.92"/>
    <n v="73.55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43.2"/>
    <n v="95.84"/>
    <n v="0"/>
    <n v="132.84"/>
    <n v="0"/>
    <n v="0"/>
    <n v="0"/>
    <n v="0"/>
    <n v="0"/>
    <n v="0"/>
    <n v="0"/>
    <n v="0"/>
    <n v="0"/>
    <n v="13.59"/>
    <n v="111.54"/>
    <n v="0"/>
    <n v="54.37"/>
    <n v="0"/>
    <n v="0"/>
    <n v="0"/>
    <n v="0"/>
    <n v="0"/>
    <n v="0"/>
    <x v="2"/>
    <x v="0"/>
    <s v="41100                   "/>
    <x v="9"/>
    <x v="12"/>
    <x v="9"/>
  </r>
  <r>
    <x v="1"/>
    <x v="1"/>
    <x v="120"/>
    <x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3"/>
    <x v="9"/>
  </r>
  <r>
    <x v="1"/>
    <x v="1"/>
    <x v="121"/>
    <x v="121"/>
    <n v="0"/>
    <n v="0"/>
    <n v="0"/>
    <n v="0"/>
    <n v="0"/>
    <n v="0"/>
    <n v="0"/>
    <n v="0"/>
    <n v="0"/>
    <n v="0"/>
    <n v="0"/>
    <n v="0"/>
    <n v="0"/>
    <n v="0"/>
    <n v="0"/>
    <n v="0"/>
    <n v="41.25"/>
    <n v="9.4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4"/>
    <x v="9"/>
  </r>
  <r>
    <x v="1"/>
    <x v="1"/>
    <x v="122"/>
    <x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5"/>
    <x v="9"/>
  </r>
  <r>
    <x v="1"/>
    <x v="1"/>
    <x v="123"/>
    <x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89.17"/>
    <n v="286.47000000000003"/>
    <n v="302.93"/>
    <n v="0"/>
    <n v="171.65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9"/>
    <x v="16"/>
    <x v="9"/>
  </r>
  <r>
    <x v="1"/>
    <x v="1"/>
    <x v="123"/>
    <x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4"/>
    <n v="0"/>
    <n v="0"/>
    <n v="0"/>
    <n v="0"/>
    <n v="0"/>
    <x v="2"/>
    <x v="0"/>
    <s v="41100                   "/>
    <x v="9"/>
    <x v="16"/>
    <x v="9"/>
  </r>
  <r>
    <x v="1"/>
    <x v="1"/>
    <x v="124"/>
    <x v="124"/>
    <n v="0"/>
    <n v="0"/>
    <n v="11.38"/>
    <n v="2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7"/>
    <x v="9"/>
  </r>
  <r>
    <x v="1"/>
    <x v="1"/>
    <x v="125"/>
    <x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9"/>
    <x v="18"/>
    <x v="9"/>
  </r>
  <r>
    <x v="1"/>
    <x v="1"/>
    <x v="126"/>
    <x v="126"/>
    <n v="1477"/>
    <n v="3252.96"/>
    <n v="1645.04"/>
    <n v="3193.76"/>
    <n v="1498.07"/>
    <n v="578.79999999999995"/>
    <n v="879.94"/>
    <n v="195.69"/>
    <n v="2310.7600000000002"/>
    <n v="4369.83"/>
    <n v="2269.8200000000002"/>
    <n v="6363.9"/>
    <n v="5345.78"/>
    <n v="-1485.69"/>
    <n v="4947.3599999999997"/>
    <n v="744.35"/>
    <n v="1517.99"/>
    <n v="1154.1300000000001"/>
    <n v="1642.76"/>
    <n v="2520.86"/>
    <n v="5026"/>
    <n v="2342.29"/>
    <n v="1485.91"/>
    <n v="4760.09"/>
    <n v="1592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77"/>
    <n v="3252.96"/>
    <n v="1645.04"/>
    <n v="3193.76"/>
    <n v="1498.07"/>
    <n v="578.79999999999995"/>
    <n v="879.94"/>
    <n v="195.69"/>
    <n v="2310.7600000000002"/>
    <n v="4369.83"/>
    <n v="2269.8200000000002"/>
    <n v="6363.9"/>
    <n v="3699.17"/>
    <n v="-199.13"/>
    <n v="7984.29"/>
    <n v="846.46"/>
    <n v="1949.3"/>
    <n v="2469.56"/>
    <n v="2692.77"/>
    <n v="2328.59"/>
    <n v="2904.74"/>
    <n v="2207.84"/>
    <n v="2557.23"/>
    <n v="5744.98"/>
    <x v="2"/>
    <x v="0"/>
    <s v="41100                   "/>
    <x v="10"/>
    <x v="3"/>
    <x v="4"/>
  </r>
  <r>
    <x v="1"/>
    <x v="1"/>
    <x v="127"/>
    <x v="127"/>
    <n v="3731.82"/>
    <n v="4352.1099999999997"/>
    <n v="3759.78"/>
    <n v="5137.3"/>
    <n v="2152.5500000000002"/>
    <n v="3216.11"/>
    <n v="4221.68"/>
    <n v="4637.63"/>
    <n v="5202.7"/>
    <n v="959.77"/>
    <n v="3469.29"/>
    <n v="2843.86"/>
    <n v="2694.85"/>
    <n v="4311.17"/>
    <n v="3587.07"/>
    <n v="5706.32"/>
    <n v="3470.45"/>
    <n v="5844.28"/>
    <n v="5133.5600000000004"/>
    <n v="7189.1"/>
    <n v="10500.74"/>
    <n v="2425.2800000000002"/>
    <n v="5169.22"/>
    <n v="4356.67"/>
    <n v="5021.68999999999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31.82"/>
    <n v="4352.1099999999997"/>
    <n v="3759.78"/>
    <n v="5137.3"/>
    <n v="2152.5500000000002"/>
    <n v="3216.11"/>
    <n v="4221.68"/>
    <n v="4637.63"/>
    <n v="5202.7"/>
    <n v="959.77"/>
    <n v="3469.29"/>
    <n v="2843.86"/>
    <n v="0"/>
    <n v="0"/>
    <n v="0"/>
    <n v="0"/>
    <n v="0"/>
    <n v="0"/>
    <n v="0"/>
    <n v="0"/>
    <n v="0"/>
    <n v="0"/>
    <n v="0"/>
    <n v="0"/>
    <x v="2"/>
    <x v="0"/>
    <s v="41100                   "/>
    <x v="10"/>
    <x v="4"/>
    <x v="4"/>
  </r>
  <r>
    <x v="1"/>
    <x v="1"/>
    <x v="128"/>
    <x v="128"/>
    <n v="50.84"/>
    <n v="582.13"/>
    <n v="409.29"/>
    <n v="479.59"/>
    <n v="701.52"/>
    <n v="658.82"/>
    <n v="476.61"/>
    <n v="650.98"/>
    <n v="0"/>
    <n v="1414.29"/>
    <n v="513.48"/>
    <n v="599.85"/>
    <n v="280.37"/>
    <n v="-15.85"/>
    <n v="0"/>
    <n v="11.62"/>
    <n v="0"/>
    <n v="17.43"/>
    <n v="0"/>
    <n v="0"/>
    <n v="34.869999999999997"/>
    <n v="7.8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.84"/>
    <n v="582.13"/>
    <n v="409.29"/>
    <n v="479.59"/>
    <n v="701.52"/>
    <n v="658.82"/>
    <n v="476.61"/>
    <n v="650.98"/>
    <n v="0"/>
    <n v="1414.29"/>
    <n v="513.48"/>
    <n v="599.85"/>
    <n v="140.12"/>
    <n v="126.9"/>
    <n v="-317.19"/>
    <n v="15.69"/>
    <n v="0"/>
    <n v="22.7"/>
    <n v="98.92"/>
    <n v="-8.14"/>
    <n v="-842.53"/>
    <n v="925.47"/>
    <n v="210.13"/>
    <n v="389.17"/>
    <x v="2"/>
    <x v="0"/>
    <s v="41100                   "/>
    <x v="10"/>
    <x v="0"/>
    <x v="4"/>
  </r>
  <r>
    <x v="1"/>
    <x v="1"/>
    <x v="129"/>
    <x v="129"/>
    <n v="0"/>
    <n v="0"/>
    <n v="0"/>
    <n v="0"/>
    <n v="0"/>
    <n v="0"/>
    <n v="0"/>
    <n v="0"/>
    <n v="0"/>
    <n v="0"/>
    <n v="0"/>
    <n v="0"/>
    <n v="0"/>
    <n v="0"/>
    <n v="0"/>
    <n v="0"/>
    <n v="0"/>
    <n v="37.200000000000003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.8"/>
    <n v="0"/>
    <n v="99.47"/>
    <n v="0"/>
    <n v="397.88"/>
    <n v="37.200000000000003"/>
    <n v="0"/>
    <n v="0"/>
    <n v="0"/>
    <n v="0"/>
    <n v="0"/>
    <n v="472.29"/>
    <x v="2"/>
    <x v="0"/>
    <s v="41100                   "/>
    <x v="10"/>
    <x v="5"/>
    <x v="4"/>
  </r>
  <r>
    <x v="1"/>
    <x v="1"/>
    <x v="130"/>
    <x v="130"/>
    <n v="0"/>
    <n v="0"/>
    <n v="0"/>
    <n v="0"/>
    <n v="0"/>
    <n v="0"/>
    <n v="0"/>
    <n v="0"/>
    <n v="0"/>
    <n v="49.06"/>
    <n v="147.18"/>
    <n v="196.23"/>
    <n v="327.07"/>
    <n v="49.05"/>
    <n v="0"/>
    <n v="0"/>
    <n v="0"/>
    <n v="0"/>
    <n v="0"/>
    <n v="0"/>
    <n v="0"/>
    <n v="0"/>
    <n v="3335.99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06"/>
    <n v="147.18"/>
    <n v="196.23"/>
    <n v="163.66"/>
    <n v="-163.44"/>
    <n v="0"/>
    <n v="0"/>
    <n v="16.36"/>
    <n v="0"/>
    <n v="16.36"/>
    <n v="0"/>
    <n v="0"/>
    <n v="0.03"/>
    <n v="0.08"/>
    <n v="16.48"/>
    <x v="2"/>
    <x v="0"/>
    <s v="41100                   "/>
    <x v="10"/>
    <x v="6"/>
    <x v="4"/>
  </r>
  <r>
    <x v="1"/>
    <x v="1"/>
    <x v="131"/>
    <x v="131"/>
    <n v="705.3"/>
    <n v="858.13"/>
    <n v="800.79"/>
    <n v="2541.59"/>
    <n v="409.13"/>
    <n v="5598.37"/>
    <n v="347.9"/>
    <n v="701.39"/>
    <n v="419.91"/>
    <n v="593.36"/>
    <n v="75.260000000000005"/>
    <n v="84.04"/>
    <n v="859.75"/>
    <n v="413.59"/>
    <n v="228.98"/>
    <n v="305.24"/>
    <n v="213.84"/>
    <n v="1887.3"/>
    <n v="3226.9"/>
    <n v="212.23"/>
    <n v="970.57"/>
    <n v="672.23"/>
    <n v="154.83000000000001"/>
    <n v="115.69"/>
    <n v="589.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05.3"/>
    <n v="858.13"/>
    <n v="800.79"/>
    <n v="2541.59"/>
    <n v="409.13"/>
    <n v="5598.37"/>
    <n v="347.9"/>
    <n v="701.39"/>
    <n v="419.91"/>
    <n v="593.36"/>
    <n v="75.260000000000005"/>
    <n v="84.04"/>
    <n v="1278.69"/>
    <n v="535.91999999999996"/>
    <n v="583.83000000000004"/>
    <n v="2329.36"/>
    <n v="7933.29"/>
    <n v="9715.58"/>
    <n v="115.06"/>
    <n v="2558.35"/>
    <n v="699.97"/>
    <n v="1544.51"/>
    <n v="1408.68"/>
    <n v="1795.18"/>
    <x v="2"/>
    <x v="0"/>
    <s v="41100                   "/>
    <x v="10"/>
    <x v="1"/>
    <x v="4"/>
  </r>
  <r>
    <x v="1"/>
    <x v="1"/>
    <x v="132"/>
    <x v="132"/>
    <n v="0"/>
    <n v="0"/>
    <n v="0"/>
    <n v="0"/>
    <n v="0"/>
    <n v="0"/>
    <n v="0"/>
    <n v="0"/>
    <n v="0"/>
    <n v="0"/>
    <n v="0"/>
    <n v="0"/>
    <n v="156.69999999999999"/>
    <n v="-1445.48"/>
    <n v="-965.71"/>
    <n v="-3363.91"/>
    <n v="-3334.26"/>
    <n v="-1917.3"/>
    <n v="237.3"/>
    <n v="-2418.86"/>
    <n v="-1726.93"/>
    <n v="95.56"/>
    <n v="-450.12"/>
    <n v="-2464.7800000000002"/>
    <n v="17597.7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97.02"/>
    <n v="833.6"/>
    <n v="16407.509999999998"/>
    <n v="-808.81"/>
    <n v="5242.68"/>
    <n v="3013.39"/>
    <n v="919"/>
    <n v="1411.44"/>
    <n v="-757.21"/>
    <n v="2352.09"/>
    <n v="531.94000000000005"/>
    <n v="-267.55"/>
    <n v="0"/>
    <n v="0"/>
    <n v="0"/>
    <n v="0"/>
    <n v="0"/>
    <n v="0"/>
    <n v="0"/>
    <n v="0"/>
    <n v="0"/>
    <n v="0"/>
    <n v="0"/>
    <n v="0"/>
    <x v="3"/>
    <x v="0"/>
    <s v="41100                   "/>
    <x v="10"/>
    <x v="7"/>
    <x v="4"/>
  </r>
  <r>
    <x v="1"/>
    <x v="1"/>
    <x v="132"/>
    <x v="132"/>
    <n v="7681.22"/>
    <n v="7596.2"/>
    <n v="9453"/>
    <n v="6906.67"/>
    <n v="5954.24"/>
    <n v="5807.75"/>
    <n v="7732.17"/>
    <n v="9530.9599999999991"/>
    <n v="10335.92"/>
    <n v="4682.6499999999996"/>
    <n v="9633.69"/>
    <n v="10736.21"/>
    <n v="4921.59"/>
    <n v="8916.77"/>
    <n v="7443.1"/>
    <n v="7522.17"/>
    <n v="9178.9500000000007"/>
    <n v="8128.84"/>
    <n v="7396.3"/>
    <n v="11210.41"/>
    <n v="6021.19"/>
    <n v="7728.17"/>
    <n v="7687.86"/>
    <n v="2953.49"/>
    <n v="3611.6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81.22"/>
    <n v="7596.2"/>
    <n v="9453"/>
    <n v="6906.67"/>
    <n v="5954.24"/>
    <n v="5807.75"/>
    <n v="7732.17"/>
    <n v="9530.9599999999991"/>
    <n v="10335.92"/>
    <n v="4682.6499999999996"/>
    <n v="9633.69"/>
    <n v="10736.21"/>
    <n v="3043.32"/>
    <n v="7342.49"/>
    <n v="10544.14"/>
    <n v="2476.4299999999998"/>
    <n v="2505.65"/>
    <n v="2827.05"/>
    <n v="2953.58"/>
    <n v="3010.06"/>
    <n v="3215.78"/>
    <n v="2571.5100000000002"/>
    <n v="2529.4499999999998"/>
    <n v="3278.37"/>
    <x v="2"/>
    <x v="0"/>
    <s v="41100                   "/>
    <x v="10"/>
    <x v="7"/>
    <x v="4"/>
  </r>
  <r>
    <x v="1"/>
    <x v="1"/>
    <x v="133"/>
    <x v="133"/>
    <n v="23657.18"/>
    <n v="45619.9"/>
    <n v="46760.27"/>
    <n v="47095.9"/>
    <n v="18032.669999999998"/>
    <n v="4942.6899999999996"/>
    <n v="3832.05"/>
    <n v="18515.330000000002"/>
    <n v="14947.44"/>
    <n v="4835.37"/>
    <n v="19099.810000000001"/>
    <n v="4649.41"/>
    <n v="18639.099999999999"/>
    <n v="14758.45"/>
    <n v="14282.07"/>
    <n v="-19146.419999999998"/>
    <n v="2057.2800000000002"/>
    <n v="1687.35"/>
    <n v="2008.08"/>
    <n v="10224.44"/>
    <n v="3769.2"/>
    <n v="10521.05"/>
    <n v="6142.91"/>
    <n v="570.55999999999995"/>
    <n v="1670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210.19"/>
    <n v="7892.34"/>
    <n v="3866.38"/>
    <n v="4202.38"/>
    <n v="2143.98"/>
    <n v="4943"/>
    <n v="3832"/>
    <n v="3111.09"/>
    <n v="2151.4299999999998"/>
    <n v="1807.94"/>
    <n v="3393.79"/>
    <n v="4649"/>
    <n v="7199.87"/>
    <n v="7213.16"/>
    <n v="5609.54"/>
    <n v="5017.67"/>
    <n v="4115.55"/>
    <n v="6959.32"/>
    <n v="4370.03"/>
    <n v="7505.91"/>
    <n v="7135.62"/>
    <n v="3509.8"/>
    <n v="6047.01"/>
    <n v="6144.12"/>
    <x v="2"/>
    <x v="0"/>
    <s v="41100                   "/>
    <x v="10"/>
    <x v="8"/>
    <x v="4"/>
  </r>
  <r>
    <x v="1"/>
    <x v="1"/>
    <x v="134"/>
    <x v="134"/>
    <n v="463.72"/>
    <n v="578.96"/>
    <n v="752.92"/>
    <n v="1017.24"/>
    <n v="1261.83"/>
    <n v="730.99"/>
    <n v="744.35"/>
    <n v="2040.71"/>
    <n v="379.41"/>
    <n v="1665.21"/>
    <n v="394.29"/>
    <n v="526.30999999999995"/>
    <n v="1961.49"/>
    <n v="1065.6500000000001"/>
    <n v="237.99"/>
    <n v="620.83000000000004"/>
    <n v="160.68"/>
    <n v="477.54"/>
    <n v="298.02"/>
    <n v="216.89"/>
    <n v="2581.29"/>
    <n v="627.30999999999995"/>
    <n v="567.4"/>
    <n v="1831.55"/>
    <n v="1528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63.72"/>
    <n v="578.96"/>
    <n v="752.92"/>
    <n v="1017.24"/>
    <n v="1261.83"/>
    <n v="730.99"/>
    <n v="744.35"/>
    <n v="2040.71"/>
    <n v="379.41"/>
    <n v="1665.21"/>
    <n v="394.29"/>
    <n v="526.30999999999995"/>
    <n v="1616.41"/>
    <n v="231.11"/>
    <n v="-136.22999999999999"/>
    <n v="745.4"/>
    <n v="457.41"/>
    <n v="667.09"/>
    <n v="943.26"/>
    <n v="2249.7399999999998"/>
    <n v="255.4"/>
    <n v="1314.36"/>
    <n v="746.89"/>
    <n v="508.43"/>
    <x v="2"/>
    <x v="0"/>
    <s v="41100                   "/>
    <x v="10"/>
    <x v="9"/>
    <x v="4"/>
  </r>
  <r>
    <x v="1"/>
    <x v="1"/>
    <x v="135"/>
    <x v="135"/>
    <n v="614.74"/>
    <n v="373.22"/>
    <n v="4168.2"/>
    <n v="226.2"/>
    <n v="574.46"/>
    <n v="3245.3"/>
    <n v="562.6"/>
    <n v="428.27"/>
    <n v="297.57"/>
    <n v="1253.72"/>
    <n v="519.29999999999995"/>
    <n v="0"/>
    <n v="2569.3200000000002"/>
    <n v="-669.67"/>
    <n v="222.5"/>
    <n v="429.26"/>
    <n v="0"/>
    <n v="69.44"/>
    <n v="434.81"/>
    <n v="0"/>
    <n v="1647.16"/>
    <n v="77.77"/>
    <n v="61.81"/>
    <n v="1999.94"/>
    <n v="6151.1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4.74"/>
    <n v="373.22"/>
    <n v="4168.2"/>
    <n v="226.2"/>
    <n v="574.46"/>
    <n v="3245.3"/>
    <n v="562.6"/>
    <n v="428.27"/>
    <n v="297.57"/>
    <n v="1253.72"/>
    <n v="519.29999999999995"/>
    <n v="0"/>
    <n v="2029.72"/>
    <n v="-911.79"/>
    <n v="266.89"/>
    <n v="264.60000000000002"/>
    <n v="0"/>
    <n v="88.2"/>
    <n v="320.70999999999998"/>
    <n v="313.83999999999997"/>
    <n v="184.4"/>
    <n v="980.52"/>
    <n v="99.65"/>
    <n v="18.329999999999998"/>
    <x v="2"/>
    <x v="0"/>
    <s v="41100                   "/>
    <x v="10"/>
    <x v="10"/>
    <x v="4"/>
  </r>
  <r>
    <x v="1"/>
    <x v="1"/>
    <x v="136"/>
    <x v="136"/>
    <n v="0"/>
    <n v="0"/>
    <n v="0"/>
    <n v="194.37"/>
    <n v="759.66"/>
    <n v="186.08"/>
    <n v="1144.3399999999999"/>
    <n v="2996"/>
    <n v="457.54"/>
    <n v="2915.8"/>
    <n v="1360.13"/>
    <n v="1740.89"/>
    <n v="2340.0100000000002"/>
    <n v="817.91"/>
    <n v="1219.1199999999999"/>
    <n v="1769.65"/>
    <n v="1056.51"/>
    <n v="2057.63"/>
    <n v="3340.26"/>
    <n v="1394.52"/>
    <n v="2151.3200000000002"/>
    <n v="1976.16"/>
    <n v="1678.17"/>
    <n v="950.44"/>
    <n v="1507.4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94.37"/>
    <n v="759.66"/>
    <n v="186.08"/>
    <n v="1144.3399999999999"/>
    <n v="2996"/>
    <n v="457.54"/>
    <n v="2915.8"/>
    <n v="1360.13"/>
    <n v="1740.89"/>
    <n v="1561.41"/>
    <n v="-310.98"/>
    <n v="488.18"/>
    <n v="1072.08"/>
    <n v="907.56"/>
    <n v="1953.11"/>
    <n v="8997.5"/>
    <n v="7928.11"/>
    <n v="-123.4"/>
    <n v="2912.56"/>
    <n v="549.29999999999995"/>
    <n v="1916.59"/>
    <x v="2"/>
    <x v="0"/>
    <s v="41100                   "/>
    <x v="10"/>
    <x v="11"/>
    <x v="4"/>
  </r>
  <r>
    <x v="1"/>
    <x v="1"/>
    <x v="137"/>
    <x v="137"/>
    <n v="935.12"/>
    <n v="572.41999999999996"/>
    <n v="1059.31"/>
    <n v="2952.89"/>
    <n v="3102.14"/>
    <n v="1584.72"/>
    <n v="2308.17"/>
    <n v="653.95000000000005"/>
    <n v="792.09"/>
    <n v="8409.18"/>
    <n v="1828.41"/>
    <n v="-322.36"/>
    <n v="431.16"/>
    <n v="287.11"/>
    <n v="519.78"/>
    <n v="403.12"/>
    <n v="437.11"/>
    <n v="3042.06"/>
    <n v="627"/>
    <n v="961.72"/>
    <n v="1884.47"/>
    <n v="9449.5400000000009"/>
    <n v="622.80999999999995"/>
    <n v="1987.21"/>
    <n v="2989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8.36"/>
    <n v="464.6"/>
    <n v="840.92"/>
    <n v="800"/>
    <n v="12.59"/>
    <n v="-195.83"/>
    <n v="117.23"/>
    <n v="457.4"/>
    <n v="792.09"/>
    <n v="8409.18"/>
    <n v="1828.41"/>
    <n v="-322.36"/>
    <n v="7978.82"/>
    <n v="6136.68"/>
    <n v="4801.7"/>
    <n v="5762.12"/>
    <n v="5391.48"/>
    <n v="15945.95"/>
    <n v="6683.79"/>
    <n v="7736.86"/>
    <n v="8115.92"/>
    <n v="5264.27"/>
    <n v="6377.43"/>
    <n v="6723.59"/>
    <x v="2"/>
    <x v="0"/>
    <s v="41100                   "/>
    <x v="10"/>
    <x v="12"/>
    <x v="4"/>
  </r>
  <r>
    <x v="1"/>
    <x v="1"/>
    <x v="138"/>
    <x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09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0"/>
    <x v="13"/>
    <x v="4"/>
  </r>
  <r>
    <x v="1"/>
    <x v="1"/>
    <x v="139"/>
    <x v="139"/>
    <n v="0"/>
    <n v="562.27"/>
    <n v="0"/>
    <n v="0"/>
    <n v="22.94"/>
    <n v="53.57"/>
    <n v="2028.5"/>
    <n v="123.74"/>
    <n v="0"/>
    <n v="0"/>
    <n v="344.49"/>
    <n v="7.67"/>
    <n v="207.44"/>
    <n v="0"/>
    <n v="665.68"/>
    <n v="30.62"/>
    <n v="38.25"/>
    <n v="6227.15"/>
    <n v="2629.79"/>
    <n v="-192.53"/>
    <n v="-129.99"/>
    <n v="-2605.63"/>
    <n v="374.85"/>
    <n v="0"/>
    <n v="542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62.27"/>
    <n v="0"/>
    <n v="0"/>
    <n v="22.94"/>
    <n v="53.57"/>
    <n v="2028.5"/>
    <n v="123.74"/>
    <n v="0"/>
    <n v="0"/>
    <n v="344.49"/>
    <n v="7.67"/>
    <n v="0"/>
    <n v="0"/>
    <n v="-3.55"/>
    <n v="-1.29"/>
    <n v="-1.94"/>
    <n v="1688.32"/>
    <n v="0"/>
    <n v="-42.62"/>
    <n v="0"/>
    <n v="253.37"/>
    <n v="123.7"/>
    <n v="75.23"/>
    <x v="2"/>
    <x v="0"/>
    <s v="41100                   "/>
    <x v="10"/>
    <x v="14"/>
    <x v="4"/>
  </r>
  <r>
    <x v="1"/>
    <x v="1"/>
    <x v="140"/>
    <x v="140"/>
    <n v="3451.47"/>
    <n v="2927.04"/>
    <n v="1497.17"/>
    <n v="-112.71"/>
    <n v="644.80999999999995"/>
    <n v="2243.81"/>
    <n v="29.07"/>
    <n v="0"/>
    <n v="0"/>
    <n v="2545.11"/>
    <n v="1805.78"/>
    <n v="1823.8"/>
    <n v="3297.65"/>
    <n v="-797.6"/>
    <n v="175.4"/>
    <n v="2702.32"/>
    <n v="5346.76"/>
    <n v="3640.2"/>
    <n v="5323.05"/>
    <n v="4116.97"/>
    <n v="3103.94"/>
    <n v="2449.23"/>
    <n v="2205.86"/>
    <n v="2258.44"/>
    <n v="2928.6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451.47"/>
    <n v="2927.04"/>
    <n v="1497.17"/>
    <n v="-112.71"/>
    <n v="644.80999999999995"/>
    <n v="2243.81"/>
    <n v="29.07"/>
    <n v="0"/>
    <n v="0"/>
    <n v="2545.11"/>
    <n v="1805.78"/>
    <n v="1823.8"/>
    <n v="399.8"/>
    <n v="-348.4"/>
    <n v="-39.979999999999997"/>
    <n v="11.42"/>
    <n v="57.11"/>
    <n v="0"/>
    <n v="57.11"/>
    <n v="97.09"/>
    <n v="11.42"/>
    <n v="0"/>
    <n v="11.42"/>
    <n v="62.83"/>
    <x v="2"/>
    <x v="0"/>
    <s v="41100                   "/>
    <x v="10"/>
    <x v="15"/>
    <x v="4"/>
  </r>
  <r>
    <x v="1"/>
    <x v="1"/>
    <x v="141"/>
    <x v="141"/>
    <n v="0"/>
    <n v="0"/>
    <n v="0"/>
    <n v="0"/>
    <n v="0"/>
    <n v="0"/>
    <n v="0"/>
    <n v="0"/>
    <n v="0"/>
    <n v="0"/>
    <n v="0"/>
    <n v="0"/>
    <n v="-239.13"/>
    <n v="481.1"/>
    <n v="-1167.7"/>
    <n v="-3136.84"/>
    <n v="-2589"/>
    <n v="-2519.62"/>
    <n v="389.98"/>
    <n v="-658.57"/>
    <n v="550.26"/>
    <n v="-99.46"/>
    <n v="334.89"/>
    <n v="-358.3"/>
    <n v="9012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685.89"/>
    <n v="67.2"/>
    <n v="-59.41"/>
    <n v="-947.57"/>
    <n v="-112.74"/>
    <n v="-784.44"/>
    <n v="-977.02"/>
    <n v="-1171.55"/>
    <n v="-842.35"/>
    <n v="-351.8"/>
    <n v="-407.73"/>
    <n v="-203.89"/>
    <n v="0"/>
    <n v="0"/>
    <n v="0"/>
    <n v="0"/>
    <n v="0"/>
    <n v="0"/>
    <n v="0"/>
    <n v="0"/>
    <n v="0"/>
    <n v="0"/>
    <n v="0"/>
    <n v="0"/>
    <x v="3"/>
    <x v="0"/>
    <s v="41100                   "/>
    <x v="10"/>
    <x v="16"/>
    <x v="4"/>
  </r>
  <r>
    <x v="1"/>
    <x v="1"/>
    <x v="141"/>
    <x v="141"/>
    <n v="1965.2"/>
    <n v="1920.69"/>
    <n v="1921.89"/>
    <n v="887.37"/>
    <n v="1511.81"/>
    <n v="1052.3699999999999"/>
    <n v="1019.67"/>
    <n v="1154.74"/>
    <n v="1070.1500000000001"/>
    <n v="1846.9"/>
    <n v="1356.55"/>
    <n v="452.12"/>
    <n v="830.16"/>
    <n v="591.75"/>
    <n v="1186.17"/>
    <n v="3232.55"/>
    <n v="2890.56"/>
    <n v="2836.74"/>
    <n v="1655.81"/>
    <n v="691.42"/>
    <n v="691.42"/>
    <n v="345.71"/>
    <n v="1502.98"/>
    <n v="666.73"/>
    <n v="271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65.2"/>
    <n v="1920.69"/>
    <n v="1921.89"/>
    <n v="887.37"/>
    <n v="1511.81"/>
    <n v="1052.3699999999999"/>
    <n v="1019.67"/>
    <n v="1154.74"/>
    <n v="1070.1500000000001"/>
    <n v="1846.9"/>
    <n v="1356.55"/>
    <n v="452.12"/>
    <n v="434.99"/>
    <n v="51.26"/>
    <n v="50.33"/>
    <n v="12.82"/>
    <n v="561.74"/>
    <n v="796.61"/>
    <n v="62.4"/>
    <n v="793.24"/>
    <n v="-151.74"/>
    <n v="898.08"/>
    <n v="324.92"/>
    <n v="931.68"/>
    <x v="2"/>
    <x v="0"/>
    <s v="41100                   "/>
    <x v="10"/>
    <x v="16"/>
    <x v="4"/>
  </r>
  <r>
    <x v="1"/>
    <x v="1"/>
    <x v="142"/>
    <x v="142"/>
    <n v="386.8"/>
    <n v="388.45"/>
    <n v="638.74"/>
    <n v="1217.28"/>
    <n v="894.95"/>
    <n v="875.99"/>
    <n v="1046.6400000000001"/>
    <n v="898.74"/>
    <n v="8.16"/>
    <n v="1898.55"/>
    <n v="633.29"/>
    <n v="754.64"/>
    <n v="1221.07"/>
    <n v="68.84"/>
    <n v="125.14"/>
    <n v="836.99"/>
    <n v="902.53"/>
    <n v="750.84"/>
    <n v="580.20000000000005"/>
    <n v="614.33000000000004"/>
    <n v="1068.31"/>
    <n v="480.27"/>
    <n v="542.24"/>
    <n v="375.44"/>
    <n v="594.2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5"/>
    <n v="0"/>
    <n v="0"/>
    <n v="3.45"/>
    <n v="0"/>
    <n v="3.45"/>
    <n v="0"/>
    <n v="0"/>
    <n v="0"/>
    <n v="20.69"/>
    <n v="0"/>
    <n v="86.22"/>
    <x v="2"/>
    <x v="0"/>
    <s v="41100                   "/>
    <x v="10"/>
    <x v="17"/>
    <x v="4"/>
  </r>
  <r>
    <x v="1"/>
    <x v="1"/>
    <x v="143"/>
    <x v="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3.34"/>
    <n v="0"/>
    <n v="0"/>
    <n v="1770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0"/>
    <x v="18"/>
    <x v="4"/>
  </r>
  <r>
    <x v="1"/>
    <x v="1"/>
    <x v="144"/>
    <x v="144"/>
    <n v="35216.199999999997"/>
    <n v="54745.34"/>
    <n v="49852.2"/>
    <n v="50019.61"/>
    <n v="46286.47"/>
    <n v="52281.56"/>
    <n v="46606.52"/>
    <n v="40267.51"/>
    <n v="53424.35"/>
    <n v="27968.33"/>
    <n v="35619.78"/>
    <n v="31612.42"/>
    <n v="39883.919999999998"/>
    <n v="41782.58"/>
    <n v="43925.64"/>
    <n v="56214.52"/>
    <n v="39885.64"/>
    <n v="49009.56"/>
    <n v="48330.61"/>
    <n v="46482.68"/>
    <n v="59052.77"/>
    <n v="34804.019999999997"/>
    <n v="35319.339999999997"/>
    <n v="40394.959999999999"/>
    <n v="47243.5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476.56"/>
    <n v="61470.04"/>
    <n v="64227.07"/>
    <n v="59395.85"/>
    <n v="66998.33"/>
    <n v="70244.350000000006"/>
    <n v="75919.490000000005"/>
    <n v="60246.95"/>
    <n v="90737.71"/>
    <n v="47227.08"/>
    <n v="52478.7"/>
    <n v="50475.38"/>
    <n v="49281.86"/>
    <n v="51712.31"/>
    <n v="57912.92"/>
    <n v="63912.33"/>
    <n v="58706.8"/>
    <n v="65541.789999999994"/>
    <n v="60333.75"/>
    <n v="54787.66"/>
    <n v="71889.31"/>
    <n v="38857.99"/>
    <n v="48068.86"/>
    <n v="44178.52"/>
    <x v="2"/>
    <x v="0"/>
    <s v="41100                   "/>
    <x v="11"/>
    <x v="3"/>
    <x v="10"/>
  </r>
  <r>
    <x v="1"/>
    <x v="1"/>
    <x v="145"/>
    <x v="145"/>
    <n v="92191.64"/>
    <n v="115845.55"/>
    <n v="108374.31"/>
    <n v="103018.55"/>
    <n v="103432.62"/>
    <n v="101111.25"/>
    <n v="115197.9"/>
    <n v="89805.3"/>
    <n v="103797.79"/>
    <n v="73282.95"/>
    <n v="64693.75"/>
    <n v="78130.66"/>
    <n v="100293.06"/>
    <n v="122583.4"/>
    <n v="122542.46"/>
    <n v="120619.81"/>
    <n v="106462.3"/>
    <n v="124061.65"/>
    <n v="121701.27"/>
    <n v="107451.84"/>
    <n v="138745.47"/>
    <n v="78929.84"/>
    <n v="84599.8"/>
    <n v="91472.46"/>
    <n v="116562.4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0081.7"/>
    <n v="131815.29"/>
    <n v="136453.9"/>
    <n v="124153.55"/>
    <n v="123724.78"/>
    <n v="122787.55"/>
    <n v="139198.67000000001"/>
    <n v="114652.91"/>
    <n v="116571.96"/>
    <n v="75748.03"/>
    <n v="94964.9"/>
    <n v="98117.33"/>
    <n v="91489.59"/>
    <n v="113369.86"/>
    <n v="115207.1"/>
    <n v="110527.32"/>
    <n v="116750.46"/>
    <n v="124782.13"/>
    <n v="112580.99"/>
    <n v="97375.2"/>
    <n v="103801.43"/>
    <n v="76993.960000000006"/>
    <n v="69520.84"/>
    <n v="86296.24"/>
    <x v="2"/>
    <x v="0"/>
    <s v="41100                   "/>
    <x v="11"/>
    <x v="4"/>
    <x v="10"/>
  </r>
  <r>
    <x v="1"/>
    <x v="1"/>
    <x v="146"/>
    <x v="146"/>
    <n v="0"/>
    <n v="0"/>
    <n v="0"/>
    <n v="0"/>
    <n v="0"/>
    <n v="0"/>
    <n v="0"/>
    <n v="0"/>
    <n v="0"/>
    <n v="0"/>
    <n v="0"/>
    <n v="0"/>
    <n v="0"/>
    <n v="0"/>
    <n v="0"/>
    <n v="0"/>
    <n v="1302.08"/>
    <n v="-1093.76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0"/>
    <x v="10"/>
  </r>
  <r>
    <x v="1"/>
    <x v="1"/>
    <x v="147"/>
    <x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5"/>
    <x v="10"/>
  </r>
  <r>
    <x v="1"/>
    <x v="1"/>
    <x v="148"/>
    <x v="148"/>
    <n v="0"/>
    <n v="0"/>
    <n v="0"/>
    <n v="0"/>
    <n v="0"/>
    <n v="0"/>
    <n v="0"/>
    <n v="0"/>
    <n v="0"/>
    <n v="0"/>
    <n v="0"/>
    <n v="437.85"/>
    <n v="0"/>
    <n v="0"/>
    <n v="0"/>
    <n v="0"/>
    <n v="0"/>
    <n v="0"/>
    <n v="0"/>
    <n v="175.1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6"/>
    <x v="10"/>
  </r>
  <r>
    <x v="1"/>
    <x v="1"/>
    <x v="149"/>
    <x v="149"/>
    <n v="4254.79"/>
    <n v="4342.2"/>
    <n v="3325.7"/>
    <n v="3702.36"/>
    <n v="12907.54"/>
    <n v="10186.209999999999"/>
    <n v="4811.24"/>
    <n v="4670.22"/>
    <n v="4727.1899999999996"/>
    <n v="4728.83"/>
    <n v="6135.09"/>
    <n v="1004.86"/>
    <n v="4525.05"/>
    <n v="4260.22"/>
    <n v="1788.6"/>
    <n v="2442.98"/>
    <n v="11602.13"/>
    <n v="6246.92"/>
    <n v="1922.55"/>
    <n v="2999.26"/>
    <n v="2796.26"/>
    <n v="8067.8"/>
    <n v="8110.52"/>
    <n v="3143.35"/>
    <n v="3979.4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74.38"/>
    <n v="7142.27"/>
    <n v="6102.1"/>
    <n v="7083.84"/>
    <n v="7121.77"/>
    <n v="13052.3"/>
    <n v="8603.61"/>
    <n v="10618.29"/>
    <n v="10722.73"/>
    <n v="7638.1"/>
    <n v="8394.32"/>
    <n v="7454.2"/>
    <n v="5103.8599999999997"/>
    <n v="4343.42"/>
    <n v="4389.01"/>
    <n v="2751.51"/>
    <n v="13541.82"/>
    <n v="6133.84"/>
    <n v="9079.27"/>
    <n v="2532.5700000000002"/>
    <n v="6183.87"/>
    <n v="5210.13"/>
    <n v="2589.71"/>
    <n v="3343.87"/>
    <x v="2"/>
    <x v="0"/>
    <s v="41100                   "/>
    <x v="11"/>
    <x v="1"/>
    <x v="10"/>
  </r>
  <r>
    <x v="1"/>
    <x v="1"/>
    <x v="150"/>
    <x v="150"/>
    <n v="0"/>
    <n v="0"/>
    <n v="0"/>
    <n v="0"/>
    <n v="0"/>
    <n v="0"/>
    <n v="0"/>
    <n v="0"/>
    <n v="0"/>
    <n v="0"/>
    <n v="0"/>
    <n v="0"/>
    <n v="0"/>
    <n v="0"/>
    <n v="612.14"/>
    <n v="427.91"/>
    <n v="125.37"/>
    <n v="268.17"/>
    <n v="500.7"/>
    <n v="230.73"/>
    <n v="191.56"/>
    <n v="156.71"/>
    <n v="31.34"/>
    <n v="405.64"/>
    <n v="-2950.2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11"/>
    <x v="7"/>
    <x v="10"/>
  </r>
  <r>
    <x v="1"/>
    <x v="1"/>
    <x v="150"/>
    <x v="150"/>
    <n v="1449.47"/>
    <n v="858.17"/>
    <n v="1159.56"/>
    <n v="1186.56"/>
    <n v="922.86"/>
    <n v="1319.55"/>
    <n v="1050.25"/>
    <n v="646.33000000000004"/>
    <n v="3190.03"/>
    <n v="1019.7"/>
    <n v="807.89"/>
    <n v="1008.93"/>
    <n v="-165.9"/>
    <n v="0"/>
    <n v="0"/>
    <n v="19.07"/>
    <n v="0"/>
    <n v="-2308.98"/>
    <n v="0"/>
    <n v="0"/>
    <n v="-43.6"/>
    <n v="0"/>
    <n v="0"/>
    <n v="0"/>
    <n v="131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808.62"/>
    <n v="3735.32"/>
    <n v="4954.29"/>
    <n v="5009.87"/>
    <n v="4069.39"/>
    <n v="6194.87"/>
    <n v="4807.55"/>
    <n v="6700.84"/>
    <n v="4222.83"/>
    <n v="3582.94"/>
    <n v="3776.22"/>
    <n v="2560.79"/>
    <n v="1410.28"/>
    <n v="3023.05"/>
    <n v="1552.27"/>
    <n v="1880.14"/>
    <n v="7521.44"/>
    <n v="1858.11"/>
    <n v="5499.76"/>
    <n v="7553.76"/>
    <n v="10525.38"/>
    <n v="5201.3900000000003"/>
    <n v="5259.84"/>
    <n v="11500.47"/>
    <x v="2"/>
    <x v="0"/>
    <s v="41100                   "/>
    <x v="11"/>
    <x v="7"/>
    <x v="10"/>
  </r>
  <r>
    <x v="1"/>
    <x v="1"/>
    <x v="151"/>
    <x v="151"/>
    <n v="15030.97"/>
    <n v="15631.88"/>
    <n v="15002.59"/>
    <n v="10835.65"/>
    <n v="15656.17"/>
    <n v="16416.330000000002"/>
    <n v="18447.240000000002"/>
    <n v="14948.59"/>
    <n v="33508.269999999997"/>
    <n v="11193.08"/>
    <n v="10554.88"/>
    <n v="10792.48"/>
    <n v="18484.2"/>
    <n v="15498.3"/>
    <n v="17344.71"/>
    <n v="39987.19"/>
    <n v="26853.63"/>
    <n v="26922.61"/>
    <n v="29121.62"/>
    <n v="33999.550000000003"/>
    <n v="24329.45"/>
    <n v="25525.759999999998"/>
    <n v="12402.61"/>
    <n v="34341.879999999997"/>
    <n v="20171.84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265.65"/>
    <n v="52044.39"/>
    <n v="50227.27"/>
    <n v="47029.599999999999"/>
    <n v="48279.09"/>
    <n v="51493.43"/>
    <n v="46496.65"/>
    <n v="52681.97"/>
    <n v="50232.45"/>
    <n v="51790.38"/>
    <n v="48325.4"/>
    <n v="42572.2"/>
    <n v="15516.24"/>
    <n v="19139.7"/>
    <n v="19314.740000000002"/>
    <n v="14100.04"/>
    <n v="19551.96"/>
    <n v="22997.82"/>
    <n v="13215.71"/>
    <n v="17237.419999999998"/>
    <n v="18935.8"/>
    <n v="13966.74"/>
    <n v="13572.06"/>
    <n v="14354.64"/>
    <x v="2"/>
    <x v="0"/>
    <s v="41100                   "/>
    <x v="11"/>
    <x v="8"/>
    <x v="10"/>
  </r>
  <r>
    <x v="1"/>
    <x v="1"/>
    <x v="152"/>
    <x v="152"/>
    <n v="762.45"/>
    <n v="2305.2399999999998"/>
    <n v="3812.24"/>
    <n v="3987.92"/>
    <n v="2186.3200000000002"/>
    <n v="1912.03"/>
    <n v="2048.35"/>
    <n v="1552.47"/>
    <n v="1997.83"/>
    <n v="2257.2399999999998"/>
    <n v="1140.6099999999999"/>
    <n v="1684.67"/>
    <n v="1762.16"/>
    <n v="3322.27"/>
    <n v="1764.06"/>
    <n v="1474.1"/>
    <n v="2654.74"/>
    <n v="1598.84"/>
    <n v="1745.8"/>
    <n v="1325.71"/>
    <n v="1774.78"/>
    <n v="856.18"/>
    <n v="835.77"/>
    <n v="7709.58"/>
    <n v="3065.0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97.0100000000002"/>
    <n v="6364.06"/>
    <n v="10075.120000000001"/>
    <n v="13131.14"/>
    <n v="9719.26"/>
    <n v="6618.57"/>
    <n v="6571.03"/>
    <n v="8755.31"/>
    <n v="4318.09"/>
    <n v="4517.79"/>
    <n v="4229.43"/>
    <n v="6515.22"/>
    <n v="2259.71"/>
    <n v="3418.03"/>
    <n v="2992.83"/>
    <n v="2156.86"/>
    <n v="4515.16"/>
    <n v="2228.71"/>
    <n v="2617.84"/>
    <n v="2231.7399999999998"/>
    <n v="1869.87"/>
    <n v="2472.75"/>
    <n v="539.14"/>
    <n v="1240.69"/>
    <x v="2"/>
    <x v="0"/>
    <s v="41100                   "/>
    <x v="11"/>
    <x v="9"/>
    <x v="10"/>
  </r>
  <r>
    <x v="1"/>
    <x v="1"/>
    <x v="153"/>
    <x v="153"/>
    <n v="1906.33"/>
    <n v="2093.77"/>
    <n v="991.79"/>
    <n v="220.4"/>
    <n v="551"/>
    <n v="211.46"/>
    <n v="982.83"/>
    <n v="46.17"/>
    <n v="717.71"/>
    <n v="515.22"/>
    <n v="195.81"/>
    <n v="85.6"/>
    <n v="0"/>
    <n v="110.2"/>
    <n v="0"/>
    <n v="195.8"/>
    <n v="0"/>
    <n v="0"/>
    <n v="-477.2"/>
    <n v="171.21"/>
    <n v="0"/>
    <n v="0"/>
    <n v="0"/>
    <n v="0"/>
    <n v="113.0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57.18"/>
    <n v="1296.23"/>
    <n v="2075.9699999999998"/>
    <n v="162.72999999999999"/>
    <n v="367.57"/>
    <n v="278.76"/>
    <n v="327.95"/>
    <n v="146.38"/>
    <n v="978.23"/>
    <n v="421.97"/>
    <n v="309.89999999999998"/>
    <n v="744.4"/>
    <n v="0"/>
    <n v="108.53"/>
    <n v="0"/>
    <n v="192.72"/>
    <n v="0"/>
    <n v="0"/>
    <n v="832.92"/>
    <n v="127.29"/>
    <n v="509.18"/>
    <n v="88.49"/>
    <n v="202.47"/>
    <n v="84.19"/>
    <x v="2"/>
    <x v="0"/>
    <s v="41100                   "/>
    <x v="11"/>
    <x v="10"/>
    <x v="10"/>
  </r>
  <r>
    <x v="1"/>
    <x v="1"/>
    <x v="154"/>
    <x v="154"/>
    <n v="0"/>
    <n v="0"/>
    <n v="631.07000000000005"/>
    <n v="2170.5"/>
    <n v="5197.83"/>
    <n v="5918.13"/>
    <n v="6454.83"/>
    <n v="7493.05"/>
    <n v="7568.75"/>
    <n v="917.83"/>
    <n v="1518.23"/>
    <n v="2018.49"/>
    <n v="1769.29"/>
    <n v="2022.82"/>
    <n v="3215.66"/>
    <n v="2112.38"/>
    <n v="3976.75"/>
    <n v="7366.46"/>
    <n v="7403.64"/>
    <n v="5038.8500000000004"/>
    <n v="8402.0300000000007"/>
    <n v="2489.2800000000002"/>
    <n v="3674.25"/>
    <n v="4596.32"/>
    <n v="6024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18.56"/>
    <n v="5392.86"/>
    <n v="5480.81"/>
    <n v="9167.14"/>
    <n v="11171.74"/>
    <n v="16078.56"/>
    <n v="18949.98"/>
    <n v="21685.33"/>
    <n v="9775.6299999999992"/>
    <n v="4601.67"/>
    <n v="9790.48"/>
    <n v="9196.1299999999992"/>
    <n v="4987.68"/>
    <n v="3878.21"/>
    <n v="6733.19"/>
    <n v="2441.06"/>
    <n v="7788.64"/>
    <n v="7519.25"/>
    <n v="11872.83"/>
    <n v="8441.74"/>
    <n v="11355.64"/>
    <n v="2311.44"/>
    <n v="6485.65"/>
    <n v="2994.18"/>
    <x v="2"/>
    <x v="0"/>
    <s v="41100                   "/>
    <x v="11"/>
    <x v="11"/>
    <x v="10"/>
  </r>
  <r>
    <x v="1"/>
    <x v="1"/>
    <x v="155"/>
    <x v="155"/>
    <n v="303.91000000000003"/>
    <n v="1663.77"/>
    <n v="-131.13999999999999"/>
    <n v="147.78"/>
    <n v="184.62"/>
    <n v="92.31"/>
    <n v="0"/>
    <n v="280.12"/>
    <n v="0"/>
    <n v="8841.11"/>
    <n v="1545.82"/>
    <n v="697.2"/>
    <n v="-448.33"/>
    <n v="771.61"/>
    <n v="512.37"/>
    <n v="256.18"/>
    <n v="706.08"/>
    <n v="640.47"/>
    <n v="477.56"/>
    <n v="609.23"/>
    <n v="162.35"/>
    <n v="384.29"/>
    <n v="502.76"/>
    <n v="2820.84"/>
    <n v="384.2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"/>
    <n v="5020"/>
    <n v="885"/>
    <n v="748"/>
    <n v="76"/>
    <n v="336"/>
    <n v="152"/>
    <n v="2495"/>
    <n v="-309"/>
    <n v="3946"/>
    <n v="7596"/>
    <n v="152"/>
    <n v="12338.34"/>
    <n v="13306.76"/>
    <n v="16759.16"/>
    <n v="14685.28"/>
    <n v="14263.8"/>
    <n v="14967.98"/>
    <n v="16160.5"/>
    <n v="8620.2199999999993"/>
    <n v="15718.59"/>
    <n v="20373.41"/>
    <n v="14756.58"/>
    <n v="11525.19"/>
    <x v="2"/>
    <x v="0"/>
    <s v="41100                   "/>
    <x v="11"/>
    <x v="12"/>
    <x v="10"/>
  </r>
  <r>
    <x v="1"/>
    <x v="1"/>
    <x v="156"/>
    <x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13"/>
    <x v="10"/>
  </r>
  <r>
    <x v="1"/>
    <x v="1"/>
    <x v="157"/>
    <x v="157"/>
    <n v="843.83"/>
    <n v="6125.91"/>
    <n v="6784.91"/>
    <n v="4878.88"/>
    <n v="9998.09"/>
    <n v="25672.15"/>
    <n v="28486.84"/>
    <n v="19042.79"/>
    <n v="33323.89"/>
    <n v="13428.92"/>
    <n v="17150.3"/>
    <n v="18493.650000000001"/>
    <n v="19267.919999999998"/>
    <n v="22248"/>
    <n v="37632.57"/>
    <n v="20718.810000000001"/>
    <n v="22385.91"/>
    <n v="22191.82"/>
    <n v="22905.64"/>
    <n v="24292.97"/>
    <n v="34467.54"/>
    <n v="18369.37"/>
    <n v="20283.89"/>
    <n v="26545.62"/>
    <n v="20854.4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19.7099999999991"/>
    <n v="15526.74"/>
    <n v="12476.42"/>
    <n v="14035.91"/>
    <n v="11469.79"/>
    <n v="21833.34"/>
    <n v="1333.66"/>
    <n v="90361.64"/>
    <n v="32425.95"/>
    <n v="12339.78"/>
    <n v="20132.52"/>
    <n v="17592.349999999999"/>
    <n v="21266.76"/>
    <n v="22729.75"/>
    <n v="40286.36"/>
    <n v="22679.37"/>
    <n v="24977.88"/>
    <n v="26698.61"/>
    <n v="25571.54"/>
    <n v="20481.2"/>
    <n v="37440.480000000003"/>
    <n v="16091.98"/>
    <n v="20656.3"/>
    <n v="21356.83"/>
    <x v="2"/>
    <x v="0"/>
    <s v="41100                   "/>
    <x v="11"/>
    <x v="14"/>
    <x v="10"/>
  </r>
  <r>
    <x v="1"/>
    <x v="1"/>
    <x v="158"/>
    <x v="158"/>
    <n v="357.34"/>
    <n v="1130.26"/>
    <n v="104.17"/>
    <n v="0"/>
    <n v="1130.2"/>
    <n v="-566.70000000000005"/>
    <n v="258.55"/>
    <n v="677.07"/>
    <n v="-20.45"/>
    <n v="-425.91"/>
    <n v="7.45"/>
    <n v="505.29"/>
    <n v="404.05"/>
    <n v="239.34"/>
    <n v="298.39"/>
    <n v="561.59"/>
    <n v="261"/>
    <n v="223.28"/>
    <n v="324.11"/>
    <n v="197.81"/>
    <n v="197.82"/>
    <n v="296.70999999999998"/>
    <n v="242.96"/>
    <n v="278.2"/>
    <n v="231.2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-27"/>
    <n v="0"/>
    <n v="0"/>
    <n v="0"/>
    <n v="0"/>
    <n v="0"/>
    <n v="0"/>
    <n v="0"/>
    <n v="424.09"/>
    <n v="298.89"/>
    <n v="433.46"/>
    <n v="665.36"/>
    <n v="400.33"/>
    <n v="338.11"/>
    <n v="234.75"/>
    <n v="676.23"/>
    <n v="0"/>
    <n v="387.57"/>
    <n v="0"/>
    <n v="646.57000000000005"/>
    <x v="2"/>
    <x v="0"/>
    <s v="41100                   "/>
    <x v="11"/>
    <x v="15"/>
    <x v="10"/>
  </r>
  <r>
    <x v="1"/>
    <x v="1"/>
    <x v="159"/>
    <x v="159"/>
    <n v="0"/>
    <n v="0"/>
    <n v="0"/>
    <n v="0"/>
    <n v="0"/>
    <n v="0"/>
    <n v="0"/>
    <n v="0"/>
    <n v="0"/>
    <n v="0"/>
    <n v="0"/>
    <n v="0"/>
    <n v="6710.25"/>
    <n v="2749.06"/>
    <n v="1421.42"/>
    <n v="3318.21"/>
    <n v="3377.75"/>
    <n v="1588.65"/>
    <n v="2130.42"/>
    <n v="2465.83"/>
    <n v="3560.96"/>
    <n v="710.39"/>
    <n v="2159.85"/>
    <n v="1499.21"/>
    <n v="-316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11"/>
    <x v="16"/>
    <x v="10"/>
  </r>
  <r>
    <x v="1"/>
    <x v="1"/>
    <x v="159"/>
    <x v="159"/>
    <n v="0"/>
    <n v="0"/>
    <n v="0"/>
    <n v="0"/>
    <n v="0"/>
    <n v="0"/>
    <n v="832.49"/>
    <n v="85.4"/>
    <n v="64.040000000000006"/>
    <n v="0"/>
    <n v="0"/>
    <n v="0"/>
    <n v="0"/>
    <n v="0"/>
    <n v="192.14"/>
    <n v="0"/>
    <n v="0"/>
    <n v="0"/>
    <n v="0"/>
    <n v="0"/>
    <n v="0"/>
    <n v="417"/>
    <n v="233.48"/>
    <n v="238.29"/>
    <n v="476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76.84"/>
    <n v="6537.77"/>
    <n v="12253.15"/>
    <n v="9166.4500000000007"/>
    <n v="7170.47"/>
    <n v="7803.67"/>
    <n v="12999.16"/>
    <n v="8757.15"/>
    <n v="8064.48"/>
    <n v="5954.21"/>
    <n v="7940.37"/>
    <n v="6718.38"/>
    <n v="4212.93"/>
    <n v="2573.5700000000002"/>
    <n v="2691.64"/>
    <n v="3970.45"/>
    <n v="2894.53"/>
    <n v="1930.04"/>
    <n v="4367.41"/>
    <n v="4755.05"/>
    <n v="1882.01"/>
    <n v="3720.7"/>
    <n v="2160.41"/>
    <n v="2036.46"/>
    <x v="2"/>
    <x v="0"/>
    <s v="41100                   "/>
    <x v="11"/>
    <x v="16"/>
    <x v="10"/>
  </r>
  <r>
    <x v="1"/>
    <x v="1"/>
    <x v="160"/>
    <x v="160"/>
    <n v="10.34"/>
    <n v="0"/>
    <n v="0"/>
    <n v="0"/>
    <n v="0"/>
    <n v="0"/>
    <n v="0"/>
    <n v="0"/>
    <n v="0"/>
    <n v="0"/>
    <n v="0"/>
    <n v="0"/>
    <n v="0"/>
    <n v="0"/>
    <n v="0"/>
    <n v="0"/>
    <n v="0"/>
    <n v="32.200000000000003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-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17"/>
    <x v="10"/>
  </r>
  <r>
    <x v="1"/>
    <x v="1"/>
    <x v="161"/>
    <x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1"/>
    <x v="18"/>
    <x v="10"/>
  </r>
  <r>
    <x v="1"/>
    <x v="1"/>
    <x v="162"/>
    <x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3"/>
    <x v="3"/>
  </r>
  <r>
    <x v="1"/>
    <x v="1"/>
    <x v="163"/>
    <x v="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4"/>
    <x v="3"/>
  </r>
  <r>
    <x v="1"/>
    <x v="1"/>
    <x v="164"/>
    <x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0"/>
    <x v="3"/>
  </r>
  <r>
    <x v="1"/>
    <x v="1"/>
    <x v="165"/>
    <x v="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6"/>
    <x v="3"/>
  </r>
  <r>
    <x v="1"/>
    <x v="1"/>
    <x v="166"/>
    <x v="166"/>
    <n v="0"/>
    <n v="0"/>
    <n v="0"/>
    <n v="5838.49"/>
    <n v="1108.58"/>
    <n v="0"/>
    <n v="4434.3"/>
    <n v="5838.5"/>
    <n v="0"/>
    <n v="0"/>
    <n v="1106.18"/>
    <n v="6940.66"/>
    <n v="2212.35"/>
    <n v="0"/>
    <n v="0"/>
    <n v="0"/>
    <n v="0"/>
    <n v="0"/>
    <n v="0"/>
    <n v="9160.5"/>
    <n v="0"/>
    <n v="0"/>
    <n v="9160.5"/>
    <n v="0"/>
    <n v="5548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83"/>
    <n v="0"/>
    <n v="0"/>
    <n v="2191.5"/>
    <n v="2191.5"/>
    <n v="0"/>
    <n v="8766"/>
    <n v="0"/>
    <n v="0"/>
    <n v="4383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"/>
    <x v="3"/>
  </r>
  <r>
    <x v="1"/>
    <x v="1"/>
    <x v="167"/>
    <x v="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7"/>
    <x v="3"/>
  </r>
  <r>
    <x v="1"/>
    <x v="1"/>
    <x v="168"/>
    <x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1.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8"/>
    <x v="3"/>
  </r>
  <r>
    <x v="1"/>
    <x v="1"/>
    <x v="169"/>
    <x v="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9"/>
    <x v="3"/>
  </r>
  <r>
    <x v="1"/>
    <x v="1"/>
    <x v="170"/>
    <x v="170"/>
    <n v="1061.8399999999999"/>
    <n v="0"/>
    <n v="0"/>
    <n v="0"/>
    <n v="0"/>
    <n v="0"/>
    <n v="2149.6"/>
    <n v="2149.6"/>
    <n v="0"/>
    <n v="0"/>
    <n v="1081.51"/>
    <n v="0"/>
    <n v="0"/>
    <n v="0"/>
    <n v="0"/>
    <n v="0"/>
    <n v="0"/>
    <n v="0"/>
    <n v="0"/>
    <n v="-791.9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0"/>
    <x v="3"/>
  </r>
  <r>
    <x v="1"/>
    <x v="1"/>
    <x v="171"/>
    <x v="171"/>
    <n v="0"/>
    <n v="0"/>
    <n v="0"/>
    <n v="0"/>
    <n v="0"/>
    <n v="9534.6"/>
    <n v="9534.6"/>
    <n v="0"/>
    <n v="0"/>
    <n v="0"/>
    <n v="0"/>
    <n v="0"/>
    <n v="0"/>
    <n v="0"/>
    <n v="0"/>
    <n v="0"/>
    <n v="0"/>
    <n v="0"/>
    <n v="0"/>
    <n v="7150.95"/>
    <n v="0"/>
    <n v="0"/>
    <n v="0"/>
    <n v="1191.83"/>
    <n v="1193.7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383"/>
    <n v="0"/>
    <n v="8766"/>
    <n v="0"/>
    <n v="0"/>
    <n v="4383"/>
    <n v="0"/>
    <n v="0"/>
    <n v="4383"/>
    <n v="0"/>
    <n v="0"/>
    <n v="0"/>
    <n v="0"/>
    <n v="0"/>
    <n v="4767.3"/>
    <n v="0"/>
    <n v="0"/>
    <n v="4767.3"/>
    <n v="0"/>
    <n v="0"/>
    <n v="2383.65"/>
    <n v="0"/>
    <x v="2"/>
    <x v="0"/>
    <s v="41100                   "/>
    <x v="12"/>
    <x v="11"/>
    <x v="3"/>
  </r>
  <r>
    <x v="1"/>
    <x v="1"/>
    <x v="172"/>
    <x v="172"/>
    <n v="149.09"/>
    <n v="0"/>
    <n v="2087.29"/>
    <n v="0"/>
    <n v="4174.57"/>
    <n v="2822.2"/>
    <n v="2087.29"/>
    <n v="8360.35"/>
    <n v="0"/>
    <n v="0"/>
    <n v="0"/>
    <n v="2090.09"/>
    <n v="2090.09"/>
    <n v="0"/>
    <n v="0"/>
    <n v="0"/>
    <n v="0"/>
    <n v="0"/>
    <n v="0"/>
    <n v="8360.35"/>
    <n v="0"/>
    <n v="0"/>
    <n v="4180.18"/>
    <n v="4180.17"/>
    <n v="2090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752.16"/>
    <n v="0"/>
    <n v="0"/>
    <n v="7752.16"/>
    <n v="0"/>
    <n v="7752.16"/>
    <n v="0"/>
    <n v="0"/>
    <n v="3876.08"/>
    <n v="0"/>
    <n v="0"/>
    <n v="0"/>
    <n v="4478.76"/>
    <n v="0"/>
    <n v="0"/>
    <n v="4478.76"/>
    <n v="0"/>
    <n v="0"/>
    <n v="4478.76"/>
    <n v="0"/>
    <n v="0"/>
    <n v="4478.76"/>
    <n v="0"/>
    <x v="2"/>
    <x v="0"/>
    <s v="41100                   "/>
    <x v="12"/>
    <x v="12"/>
    <x v="3"/>
  </r>
  <r>
    <x v="1"/>
    <x v="1"/>
    <x v="173"/>
    <x v="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3"/>
    <x v="3"/>
  </r>
  <r>
    <x v="1"/>
    <x v="1"/>
    <x v="174"/>
    <x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4"/>
    <x v="3"/>
  </r>
  <r>
    <x v="1"/>
    <x v="1"/>
    <x v="175"/>
    <x v="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5"/>
    <x v="3"/>
  </r>
  <r>
    <x v="1"/>
    <x v="1"/>
    <x v="176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6"/>
    <x v="3"/>
  </r>
  <r>
    <x v="1"/>
    <x v="1"/>
    <x v="177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2"/>
    <x v="18"/>
    <x v="3"/>
  </r>
  <r>
    <x v="1"/>
    <x v="1"/>
    <x v="178"/>
    <x v="178"/>
    <n v="2790.2"/>
    <n v="0"/>
    <n v="2790.2"/>
    <n v="0"/>
    <n v="2790.2"/>
    <n v="0"/>
    <n v="0"/>
    <n v="0"/>
    <n v="0"/>
    <n v="2989.5"/>
    <n v="0"/>
    <n v="0"/>
    <n v="0"/>
    <n v="0"/>
    <n v="0"/>
    <n v="0"/>
    <n v="0"/>
    <n v="3989.5"/>
    <n v="0"/>
    <n v="0"/>
    <n v="0"/>
    <n v="0"/>
    <n v="0"/>
    <n v="0"/>
    <n v="1494.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600.5"/>
    <n v="0"/>
    <n v="1600.5"/>
    <n v="0"/>
    <n v="1600.5"/>
    <n v="0"/>
    <n v="1600.5"/>
    <n v="0"/>
    <n v="1600.5"/>
    <n v="0"/>
    <n v="0"/>
    <n v="0"/>
    <n v="2992.5"/>
    <n v="0"/>
    <n v="0"/>
    <n v="0"/>
    <n v="2992.5"/>
    <n v="0"/>
    <n v="0"/>
    <n v="0"/>
    <n v="2992.5"/>
    <n v="0"/>
    <n v="0"/>
    <x v="2"/>
    <x v="0"/>
    <s v="41100                   "/>
    <x v="13"/>
    <x v="3"/>
    <x v="3"/>
  </r>
  <r>
    <x v="1"/>
    <x v="1"/>
    <x v="179"/>
    <x v="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3"/>
    <x v="10"/>
    <x v="3"/>
  </r>
  <r>
    <x v="1"/>
    <x v="1"/>
    <x v="180"/>
    <x v="180"/>
    <n v="0"/>
    <n v="0"/>
    <n v="0"/>
    <n v="0"/>
    <n v="0"/>
    <n v="0"/>
    <n v="0"/>
    <n v="0"/>
    <n v="0"/>
    <n v="0"/>
    <n v="0"/>
    <n v="0"/>
    <n v="0"/>
    <n v="0"/>
    <n v="0"/>
    <n v="0"/>
    <n v="0"/>
    <n v="2449.3200000000002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6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3"/>
    <x v="11"/>
    <x v="3"/>
  </r>
  <r>
    <x v="1"/>
    <x v="1"/>
    <x v="181"/>
    <x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8.8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3"/>
    <x v="12"/>
    <x v="3"/>
  </r>
  <r>
    <x v="1"/>
    <x v="1"/>
    <x v="182"/>
    <x v="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3"/>
    <x v="13"/>
    <x v="3"/>
  </r>
  <r>
    <x v="1"/>
    <x v="1"/>
    <x v="183"/>
    <x v="183"/>
    <n v="5551.2"/>
    <n v="0"/>
    <n v="5551.2"/>
    <n v="-669.6"/>
    <n v="0"/>
    <n v="0"/>
    <n v="0"/>
    <n v="0"/>
    <n v="0"/>
    <n v="0"/>
    <n v="0"/>
    <n v="0"/>
    <n v="1387.8"/>
    <n v="0"/>
    <n v="0"/>
    <n v="0"/>
    <n v="1308.1300000000001"/>
    <n v="79.67"/>
    <n v="1220.4000000000001"/>
    <n v="0"/>
    <n v="0"/>
    <n v="1387.8"/>
    <n v="1220.4000000000001"/>
    <n v="0"/>
    <n v="1387.7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201"/>
    <n v="0"/>
    <n v="3201"/>
    <n v="0"/>
    <n v="3201"/>
    <n v="0"/>
    <n v="3201"/>
    <n v="0"/>
    <n v="0"/>
    <n v="0"/>
    <n v="0"/>
    <n v="0"/>
    <n v="1372.86"/>
    <n v="0"/>
    <n v="0"/>
    <n v="1372.86"/>
    <n v="0"/>
    <n v="0"/>
    <n v="1372.86"/>
    <n v="0"/>
    <n v="0"/>
    <n v="1372.86"/>
    <n v="0"/>
    <x v="2"/>
    <x v="0"/>
    <s v="41100                   "/>
    <x v="13"/>
    <x v="15"/>
    <x v="3"/>
  </r>
  <r>
    <x v="1"/>
    <x v="1"/>
    <x v="184"/>
    <x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3"/>
    <x v="18"/>
    <x v="3"/>
  </r>
  <r>
    <x v="1"/>
    <x v="1"/>
    <x v="185"/>
    <x v="185"/>
    <n v="0"/>
    <n v="4858.95"/>
    <n v="0"/>
    <n v="2456.17"/>
    <n v="0"/>
    <n v="2262.9899999999998"/>
    <n v="4111.42"/>
    <n v="2456.17"/>
    <n v="0"/>
    <n v="0"/>
    <n v="0"/>
    <n v="0"/>
    <n v="0"/>
    <n v="5713.27"/>
    <n v="0"/>
    <n v="0"/>
    <n v="1601.85"/>
    <n v="2029.01"/>
    <n v="0"/>
    <n v="2456.17"/>
    <n v="1601.85"/>
    <n v="1362.14"/>
    <n v="800.93"/>
    <n v="0"/>
    <n v="4912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121.25"/>
    <n v="0"/>
    <n v="7398.75"/>
    <n v="0"/>
    <n v="0"/>
    <n v="9247.5"/>
    <n v="0"/>
    <n v="0"/>
    <n v="4623.75"/>
    <n v="0"/>
    <n v="0"/>
    <n v="0"/>
    <n v="6509.31"/>
    <n v="0"/>
    <n v="0"/>
    <n v="1600.65"/>
    <n v="2294.27"/>
    <n v="4108.34"/>
    <n v="2454.33"/>
    <n v="0"/>
    <n v="0"/>
    <n v="0"/>
    <n v="800.33"/>
    <x v="2"/>
    <x v="0"/>
    <s v="41100                   "/>
    <x v="14"/>
    <x v="3"/>
    <x v="3"/>
  </r>
  <r>
    <x v="1"/>
    <x v="1"/>
    <x v="186"/>
    <x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4"/>
    <x v="3"/>
  </r>
  <r>
    <x v="1"/>
    <x v="1"/>
    <x v="187"/>
    <x v="187"/>
    <n v="0"/>
    <n v="0"/>
    <n v="0"/>
    <n v="0"/>
    <n v="0"/>
    <n v="0"/>
    <n v="0"/>
    <n v="0"/>
    <n v="0"/>
    <n v="0"/>
    <n v="0"/>
    <n v="0"/>
    <n v="0"/>
    <n v="3648"/>
    <n v="0"/>
    <n v="0"/>
    <n v="0"/>
    <n v="0"/>
    <n v="0"/>
    <n v="0"/>
    <n v="0"/>
    <n v="0"/>
    <n v="3995.99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26.1"/>
    <n v="0"/>
    <n v="0"/>
    <n v="0"/>
    <n v="0"/>
    <n v="0"/>
    <n v="0"/>
    <n v="0"/>
    <n v="0"/>
    <n v="0"/>
    <n v="0"/>
    <x v="2"/>
    <x v="0"/>
    <s v="41100                   "/>
    <x v="14"/>
    <x v="0"/>
    <x v="3"/>
  </r>
  <r>
    <x v="1"/>
    <x v="1"/>
    <x v="188"/>
    <x v="188"/>
    <n v="0"/>
    <n v="2209.65"/>
    <n v="0"/>
    <n v="0"/>
    <n v="0"/>
    <n v="1104.83"/>
    <n v="1104.83"/>
    <n v="0"/>
    <n v="0"/>
    <n v="0"/>
    <n v="0"/>
    <n v="0"/>
    <n v="-648.34"/>
    <n v="1104.83"/>
    <n v="0"/>
    <n v="0"/>
    <n v="0"/>
    <n v="1104.82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305.5"/>
    <n v="0"/>
    <n v="0"/>
    <n v="0"/>
    <n v="0"/>
    <n v="2305.5"/>
    <n v="0"/>
    <n v="0"/>
    <n v="0"/>
    <n v="0"/>
    <n v="0"/>
    <n v="0"/>
    <n v="1104.53"/>
    <n v="0"/>
    <n v="0"/>
    <n v="0"/>
    <n v="0"/>
    <n v="0"/>
    <n v="1104.53"/>
    <n v="0"/>
    <n v="0"/>
    <n v="0"/>
    <n v="0"/>
    <x v="2"/>
    <x v="0"/>
    <s v="41100                   "/>
    <x v="14"/>
    <x v="1"/>
    <x v="3"/>
  </r>
  <r>
    <x v="1"/>
    <x v="1"/>
    <x v="189"/>
    <x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7"/>
    <x v="3"/>
  </r>
  <r>
    <x v="1"/>
    <x v="1"/>
    <x v="190"/>
    <x v="190"/>
    <n v="0"/>
    <n v="0"/>
    <n v="0"/>
    <n v="1148.17"/>
    <n v="0"/>
    <n v="0"/>
    <n v="0"/>
    <n v="0"/>
    <n v="0"/>
    <n v="0"/>
    <n v="0"/>
    <n v="0"/>
    <n v="-1987.2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4617"/>
    <n v="981"/>
    <n v="3462.75"/>
    <n v="0"/>
    <n v="0"/>
    <n v="4443.75"/>
    <n v="0"/>
    <n v="0"/>
    <n v="2308.5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8"/>
    <x v="3"/>
  </r>
  <r>
    <x v="1"/>
    <x v="1"/>
    <x v="191"/>
    <x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9"/>
    <x v="3"/>
  </r>
  <r>
    <x v="1"/>
    <x v="1"/>
    <x v="192"/>
    <x v="192"/>
    <n v="0"/>
    <n v="271.37"/>
    <n v="0"/>
    <n v="0"/>
    <n v="203.53"/>
    <n v="203.53"/>
    <n v="407.06"/>
    <n v="0"/>
    <n v="0"/>
    <n v="0"/>
    <n v="0"/>
    <n v="0"/>
    <n v="-272.64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0"/>
    <x v="3"/>
  </r>
  <r>
    <x v="1"/>
    <x v="1"/>
    <x v="193"/>
    <x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1"/>
    <x v="3"/>
  </r>
  <r>
    <x v="1"/>
    <x v="1"/>
    <x v="194"/>
    <x v="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2"/>
    <x v="3"/>
  </r>
  <r>
    <x v="1"/>
    <x v="1"/>
    <x v="195"/>
    <x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3"/>
    <x v="3"/>
  </r>
  <r>
    <x v="1"/>
    <x v="1"/>
    <x v="196"/>
    <x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4"/>
    <x v="3"/>
  </r>
  <r>
    <x v="1"/>
    <x v="1"/>
    <x v="197"/>
    <x v="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5"/>
    <x v="3"/>
  </r>
  <r>
    <x v="1"/>
    <x v="1"/>
    <x v="198"/>
    <x v="198"/>
    <n v="0"/>
    <n v="0"/>
    <n v="0"/>
    <n v="0"/>
    <n v="0"/>
    <n v="0"/>
    <n v="0"/>
    <n v="0"/>
    <n v="0"/>
    <n v="0"/>
    <n v="0"/>
    <n v="0"/>
    <n v="0"/>
    <n v="565.96"/>
    <n v="0"/>
    <n v="0"/>
    <n v="0"/>
    <n v="71.599999999999994"/>
    <n v="0"/>
    <n v="0"/>
    <n v="2263.84"/>
    <n v="0"/>
    <n v="565.96"/>
    <n v="0"/>
    <n v="-3467.3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14"/>
    <x v="16"/>
    <x v="3"/>
  </r>
  <r>
    <x v="1"/>
    <x v="1"/>
    <x v="198"/>
    <x v="198"/>
    <n v="0"/>
    <n v="0"/>
    <n v="0"/>
    <n v="0"/>
    <n v="0"/>
    <n v="0"/>
    <n v="0"/>
    <n v="0"/>
    <n v="0"/>
    <n v="0"/>
    <n v="0"/>
    <n v="0"/>
    <n v="-526.88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6"/>
    <x v="3"/>
  </r>
  <r>
    <x v="1"/>
    <x v="1"/>
    <x v="199"/>
    <x v="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4"/>
    <x v="18"/>
    <x v="3"/>
  </r>
  <r>
    <x v="1"/>
    <x v="1"/>
    <x v="200"/>
    <x v="200"/>
    <n v="4236.3999999999996"/>
    <n v="0"/>
    <n v="1694.56"/>
    <n v="847.28"/>
    <n v="1694.56"/>
    <n v="2541.84"/>
    <n v="2541.84"/>
    <n v="2541.84"/>
    <n v="2541.84"/>
    <n v="3389.12"/>
    <n v="2541.83"/>
    <n v="3389.13"/>
    <n v="4236.3999999999996"/>
    <n v="1694.56"/>
    <n v="0"/>
    <n v="0"/>
    <n v="0"/>
    <n v="0"/>
    <n v="4236.3999999999996"/>
    <n v="2541.84"/>
    <n v="1694.56"/>
    <n v="0"/>
    <n v="3389.12"/>
    <n v="847.2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00.5"/>
    <n v="2400.75"/>
    <n v="1600.5"/>
    <n v="4001.25"/>
    <n v="0"/>
    <n v="3201"/>
    <n v="3201"/>
    <n v="4801.5"/>
    <n v="0"/>
    <n v="3201"/>
    <n v="1600.5"/>
    <n v="1600.5"/>
    <n v="4239.6000000000004"/>
    <n v="1695.84"/>
    <n v="1695.84"/>
    <n v="0"/>
    <n v="0"/>
    <n v="0"/>
    <n v="2543.7600000000002"/>
    <n v="2543.7600000000002"/>
    <n v="2543.7600000000002"/>
    <n v="3391.68"/>
    <n v="2543.7600000000002"/>
    <n v="3391.68"/>
    <x v="2"/>
    <x v="0"/>
    <s v="41100                   "/>
    <x v="15"/>
    <x v="3"/>
    <x v="3"/>
  </r>
  <r>
    <x v="1"/>
    <x v="1"/>
    <x v="201"/>
    <x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5"/>
    <x v="11"/>
    <x v="3"/>
  </r>
  <r>
    <x v="1"/>
    <x v="1"/>
    <x v="202"/>
    <x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5"/>
    <x v="13"/>
    <x v="3"/>
  </r>
  <r>
    <x v="1"/>
    <x v="1"/>
    <x v="203"/>
    <x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5"/>
    <x v="18"/>
    <x v="3"/>
  </r>
  <r>
    <x v="1"/>
    <x v="1"/>
    <x v="204"/>
    <x v="204"/>
    <n v="1703.33"/>
    <n v="1783.85"/>
    <n v="2303.4499999999998"/>
    <n v="2727.86"/>
    <n v="2117.85"/>
    <n v="2803.52"/>
    <n v="2355.71"/>
    <n v="890.27"/>
    <n v="738.45"/>
    <n v="156.66"/>
    <n v="526.33000000000004"/>
    <n v="934.96"/>
    <n v="1018.64"/>
    <n v="724.92"/>
    <n v="1112.6500000000001"/>
    <n v="1297.17"/>
    <n v="2363.1"/>
    <n v="1951.08"/>
    <n v="1132.76"/>
    <n v="1149.6300000000001"/>
    <n v="592.5"/>
    <n v="165.36"/>
    <n v="373.32"/>
    <n v="113.99"/>
    <n v="381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88.5"/>
    <n v="1873.04"/>
    <n v="2418.62"/>
    <n v="2864.25"/>
    <n v="2223.7399999999998"/>
    <n v="2943.7"/>
    <n v="2473.5"/>
    <n v="934.78"/>
    <n v="775.37"/>
    <n v="164.49"/>
    <n v="552.65"/>
    <n v="981.71"/>
    <n v="897.41"/>
    <n v="1091.45"/>
    <n v="1036.23"/>
    <n v="1309.46"/>
    <n v="1040.3900000000001"/>
    <n v="1198.1199999999999"/>
    <n v="832.14"/>
    <n v="732.45"/>
    <n v="1020.38"/>
    <n v="630.82000000000005"/>
    <n v="767.46"/>
    <n v="850.46"/>
    <x v="2"/>
    <x v="0"/>
    <s v="41100                   "/>
    <x v="16"/>
    <x v="3"/>
    <x v="9"/>
  </r>
  <r>
    <x v="1"/>
    <x v="1"/>
    <x v="205"/>
    <x v="205"/>
    <n v="0"/>
    <n v="12.28"/>
    <n v="0"/>
    <n v="57.48"/>
    <n v="43.53"/>
    <n v="7.81"/>
    <n v="15.62"/>
    <n v="31.24"/>
    <n v="15.62"/>
    <n v="0"/>
    <n v="7.81"/>
    <n v="0"/>
    <n v="117.16"/>
    <n v="39.06"/>
    <n v="23.44"/>
    <n v="7.81"/>
    <n v="0.01"/>
    <n v="46.87"/>
    <n v="70.3"/>
    <n v="54.67"/>
    <n v="7.81"/>
    <n v="7.81"/>
    <n v="12.28"/>
    <n v="0"/>
    <n v="20.0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2.89"/>
    <n v="0"/>
    <n v="60.35"/>
    <n v="45.71"/>
    <n v="8.1999999999999993"/>
    <n v="16.399999999999999"/>
    <n v="32.799999999999997"/>
    <n v="16.399999999999999"/>
    <n v="0"/>
    <n v="8.1999999999999993"/>
    <n v="0"/>
    <n v="0"/>
    <n v="0"/>
    <n v="0"/>
    <n v="0"/>
    <n v="0"/>
    <n v="0"/>
    <n v="0"/>
    <n v="0"/>
    <n v="0"/>
    <n v="0"/>
    <n v="0"/>
    <n v="0"/>
    <x v="2"/>
    <x v="0"/>
    <s v="41100                   "/>
    <x v="16"/>
    <x v="4"/>
    <x v="9"/>
  </r>
  <r>
    <x v="1"/>
    <x v="1"/>
    <x v="206"/>
    <x v="206"/>
    <n v="0"/>
    <n v="54.91"/>
    <n v="93.3"/>
    <n v="0.01"/>
    <n v="70.61"/>
    <n v="54.91"/>
    <n v="46.23"/>
    <n v="46.23"/>
    <n v="54.91"/>
    <n v="47.07"/>
    <n v="75.099999999999994"/>
    <n v="117.68"/>
    <n v="188.27"/>
    <n v="73.42"/>
    <n v="109.82"/>
    <n v="47.07"/>
    <n v="141.21"/>
    <n v="125.52"/>
    <n v="168.4"/>
    <n v="70.599999999999994"/>
    <n v="7.84"/>
    <n v="39.22"/>
    <n v="62.74"/>
    <n v="0"/>
    <n v="70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7.66"/>
    <n v="97.97"/>
    <n v="0.01"/>
    <n v="74.14"/>
    <n v="57.66"/>
    <n v="48.54"/>
    <n v="48.54"/>
    <n v="57.66"/>
    <n v="49.42"/>
    <n v="78.86"/>
    <n v="123.56"/>
    <n v="166.36"/>
    <n v="67.650000000000006"/>
    <n v="98.72"/>
    <n v="56.29"/>
    <n v="125.61"/>
    <n v="113.42"/>
    <n v="42.43"/>
    <n v="55.45"/>
    <n v="48.94"/>
    <n v="48.94"/>
    <n v="69.319999999999993"/>
    <n v="105.23"/>
    <x v="2"/>
    <x v="0"/>
    <s v="41100                   "/>
    <x v="16"/>
    <x v="0"/>
    <x v="9"/>
  </r>
  <r>
    <x v="1"/>
    <x v="1"/>
    <x v="207"/>
    <x v="207"/>
    <n v="0"/>
    <n v="0"/>
    <n v="0"/>
    <n v="258.32"/>
    <n v="0"/>
    <n v="0"/>
    <n v="0"/>
    <n v="0"/>
    <n v="0"/>
    <n v="0"/>
    <n v="0"/>
    <n v="0"/>
    <n v="0"/>
    <n v="0"/>
    <n v="124.53"/>
    <n v="0"/>
    <n v="31.45"/>
    <n v="303.47000000000003"/>
    <n v="0"/>
    <n v="88.76"/>
    <n v="88.76"/>
    <n v="88.76"/>
    <n v="37.200000000000003"/>
    <n v="88.7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71.24"/>
    <n v="0"/>
    <n v="0"/>
    <n v="0"/>
    <n v="0"/>
    <n v="0"/>
    <n v="0"/>
    <n v="0"/>
    <n v="0"/>
    <n v="223.17"/>
    <n v="223.17"/>
    <n v="223.17"/>
    <n v="223.17"/>
    <n v="223.17"/>
    <n v="223.17"/>
    <n v="223.17"/>
    <n v="223.17"/>
    <n v="223.17"/>
    <n v="223.17"/>
    <n v="223.17"/>
    <n v="223.17"/>
    <x v="2"/>
    <x v="0"/>
    <s v="41100                   "/>
    <x v="16"/>
    <x v="5"/>
    <x v="9"/>
  </r>
  <r>
    <x v="1"/>
    <x v="1"/>
    <x v="208"/>
    <x v="208"/>
    <n v="0"/>
    <n v="0"/>
    <n v="0"/>
    <n v="33.03"/>
    <n v="33.03"/>
    <n v="33.03"/>
    <n v="33.03"/>
    <n v="0"/>
    <n v="0"/>
    <n v="0"/>
    <n v="0"/>
    <n v="0"/>
    <n v="0"/>
    <n v="0"/>
    <n v="33.03"/>
    <n v="66.08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34.68"/>
    <n v="34.68"/>
    <n v="34.68"/>
    <n v="34.68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6"/>
    <x v="6"/>
    <x v="9"/>
  </r>
  <r>
    <x v="1"/>
    <x v="1"/>
    <x v="209"/>
    <x v="209"/>
    <n v="962.35"/>
    <n v="753.37"/>
    <n v="1003.6"/>
    <n v="1567.78"/>
    <n v="1859.26"/>
    <n v="1290.32"/>
    <n v="1478.07"/>
    <n v="434.15"/>
    <n v="846.99"/>
    <n v="384.28"/>
    <n v="579.36"/>
    <n v="878.33"/>
    <n v="914.78"/>
    <n v="1087.6300000000001"/>
    <n v="1676.08"/>
    <n v="1258.5899999999999"/>
    <n v="2127.11"/>
    <n v="2787.69"/>
    <n v="1072.55"/>
    <n v="336.09"/>
    <n v="359.97"/>
    <n v="344.09"/>
    <n v="596.25"/>
    <n v="557.6"/>
    <n v="952.7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10.47"/>
    <n v="791.04"/>
    <n v="1053.78"/>
    <n v="1646.17"/>
    <n v="1952.22"/>
    <n v="1354.84"/>
    <n v="1551.97"/>
    <n v="455.86"/>
    <n v="889.34"/>
    <n v="403.49"/>
    <n v="608.33000000000004"/>
    <n v="922.25"/>
    <n v="988.52"/>
    <n v="909.45"/>
    <n v="1355.4"/>
    <n v="1033.8"/>
    <n v="1603.34"/>
    <n v="1866.21"/>
    <n v="1056.79"/>
    <n v="796.78"/>
    <n v="942.21"/>
    <n v="612.04"/>
    <n v="890.07"/>
    <n v="833.37"/>
    <x v="2"/>
    <x v="0"/>
    <s v="41100                   "/>
    <x v="16"/>
    <x v="1"/>
    <x v="9"/>
  </r>
  <r>
    <x v="1"/>
    <x v="1"/>
    <x v="210"/>
    <x v="210"/>
    <n v="0"/>
    <n v="0"/>
    <n v="0"/>
    <n v="0"/>
    <n v="0"/>
    <n v="0"/>
    <n v="0"/>
    <n v="0"/>
    <n v="0"/>
    <n v="0"/>
    <n v="0"/>
    <n v="297.33999999999997"/>
    <n v="1090.21"/>
    <n v="1882.96"/>
    <n v="1090.24"/>
    <n v="2180.44"/>
    <n v="3940.12"/>
    <n v="3105.37"/>
    <n v="3840.92"/>
    <n v="1519.68"/>
    <n v="875.42"/>
    <n v="991.03"/>
    <n v="2321.16"/>
    <n v="711.23"/>
    <n v="879.7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1.08999999999997"/>
    <n v="1029.18"/>
    <n v="1324.53"/>
    <n v="805.47"/>
    <n v="1448.22"/>
    <n v="387.18"/>
    <n v="748.88"/>
    <n v="147.94999999999999"/>
    <n v="0"/>
    <n v="0"/>
    <n v="0"/>
    <n v="312.20999999999998"/>
    <n v="119.55"/>
    <n v="119.55"/>
    <n v="119.55"/>
    <n v="119.55"/>
    <n v="173.28"/>
    <n v="173.28"/>
    <n v="173.28"/>
    <n v="119.55"/>
    <n v="119.55"/>
    <n v="119.55"/>
    <n v="173.28"/>
    <n v="119.55"/>
    <x v="2"/>
    <x v="0"/>
    <s v="41100                   "/>
    <x v="16"/>
    <x v="7"/>
    <x v="9"/>
  </r>
  <r>
    <x v="1"/>
    <x v="1"/>
    <x v="211"/>
    <x v="211"/>
    <n v="0"/>
    <n v="0"/>
    <n v="0"/>
    <n v="0"/>
    <n v="0"/>
    <n v="0"/>
    <n v="0"/>
    <n v="0"/>
    <n v="0"/>
    <n v="0"/>
    <n v="0"/>
    <n v="2409.79"/>
    <n v="1887.51"/>
    <n v="1718.69"/>
    <n v="2136.7800000000002"/>
    <n v="2789.88"/>
    <n v="5110.03"/>
    <n v="4376.3900000000003"/>
    <n v="14065.31"/>
    <n v="2527.7199999999998"/>
    <n v="2713.24"/>
    <n v="1798.43"/>
    <n v="5654.15"/>
    <n v="4842.46"/>
    <n v="4198.109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73.44"/>
    <n v="4247.1899999999996"/>
    <n v="3708.78"/>
    <n v="3479.86"/>
    <n v="4255.2299999999996"/>
    <n v="2905.23"/>
    <n v="3946.6"/>
    <n v="1042.46"/>
    <n v="1786.05"/>
    <n v="473.55"/>
    <n v="918.75"/>
    <n v="2530.2800000000002"/>
    <n v="2312.5700000000002"/>
    <n v="2373.8200000000002"/>
    <n v="2533.4699999999998"/>
    <n v="2792.37"/>
    <n v="2842.75"/>
    <n v="2694.19"/>
    <n v="2720.3"/>
    <n v="2156.52"/>
    <n v="2143.0100000000002"/>
    <n v="2081.6799999999998"/>
    <n v="2300.5500000000002"/>
    <n v="2534.54"/>
    <x v="2"/>
    <x v="0"/>
    <s v="41100                   "/>
    <x v="16"/>
    <x v="8"/>
    <x v="9"/>
  </r>
  <r>
    <x v="1"/>
    <x v="1"/>
    <x v="212"/>
    <x v="212"/>
    <n v="1744.44"/>
    <n v="1642.55"/>
    <n v="1338.64"/>
    <n v="1430.99"/>
    <n v="1333.28"/>
    <n v="-0.01"/>
    <n v="446.97"/>
    <n v="310.10000000000002"/>
    <n v="377.94"/>
    <n v="191.71"/>
    <n v="457.12"/>
    <n v="508.82"/>
    <n v="750.56"/>
    <n v="858.49"/>
    <n v="989.74"/>
    <n v="1039.77"/>
    <n v="1197.1099999999999"/>
    <n v="997.98"/>
    <n v="1066.57"/>
    <n v="244.2"/>
    <n v="146.47"/>
    <n v="281.58999999999997"/>
    <n v="353.61"/>
    <n v="275.29000000000002"/>
    <n v="610.7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31.66"/>
    <n v="1724.68"/>
    <n v="1405.57"/>
    <n v="1502.54"/>
    <n v="1399.94"/>
    <n v="-0.01"/>
    <n v="469.32"/>
    <n v="325.61"/>
    <n v="396.84"/>
    <n v="201.3"/>
    <n v="479.98"/>
    <n v="534.26"/>
    <n v="586.39"/>
    <n v="586.39"/>
    <n v="586.39"/>
    <n v="586.39"/>
    <n v="586.39"/>
    <n v="586.39"/>
    <n v="579.45000000000005"/>
    <n v="603.30999999999995"/>
    <n v="639.1"/>
    <n v="579.45000000000005"/>
    <n v="555.59"/>
    <n v="555.59"/>
    <x v="2"/>
    <x v="0"/>
    <s v="41100                   "/>
    <x v="16"/>
    <x v="9"/>
    <x v="9"/>
  </r>
  <r>
    <x v="1"/>
    <x v="1"/>
    <x v="213"/>
    <x v="213"/>
    <n v="612.76"/>
    <n v="383.72"/>
    <n v="506.95"/>
    <n v="824.78"/>
    <n v="1123.77"/>
    <n v="429.67"/>
    <n v="771.19"/>
    <n v="317.43"/>
    <n v="556.35"/>
    <n v="104.54"/>
    <n v="249.69"/>
    <n v="138.6"/>
    <n v="605.94000000000005"/>
    <n v="585.30999999999995"/>
    <n v="421.53"/>
    <n v="72.16"/>
    <n v="168.39"/>
    <n v="200.46"/>
    <n v="176.4"/>
    <n v="120.28"/>
    <n v="141.53"/>
    <n v="23.01"/>
    <n v="83.7"/>
    <n v="56.1"/>
    <n v="610.32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43.4"/>
    <n v="402.91"/>
    <n v="532.29999999999995"/>
    <n v="866.02"/>
    <n v="1179.96"/>
    <n v="451.15"/>
    <n v="809.75"/>
    <n v="333.3"/>
    <n v="584.16999999999996"/>
    <n v="109.77"/>
    <n v="262.17"/>
    <n v="145.53"/>
    <n v="0"/>
    <n v="0"/>
    <n v="0"/>
    <n v="0"/>
    <n v="0"/>
    <n v="0"/>
    <n v="0"/>
    <n v="0"/>
    <n v="0"/>
    <n v="0"/>
    <n v="0"/>
    <n v="0"/>
    <x v="2"/>
    <x v="0"/>
    <s v="41100                   "/>
    <x v="16"/>
    <x v="10"/>
    <x v="9"/>
  </r>
  <r>
    <x v="1"/>
    <x v="1"/>
    <x v="214"/>
    <x v="214"/>
    <n v="0"/>
    <n v="0"/>
    <n v="0"/>
    <n v="0"/>
    <n v="377.82"/>
    <n v="185.84"/>
    <n v="90.83"/>
    <n v="341.17"/>
    <n v="129.85"/>
    <n v="33.44"/>
    <n v="160.21"/>
    <n v="158.54"/>
    <n v="407.69"/>
    <n v="617.44000000000005"/>
    <n v="213.1"/>
    <n v="880.6"/>
    <n v="457.05"/>
    <n v="523.94000000000005"/>
    <n v="412.46"/>
    <n v="217.63"/>
    <n v="100.33"/>
    <n v="35.11"/>
    <n v="159.38"/>
    <n v="161.88"/>
    <n v="698.8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96.71"/>
    <n v="195.13"/>
    <n v="95.37"/>
    <n v="358.23"/>
    <n v="136.34"/>
    <n v="35.11"/>
    <n v="168.22"/>
    <n v="166.47"/>
    <n v="266.52"/>
    <n v="266.52"/>
    <n v="322.05"/>
    <n v="322.05"/>
    <n v="299.83999999999997"/>
    <n v="299.83999999999997"/>
    <n v="466.41"/>
    <n v="621.88"/>
    <n v="255.42"/>
    <n v="266.52"/>
    <n v="244.31"/>
    <n v="244.31"/>
    <x v="2"/>
    <x v="0"/>
    <s v="41100                   "/>
    <x v="16"/>
    <x v="11"/>
    <x v="9"/>
  </r>
  <r>
    <x v="1"/>
    <x v="1"/>
    <x v="215"/>
    <x v="215"/>
    <n v="13877"/>
    <n v="60.15"/>
    <n v="28157.52"/>
    <n v="26490.89"/>
    <n v="37476.25"/>
    <n v="27716.12"/>
    <n v="27515.200000000001"/>
    <n v="13070.89"/>
    <n v="9699.44"/>
    <n v="6807.72"/>
    <n v="8012.88"/>
    <n v="9197.98"/>
    <n v="10713.33"/>
    <n v="15168.66"/>
    <n v="14753.45"/>
    <n v="18101.240000000002"/>
    <n v="26000.639999999999"/>
    <n v="15016.64"/>
    <n v="16140.74"/>
    <n v="8145.3"/>
    <n v="7954.63"/>
    <n v="6858.01"/>
    <n v="10385.17"/>
    <n v="7695.75"/>
    <n v="12943.0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545.7"/>
    <n v="0.28000000000000003"/>
    <n v="29515.08"/>
    <n v="27715.63"/>
    <n v="39077.879999999997"/>
    <n v="28974.9"/>
    <n v="28682.28"/>
    <n v="13706.29"/>
    <n v="10184.41"/>
    <n v="7148.11"/>
    <n v="8413.52"/>
    <n v="9657.8799999999992"/>
    <n v="7529.75"/>
    <n v="7558.61"/>
    <n v="7574.7"/>
    <n v="7661.9"/>
    <n v="7682.15"/>
    <n v="7660.26"/>
    <n v="7672.19"/>
    <n v="7738.08"/>
    <n v="7957.74"/>
    <n v="9268.7900000000009"/>
    <n v="7519.39"/>
    <n v="7587.03"/>
    <x v="2"/>
    <x v="0"/>
    <s v="41100                   "/>
    <x v="16"/>
    <x v="12"/>
    <x v="9"/>
  </r>
  <r>
    <x v="1"/>
    <x v="1"/>
    <x v="216"/>
    <x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6"/>
    <x v="13"/>
    <x v="9"/>
  </r>
  <r>
    <x v="1"/>
    <x v="1"/>
    <x v="217"/>
    <x v="217"/>
    <n v="0"/>
    <n v="0"/>
    <n v="0"/>
    <n v="10.31"/>
    <n v="144.33000000000001"/>
    <n v="10.31"/>
    <n v="51.54"/>
    <n v="0"/>
    <n v="0"/>
    <n v="20.61"/>
    <n v="0"/>
    <n v="0"/>
    <n v="0"/>
    <n v="10.31"/>
    <n v="144.34"/>
    <n v="360.85"/>
    <n v="670.1"/>
    <n v="275.82"/>
    <n v="237.12"/>
    <n v="195.88"/>
    <n v="0"/>
    <n v="53.66"/>
    <n v="56.86"/>
    <n v="41.25"/>
    <n v="61.8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0.83"/>
    <n v="151.55000000000001"/>
    <n v="10.83"/>
    <n v="54.12"/>
    <n v="0"/>
    <n v="0"/>
    <n v="21.64"/>
    <n v="0"/>
    <n v="0"/>
    <n v="123.23"/>
    <n v="133.5"/>
    <n v="123.23"/>
    <n v="133.5"/>
    <n v="123.23"/>
    <n v="123.23"/>
    <n v="123.23"/>
    <n v="123.23"/>
    <n v="174.58"/>
    <n v="154.04"/>
    <n v="123.23"/>
    <n v="143.77000000000001"/>
    <x v="2"/>
    <x v="0"/>
    <s v="41100                   "/>
    <x v="16"/>
    <x v="14"/>
    <x v="9"/>
  </r>
  <r>
    <x v="1"/>
    <x v="1"/>
    <x v="218"/>
    <x v="218"/>
    <n v="0"/>
    <n v="5.94"/>
    <n v="20.12"/>
    <n v="25.3"/>
    <n v="20.12"/>
    <n v="12.64"/>
    <n v="13.41"/>
    <n v="33.520000000000003"/>
    <n v="13.41"/>
    <n v="0"/>
    <n v="14.94"/>
    <n v="12.64"/>
    <n v="5.94"/>
    <n v="13.41"/>
    <n v="20.12"/>
    <n v="41.43"/>
    <n v="124.29"/>
    <n v="5.18"/>
    <n v="41.43"/>
    <n v="25.9"/>
    <n v="36.25"/>
    <n v="0"/>
    <n v="5.18"/>
    <n v="10.36"/>
    <n v="88.0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6.24"/>
    <n v="21.13"/>
    <n v="26.57"/>
    <n v="21.13"/>
    <n v="13.27"/>
    <n v="14.08"/>
    <n v="35.200000000000003"/>
    <n v="14.08"/>
    <n v="0"/>
    <n v="15.69"/>
    <n v="13.27"/>
    <n v="11.38"/>
    <n v="11.38"/>
    <n v="11.38"/>
    <n v="17.059999999999999"/>
    <n v="11.38"/>
    <n v="11.38"/>
    <n v="11.38"/>
    <n v="11.38"/>
    <n v="17.059999999999999"/>
    <n v="17.059999999999999"/>
    <n v="17.059999999999999"/>
    <n v="17.059999999999999"/>
    <x v="2"/>
    <x v="0"/>
    <s v="41100                   "/>
    <x v="16"/>
    <x v="15"/>
    <x v="9"/>
  </r>
  <r>
    <x v="1"/>
    <x v="1"/>
    <x v="219"/>
    <x v="219"/>
    <n v="33.03"/>
    <n v="56.87"/>
    <n v="66.069999999999993"/>
    <n v="99.11"/>
    <n v="0.01"/>
    <n v="132.15"/>
    <n v="0"/>
    <n v="0"/>
    <n v="0"/>
    <n v="329.7"/>
    <n v="41.21"/>
    <n v="0"/>
    <n v="172.88"/>
    <n v="197.58"/>
    <n v="321.05"/>
    <n v="148.18"/>
    <n v="238.79"/>
    <n v="65.91"/>
    <n v="24.71"/>
    <n v="49.39"/>
    <n v="65.739999999999995"/>
    <n v="82.43"/>
    <n v="197.19"/>
    <n v="98.6"/>
    <n v="172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4.68"/>
    <n v="59.71"/>
    <n v="69.37"/>
    <n v="104.07"/>
    <n v="0.01"/>
    <n v="138.76"/>
    <n v="0"/>
    <n v="0"/>
    <n v="0"/>
    <n v="346.19"/>
    <n v="43.27"/>
    <n v="0"/>
    <n v="98.42"/>
    <n v="98.42"/>
    <n v="98.42"/>
    <n v="98.42"/>
    <n v="98.42"/>
    <n v="98.42"/>
    <n v="98.42"/>
    <n v="98.42"/>
    <n v="98.42"/>
    <n v="98.42"/>
    <n v="98.42"/>
    <n v="98.42"/>
    <x v="2"/>
    <x v="0"/>
    <s v="41100                   "/>
    <x v="16"/>
    <x v="16"/>
    <x v="9"/>
  </r>
  <r>
    <x v="1"/>
    <x v="1"/>
    <x v="220"/>
    <x v="220"/>
    <n v="106.25"/>
    <n v="139.06"/>
    <n v="274.06"/>
    <n v="327.20999999999998"/>
    <n v="355.09"/>
    <n v="93.52"/>
    <n v="107.91"/>
    <n v="82.15"/>
    <n v="45.53"/>
    <n v="15.18"/>
    <n v="77.27"/>
    <n v="170.75"/>
    <n v="168.05"/>
    <n v="362.68"/>
    <n v="269.14"/>
    <n v="403.1"/>
    <n v="154.24"/>
    <n v="161.72999999999999"/>
    <n v="108.7"/>
    <n v="138.83000000000001"/>
    <n v="106"/>
    <n v="30.32"/>
    <n v="49.31"/>
    <n v="45.53"/>
    <n v="377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78"/>
    <n v="111.78"/>
    <n v="111.78"/>
    <n v="111.78"/>
    <n v="105.57"/>
    <n v="105.57"/>
    <n v="105.57"/>
    <n v="105.57"/>
    <n v="111.78"/>
    <n v="111.78"/>
    <n v="111.78"/>
    <n v="111.78"/>
    <x v="2"/>
    <x v="0"/>
    <s v="41100                   "/>
    <x v="16"/>
    <x v="17"/>
    <x v="9"/>
  </r>
  <r>
    <x v="1"/>
    <x v="1"/>
    <x v="221"/>
    <x v="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6"/>
    <x v="18"/>
    <x v="9"/>
  </r>
  <r>
    <x v="1"/>
    <x v="1"/>
    <x v="222"/>
    <x v="222"/>
    <n v="132322.99"/>
    <n v="190456.87"/>
    <n v="146759.89000000001"/>
    <n v="112002.57"/>
    <n v="206695.39"/>
    <n v="197807.76"/>
    <n v="105805.3"/>
    <n v="121666.84"/>
    <n v="161501.22"/>
    <n v="105192.9"/>
    <n v="123201.94"/>
    <n v="47729"/>
    <n v="175763.71"/>
    <n v="102377.45"/>
    <n v="134438.51999999999"/>
    <n v="161982.85"/>
    <n v="171540.26"/>
    <n v="138224.13"/>
    <n v="151721.38"/>
    <n v="201478.99"/>
    <n v="108529.4"/>
    <n v="174271.24"/>
    <n v="95608.65"/>
    <n v="62226.27"/>
    <n v="194207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4503.04999999999"/>
    <n v="158580.23000000001"/>
    <n v="128181.13"/>
    <n v="137564.85"/>
    <n v="131523.85"/>
    <n v="167389.95000000001"/>
    <n v="209110.3"/>
    <n v="203300.05"/>
    <n v="201653.5"/>
    <n v="114757.28"/>
    <n v="112265.88"/>
    <n v="148370.95000000001"/>
    <n v="189887.64"/>
    <n v="118067.49"/>
    <n v="132429.6"/>
    <n v="110301.78"/>
    <n v="195401.39"/>
    <n v="141786.48000000001"/>
    <n v="144716.94"/>
    <n v="113201.13"/>
    <n v="120928.77"/>
    <n v="89191.1"/>
    <n v="83297.22"/>
    <n v="82658"/>
    <x v="2"/>
    <x v="0"/>
    <s v="41100                   "/>
    <x v="17"/>
    <x v="3"/>
    <x v="11"/>
  </r>
  <r>
    <x v="1"/>
    <x v="1"/>
    <x v="223"/>
    <x v="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8.6600000000000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4"/>
    <x v="11"/>
  </r>
  <r>
    <x v="1"/>
    <x v="1"/>
    <x v="224"/>
    <x v="224"/>
    <n v="27831.599999999999"/>
    <n v="12369.6"/>
    <n v="9277.2000000000007"/>
    <n v="7731"/>
    <n v="7731"/>
    <n v="34016.400000000001"/>
    <n v="24739.200000000001"/>
    <n v="13915.8"/>
    <n v="11596.5"/>
    <n v="20100.599999999999"/>
    <n v="30150.9"/>
    <n v="27058.5"/>
    <n v="30924"/>
    <n v="17781.3"/>
    <n v="13142.7"/>
    <n v="15462"/>
    <n v="1546.2"/>
    <n v="43293.599999999999"/>
    <n v="16235.1"/>
    <n v="27831.599999999999"/>
    <n v="4638.6000000000004"/>
    <n v="9277.2000000000007"/>
    <n v="31697.1"/>
    <n v="18554.400000000001"/>
    <n v="12369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6386"/>
    <n v="21131.4"/>
    <n v="12369.6"/>
    <n v="30924"/>
    <n v="12369.6"/>
    <n v="15462"/>
    <n v="30924"/>
    <n v="15462"/>
    <n v="15462"/>
    <n v="10823.4"/>
    <n v="12369.6"/>
    <n v="18554.400000000001"/>
    <n v="27645.3"/>
    <n v="24573.599999999999"/>
    <n v="24573.599999999999"/>
    <n v="9215.1"/>
    <n v="0"/>
    <n v="15358.5"/>
    <n v="15358.5"/>
    <n v="15358.5"/>
    <n v="15358.5"/>
    <n v="15358.5"/>
    <n v="9215.1"/>
    <n v="0"/>
    <x v="2"/>
    <x v="0"/>
    <s v="41100                   "/>
    <x v="17"/>
    <x v="0"/>
    <x v="11"/>
  </r>
  <r>
    <x v="1"/>
    <x v="1"/>
    <x v="225"/>
    <x v="225"/>
    <n v="0"/>
    <n v="0"/>
    <n v="0"/>
    <n v="0"/>
    <n v="0"/>
    <n v="0"/>
    <n v="0"/>
    <n v="0"/>
    <n v="24661.3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5"/>
    <x v="11"/>
  </r>
  <r>
    <x v="1"/>
    <x v="1"/>
    <x v="226"/>
    <x v="226"/>
    <n v="0"/>
    <n v="5317.36"/>
    <n v="0"/>
    <n v="0"/>
    <n v="0"/>
    <n v="1213.48"/>
    <n v="0"/>
    <n v="0"/>
    <n v="0"/>
    <n v="0"/>
    <n v="606.74"/>
    <n v="606.74"/>
    <n v="606.74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6"/>
    <x v="11"/>
  </r>
  <r>
    <x v="1"/>
    <x v="1"/>
    <x v="227"/>
    <x v="227"/>
    <n v="52621.33"/>
    <n v="81486.8"/>
    <n v="45104.27"/>
    <n v="40712.69"/>
    <n v="97116.62"/>
    <n v="35831"/>
    <n v="56233.03"/>
    <n v="22875.88"/>
    <n v="43234.47"/>
    <n v="63032.5"/>
    <n v="69368.34"/>
    <n v="15557.16"/>
    <n v="72387.16"/>
    <n v="34174.5"/>
    <n v="46737.23"/>
    <n v="33316.879999999997"/>
    <n v="67019.08"/>
    <n v="31650.83"/>
    <n v="54308.88"/>
    <n v="66132.070000000007"/>
    <n v="16221.08"/>
    <n v="54902.07"/>
    <n v="18865.14"/>
    <n v="20641.64"/>
    <n v="75293.3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548.05"/>
    <n v="62532.65"/>
    <n v="50219.5"/>
    <n v="42696.4"/>
    <n v="62692.5"/>
    <n v="66872"/>
    <n v="80246.399999999994"/>
    <n v="73559.199999999997"/>
    <n v="65200.2"/>
    <n v="38869.35"/>
    <n v="25077"/>
    <n v="30092.400000000001"/>
    <n v="36285.980000000003"/>
    <n v="37629.9"/>
    <n v="33598.129999999997"/>
    <n v="26878.5"/>
    <n v="24190.65"/>
    <n v="48381.3"/>
    <n v="69884.100000000006"/>
    <n v="69884.100000000006"/>
    <n v="24190.65"/>
    <n v="18814.95"/>
    <n v="18814.95"/>
    <n v="26878.5"/>
    <x v="2"/>
    <x v="0"/>
    <s v="41100                   "/>
    <x v="17"/>
    <x v="1"/>
    <x v="11"/>
  </r>
  <r>
    <x v="1"/>
    <x v="1"/>
    <x v="228"/>
    <x v="228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-0.0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17"/>
    <x v="7"/>
    <x v="11"/>
  </r>
  <r>
    <x v="1"/>
    <x v="1"/>
    <x v="228"/>
    <x v="228"/>
    <n v="12078.58"/>
    <n v="53351.17"/>
    <n v="23406.86"/>
    <n v="30294.31"/>
    <n v="38288.26"/>
    <n v="22514.14"/>
    <n v="25811.34"/>
    <n v="28622.99"/>
    <n v="46784.02"/>
    <n v="2731.73"/>
    <n v="22145.4"/>
    <n v="23621.759999999998"/>
    <n v="17716.32"/>
    <n v="31003.56"/>
    <n v="26574.48"/>
    <n v="57578.04"/>
    <n v="8858.16"/>
    <n v="23621.759999999998"/>
    <n v="22145.4"/>
    <n v="38385.82"/>
    <n v="22145.4"/>
    <n v="14763.6"/>
    <n v="20669.04"/>
    <n v="11810.88"/>
    <n v="26574.4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505"/>
    <n v="24606"/>
    <n v="36909"/>
    <n v="32808"/>
    <n v="36909"/>
    <n v="24606"/>
    <n v="28707"/>
    <n v="28707"/>
    <n v="22555.5"/>
    <n v="14353.5"/>
    <n v="28707"/>
    <n v="20505"/>
    <n v="20230"/>
    <n v="56805.84"/>
    <n v="30587.759999999998"/>
    <n v="56805.84"/>
    <n v="30587.759999999998"/>
    <n v="29131.200000000001"/>
    <n v="30587.759999999998"/>
    <n v="32287.08"/>
    <n v="30587.759999999998"/>
    <n v="30587.759999999998"/>
    <n v="30587.759999999998"/>
    <n v="21848.400000000001"/>
    <x v="2"/>
    <x v="0"/>
    <s v="41100                   "/>
    <x v="17"/>
    <x v="7"/>
    <x v="11"/>
  </r>
  <r>
    <x v="1"/>
    <x v="1"/>
    <x v="229"/>
    <x v="229"/>
    <n v="132670.93"/>
    <n v="142974.82999999999"/>
    <n v="159511.82"/>
    <n v="81529.58"/>
    <n v="140750.38"/>
    <n v="159612.01999999999"/>
    <n v="74875.08"/>
    <n v="152102.18"/>
    <n v="64418.84"/>
    <n v="58355.09"/>
    <n v="94224.1"/>
    <n v="78069.460000000006"/>
    <n v="169850.98"/>
    <n v="98736.57"/>
    <n v="80585.5"/>
    <n v="119780.67"/>
    <n v="128436.48"/>
    <n v="120816.24"/>
    <n v="94645.59"/>
    <n v="156267.28"/>
    <n v="124126.43"/>
    <n v="111296.5"/>
    <n v="84785.75"/>
    <n v="116471.63"/>
    <n v="193079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1508.25"/>
    <n v="208415.75"/>
    <n v="138652.54999999999"/>
    <n v="128839.25"/>
    <n v="137200.45000000001"/>
    <n v="196101.75"/>
    <n v="172282.3"/>
    <n v="195258.45"/>
    <n v="124333"/>
    <n v="63800.28"/>
    <n v="108213.65"/>
    <n v="95541.15"/>
    <n v="154991.09"/>
    <n v="199060.83"/>
    <n v="157352.46"/>
    <n v="99553.41"/>
    <n v="131408.03"/>
    <n v="156973.99"/>
    <n v="110280.21"/>
    <n v="145763.06"/>
    <n v="149289.09"/>
    <n v="72295.02"/>
    <n v="63686.54"/>
    <n v="55193.38"/>
    <x v="2"/>
    <x v="0"/>
    <s v="41100                   "/>
    <x v="17"/>
    <x v="8"/>
    <x v="11"/>
  </r>
  <r>
    <x v="1"/>
    <x v="1"/>
    <x v="230"/>
    <x v="230"/>
    <n v="34631.85"/>
    <n v="28908.22"/>
    <n v="39971.68"/>
    <n v="48284.18"/>
    <n v="49085.45"/>
    <n v="31337.9"/>
    <n v="1055.18"/>
    <n v="9496.58"/>
    <n v="10551.75"/>
    <n v="10551.75"/>
    <n v="116.4"/>
    <n v="4220.7"/>
    <n v="45425.279999999999"/>
    <n v="14772.45"/>
    <n v="27012.48"/>
    <n v="34622.93"/>
    <n v="8441.4"/>
    <n v="17234.53"/>
    <n v="5275.88"/>
    <n v="17937.98"/>
    <n v="6331.05"/>
    <n v="40413.17"/>
    <n v="18346.84"/>
    <n v="22731.82"/>
    <n v="26788.2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2767"/>
    <n v="19873.5"/>
    <n v="20742"/>
    <n v="19488"/>
    <n v="16980"/>
    <n v="19102.5"/>
    <n v="21225"/>
    <n v="19102.5"/>
    <n v="12735"/>
    <n v="8490"/>
    <n v="10612.5"/>
    <n v="14857.5"/>
    <n v="50531.1"/>
    <n v="37232.699999999997"/>
    <n v="47088"/>
    <n v="47088"/>
    <n v="40829.1"/>
    <n v="40125.15"/>
    <n v="23934.3"/>
    <n v="15838.88"/>
    <n v="14782.95"/>
    <n v="68635.13"/>
    <n v="8447.4"/>
    <n v="8447.4"/>
    <x v="2"/>
    <x v="0"/>
    <s v="41100                   "/>
    <x v="17"/>
    <x v="9"/>
    <x v="11"/>
  </r>
  <r>
    <x v="1"/>
    <x v="1"/>
    <x v="231"/>
    <x v="231"/>
    <n v="20259.37"/>
    <n v="1125.52"/>
    <n v="2251.04"/>
    <n v="4502.08"/>
    <n v="36016.629999999997"/>
    <n v="32056.45"/>
    <n v="12943.48"/>
    <n v="3376.57"/>
    <n v="50929.72"/>
    <n v="1969.66"/>
    <n v="333.88"/>
    <n v="1125.52"/>
    <n v="0"/>
    <n v="0"/>
    <n v="0"/>
    <n v="-3438.22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0"/>
    <x v="11"/>
  </r>
  <r>
    <x v="1"/>
    <x v="1"/>
    <x v="232"/>
    <x v="232"/>
    <n v="0"/>
    <n v="0"/>
    <n v="0"/>
    <n v="0"/>
    <n v="28796.400000000001"/>
    <n v="19197.599999999999"/>
    <n v="86389.2"/>
    <n v="47993.99"/>
    <n v="0"/>
    <n v="0"/>
    <n v="3244.22"/>
    <n v="1247.78"/>
    <n v="2495.59"/>
    <n v="44153.08"/>
    <n v="9598.7999999999993"/>
    <n v="7307.1"/>
    <n v="9215.4"/>
    <n v="33404.1"/>
    <n v="14206.5"/>
    <n v="2495.5500000000002"/>
    <n v="0"/>
    <n v="0"/>
    <n v="1247.78"/>
    <n v="4991.100000000000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294.8"/>
    <n v="24118.5"/>
    <n v="28942.2"/>
    <n v="38589.599999999999"/>
    <n v="24118.5"/>
    <n v="38589.599999999999"/>
    <n v="62708.1"/>
    <n v="55568.4"/>
    <n v="33765.9"/>
    <n v="9647.4"/>
    <n v="9647.4"/>
    <n v="14471.1"/>
    <n v="4994.1000000000004"/>
    <n v="3745.58"/>
    <n v="12485.25"/>
    <n v="4994.1000000000004"/>
    <n v="4994.1000000000004"/>
    <n v="19976.400000000001"/>
    <n v="19976.400000000001"/>
    <n v="7491.15"/>
    <n v="4994.1000000000004"/>
    <n v="4994.1000000000004"/>
    <n v="6242.63"/>
    <n v="4994.1000000000004"/>
    <x v="2"/>
    <x v="0"/>
    <s v="41100                   "/>
    <x v="17"/>
    <x v="11"/>
    <x v="11"/>
  </r>
  <r>
    <x v="1"/>
    <x v="1"/>
    <x v="233"/>
    <x v="233"/>
    <n v="14588.22"/>
    <n v="72941.11"/>
    <n v="43764.66"/>
    <n v="102117.54"/>
    <n v="43764.66"/>
    <n v="89508.55"/>
    <n v="29176.44"/>
    <n v="29176.44"/>
    <n v="87529.32"/>
    <n v="6735.28"/>
    <n v="75436.649999999994"/>
    <n v="-6038.27"/>
    <n v="17083.77"/>
    <n v="45931.86"/>
    <n v="76553.100000000006"/>
    <n v="91863.71"/>
    <n v="62084.6"/>
    <n v="83895.5"/>
    <n v="47174.080000000002"/>
    <n v="97596.98"/>
    <n v="17644.990000000002"/>
    <n v="13893.73"/>
    <n v="15310.62"/>
    <n v="33501.699999999997"/>
    <n v="45931.8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4267"/>
    <n v="73877.399999999994"/>
    <n v="49251.6"/>
    <n v="123267.3"/>
    <n v="73001.600000000006"/>
    <n v="101653.6"/>
    <n v="41043"/>
    <n v="74908.850000000006"/>
    <n v="49251.6"/>
    <n v="41043"/>
    <n v="28730.1"/>
    <n v="28730.1"/>
    <n v="31332"/>
    <n v="46998"/>
    <n v="48240.41"/>
    <n v="43081.5"/>
    <n v="63905.25"/>
    <n v="85044"/>
    <n v="87405.41"/>
    <n v="84764.25"/>
    <n v="31332"/>
    <n v="31332"/>
    <n v="31332"/>
    <n v="31332"/>
    <x v="2"/>
    <x v="0"/>
    <s v="41100                   "/>
    <x v="17"/>
    <x v="12"/>
    <x v="11"/>
  </r>
  <r>
    <x v="1"/>
    <x v="1"/>
    <x v="234"/>
    <x v="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41"/>
    <n v="22473.45"/>
    <n v="35097.43"/>
    <n v="23721.98"/>
    <n v="23721.98"/>
    <n v="35097.43"/>
    <n v="36456.93"/>
    <n v="48942.18"/>
    <n v="23721.98"/>
    <n v="23721.98"/>
    <n v="23721.98"/>
    <n v="9988.2000000000007"/>
    <x v="2"/>
    <x v="0"/>
    <s v="41100                   "/>
    <x v="17"/>
    <x v="13"/>
    <x v="11"/>
  </r>
  <r>
    <x v="1"/>
    <x v="1"/>
    <x v="235"/>
    <x v="235"/>
    <n v="0"/>
    <n v="0"/>
    <n v="0"/>
    <n v="0"/>
    <n v="0"/>
    <n v="0"/>
    <n v="0"/>
    <n v="0"/>
    <n v="0"/>
    <n v="0"/>
    <n v="0"/>
    <n v="0"/>
    <n v="0"/>
    <n v="0"/>
    <n v="0"/>
    <n v="0"/>
    <n v="0"/>
    <n v="749.92"/>
    <n v="0"/>
    <n v="0"/>
    <n v="0"/>
    <n v="27684.79999999999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75000"/>
    <n v="75000"/>
    <n v="75000"/>
    <n v="7500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4"/>
    <x v="11"/>
  </r>
  <r>
    <x v="1"/>
    <x v="1"/>
    <x v="236"/>
    <x v="236"/>
    <n v="28604.71"/>
    <n v="17003.64"/>
    <n v="22419.9"/>
    <n v="30185.99"/>
    <n v="36434.699999999997"/>
    <n v="21933"/>
    <n v="-1715.76"/>
    <n v="4638.58"/>
    <n v="7228.83"/>
    <n v="22419.9"/>
    <n v="18446.38"/>
    <n v="1187.08"/>
    <n v="4638.59"/>
    <n v="2590.19"/>
    <n v="-5794.28"/>
    <n v="0"/>
    <n v="-3158.0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431.2"/>
    <n v="12369.6"/>
    <n v="4638.6000000000004"/>
    <n v="4638.6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5"/>
    <x v="11"/>
  </r>
  <r>
    <x v="1"/>
    <x v="1"/>
    <x v="237"/>
    <x v="237"/>
    <n v="0"/>
    <n v="9497.77"/>
    <n v="-306.38"/>
    <n v="0"/>
    <n v="1225.52"/>
    <n v="21305.97"/>
    <n v="0"/>
    <n v="0"/>
    <n v="0"/>
    <n v="0"/>
    <n v="0"/>
    <n v="-2520"/>
    <n v="0"/>
    <n v="0"/>
    <n v="0"/>
    <n v="0"/>
    <n v="0"/>
    <n v="0"/>
    <n v="0"/>
    <n v="618.35"/>
    <n v="0"/>
    <n v="9215.39"/>
    <n v="1151.92"/>
    <n v="2303.84"/>
    <n v="3455.7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6"/>
    <x v="11"/>
  </r>
  <r>
    <x v="1"/>
    <x v="1"/>
    <x v="238"/>
    <x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7"/>
    <x v="11"/>
  </r>
  <r>
    <x v="1"/>
    <x v="1"/>
    <x v="239"/>
    <x v="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7"/>
    <x v="18"/>
    <x v="11"/>
  </r>
  <r>
    <x v="1"/>
    <x v="1"/>
    <x v="240"/>
    <x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60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8"/>
    <x v="11"/>
    <x v="3"/>
  </r>
  <r>
    <x v="1"/>
    <x v="1"/>
    <x v="241"/>
    <x v="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8"/>
    <x v="12"/>
    <x v="3"/>
  </r>
  <r>
    <x v="1"/>
    <x v="1"/>
    <x v="242"/>
    <x v="242"/>
    <n v="0"/>
    <n v="0"/>
    <n v="0"/>
    <n v="0"/>
    <n v="0"/>
    <n v="0"/>
    <n v="0"/>
    <n v="0"/>
    <n v="0"/>
    <n v="7865.89"/>
    <n v="0"/>
    <n v="0"/>
    <n v="0"/>
    <n v="0"/>
    <n v="0"/>
    <n v="0"/>
    <n v="0"/>
    <n v="0"/>
    <n v="0"/>
    <n v="0"/>
    <n v="0"/>
    <n v="8800.870000000000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5600"/>
    <n v="0"/>
    <n v="0"/>
    <n v="0"/>
    <n v="5600"/>
    <n v="0"/>
    <n v="0"/>
    <n v="0"/>
    <n v="0"/>
    <n v="0"/>
    <n v="0"/>
    <n v="0"/>
    <n v="0"/>
    <n v="0"/>
    <n v="0"/>
    <n v="0"/>
    <n v="0"/>
    <n v="0"/>
    <n v="0"/>
    <n v="7864.09"/>
    <n v="0"/>
    <n v="0"/>
    <x v="2"/>
    <x v="0"/>
    <s v="41100                   "/>
    <x v="19"/>
    <x v="3"/>
    <x v="3"/>
  </r>
  <r>
    <x v="1"/>
    <x v="1"/>
    <x v="243"/>
    <x v="243"/>
    <n v="0"/>
    <n v="0"/>
    <n v="0"/>
    <n v="0"/>
    <n v="0"/>
    <n v="507.96"/>
    <n v="0"/>
    <n v="0"/>
    <n v="0"/>
    <n v="0"/>
    <n v="0"/>
    <n v="0"/>
    <n v="0"/>
    <n v="0"/>
    <n v="0"/>
    <n v="0"/>
    <n v="634.9500000000000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1"/>
    <x v="3"/>
  </r>
  <r>
    <x v="1"/>
    <x v="1"/>
    <x v="244"/>
    <x v="244"/>
    <n v="50205.599999999999"/>
    <n v="25102.799999999999"/>
    <n v="25102.799999999999"/>
    <n v="50205.599999999999"/>
    <n v="6045.3"/>
    <n v="231.98"/>
    <n v="0"/>
    <n v="25343.14"/>
    <n v="12671.57"/>
    <n v="923.93"/>
    <n v="19116.55"/>
    <n v="25434.86"/>
    <n v="0"/>
    <n v="0"/>
    <n v="0"/>
    <n v="0"/>
    <n v="0"/>
    <n v="0"/>
    <n v="31786.25"/>
    <n v="6444.98"/>
    <n v="0"/>
    <n v="0"/>
    <n v="0"/>
    <n v="0"/>
    <n v="16956.58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1020"/>
    <n v="0"/>
    <n v="0"/>
    <n v="0"/>
    <n v="11020"/>
    <n v="0"/>
    <n v="0"/>
    <n v="0"/>
    <n v="1102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8"/>
    <x v="3"/>
  </r>
  <r>
    <x v="1"/>
    <x v="1"/>
    <x v="245"/>
    <x v="245"/>
    <n v="0"/>
    <n v="0"/>
    <n v="0"/>
    <n v="0"/>
    <n v="1861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9"/>
    <x v="3"/>
  </r>
  <r>
    <x v="1"/>
    <x v="1"/>
    <x v="246"/>
    <x v="246"/>
    <n v="0"/>
    <n v="0"/>
    <n v="0"/>
    <n v="0"/>
    <n v="0"/>
    <n v="0"/>
    <n v="0"/>
    <n v="0"/>
    <n v="0"/>
    <n v="337.97"/>
    <n v="0"/>
    <n v="0"/>
    <n v="0"/>
    <n v="0"/>
    <n v="0"/>
    <n v="0"/>
    <n v="615.9500000000000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11"/>
    <x v="3"/>
  </r>
  <r>
    <x v="1"/>
    <x v="1"/>
    <x v="247"/>
    <x v="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12"/>
    <x v="3"/>
  </r>
  <r>
    <x v="1"/>
    <x v="1"/>
    <x v="248"/>
    <x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13"/>
    <x v="3"/>
  </r>
  <r>
    <x v="1"/>
    <x v="1"/>
    <x v="249"/>
    <x v="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19"/>
    <x v="18"/>
    <x v="3"/>
  </r>
  <r>
    <x v="1"/>
    <x v="1"/>
    <x v="250"/>
    <x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16.63"/>
    <n v="536.85"/>
    <n v="208.68"/>
    <n v="-0.03"/>
    <n v="500"/>
    <n v="-210.95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20"/>
    <x v="3"/>
    <x v="9"/>
  </r>
  <r>
    <x v="1"/>
    <x v="1"/>
    <x v="250"/>
    <x v="250"/>
    <n v="4165.45"/>
    <n v="5589.49"/>
    <n v="4948.28"/>
    <n v="4378.68"/>
    <n v="7352.62"/>
    <n v="3169.33"/>
    <n v="5429.74"/>
    <n v="3396.77"/>
    <n v="4675.34"/>
    <n v="1821.35"/>
    <n v="-1618.23"/>
    <n v="4417.62"/>
    <n v="3266.46"/>
    <n v="5134.55"/>
    <n v="4772.84"/>
    <n v="6361.69"/>
    <n v="5642.88"/>
    <n v="6312.79"/>
    <n v="7124.32"/>
    <n v="3111.57"/>
    <n v="4591.3900000000003"/>
    <n v="208.72"/>
    <n v="4494.63"/>
    <n v="5270.66"/>
    <n v="3738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290.41"/>
    <n v="5757.17"/>
    <n v="5096.7299999999996"/>
    <n v="4510.04"/>
    <n v="7573.2"/>
    <n v="3264.41"/>
    <n v="5592.63"/>
    <n v="3498.67"/>
    <n v="4815.6000000000004"/>
    <n v="1875.99"/>
    <n v="-1666.78"/>
    <n v="4550.1499999999996"/>
    <n v="7005.39"/>
    <n v="3783.52"/>
    <n v="4516.3100000000004"/>
    <n v="2108.77"/>
    <n v="2317.5700000000002"/>
    <n v="3744.17"/>
    <n v="3980.28"/>
    <n v="5305.35"/>
    <n v="5224.76"/>
    <n v="6773.15"/>
    <n v="7031.88"/>
    <n v="7642.3"/>
    <x v="2"/>
    <x v="0"/>
    <s v="41100                   "/>
    <x v="20"/>
    <x v="3"/>
    <x v="9"/>
  </r>
  <r>
    <x v="1"/>
    <x v="1"/>
    <x v="251"/>
    <x v="251"/>
    <n v="23.44"/>
    <n v="166.53"/>
    <n v="1024.5"/>
    <n v="536.15"/>
    <n v="898.11"/>
    <n v="152.5"/>
    <n v="309.74"/>
    <n v="164.02"/>
    <n v="882.12"/>
    <n v="46.87"/>
    <n v="424.12"/>
    <n v="892.82"/>
    <n v="545.11"/>
    <n v="858.07"/>
    <n v="374.58"/>
    <n v="585"/>
    <n v="226.5"/>
    <n v="1817.98"/>
    <n v="545.89"/>
    <n v="124.97"/>
    <n v="1341.83"/>
    <n v="85.9"/>
    <n v="701.86"/>
    <n v="303.58"/>
    <n v="3844.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.14"/>
    <n v="171.53"/>
    <n v="1055.24"/>
    <n v="552.23"/>
    <n v="925.05"/>
    <n v="157.08000000000001"/>
    <n v="319.02999999999997"/>
    <n v="168.94"/>
    <n v="908.58"/>
    <n v="48.28"/>
    <n v="436.84"/>
    <n v="919.6"/>
    <n v="311.08"/>
    <n v="163.4"/>
    <n v="901.15"/>
    <n v="46.69"/>
    <n v="434.93"/>
    <n v="916.85"/>
    <n v="550.53"/>
    <n v="927.55"/>
    <n v="373.16"/>
    <n v="637.15"/>
    <n v="290.36"/>
    <n v="1833.6"/>
    <x v="2"/>
    <x v="0"/>
    <s v="41100                   "/>
    <x v="20"/>
    <x v="4"/>
    <x v="9"/>
  </r>
  <r>
    <x v="1"/>
    <x v="1"/>
    <x v="252"/>
    <x v="252"/>
    <n v="149.03"/>
    <n v="243.19"/>
    <n v="265.02"/>
    <n v="349.63"/>
    <n v="274.56"/>
    <n v="337.3"/>
    <n v="263.67"/>
    <n v="108.14"/>
    <n v="140.69999999999999"/>
    <n v="94.14"/>
    <n v="128.33000000000001"/>
    <n v="171.72"/>
    <n v="148.21"/>
    <n v="309.88"/>
    <n v="180.43"/>
    <n v="298.10000000000002"/>
    <n v="392.2"/>
    <n v="360.85"/>
    <n v="228.63"/>
    <n v="132.52000000000001"/>
    <n v="172.58"/>
    <n v="164.7"/>
    <n v="78.459999999999994"/>
    <n v="117.65"/>
    <n v="125.4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3.5"/>
    <n v="250.49"/>
    <n v="272.97000000000003"/>
    <n v="360.12"/>
    <n v="282.8"/>
    <n v="347.42"/>
    <n v="271.58"/>
    <n v="111.38"/>
    <n v="144.91999999999999"/>
    <n v="96.96"/>
    <n v="132.18"/>
    <n v="176.87"/>
    <n v="243.03"/>
    <n v="97.05"/>
    <n v="130.44999999999999"/>
    <n v="81.510000000000005"/>
    <n v="119.93"/>
    <n v="151.66999999999999"/>
    <n v="167.2"/>
    <n v="289.64"/>
    <n v="160.69"/>
    <n v="263.41000000000003"/>
    <n v="374.98"/>
    <n v="322.20999999999998"/>
    <x v="2"/>
    <x v="0"/>
    <s v="41100                   "/>
    <x v="20"/>
    <x v="0"/>
    <x v="9"/>
  </r>
  <r>
    <x v="1"/>
    <x v="1"/>
    <x v="253"/>
    <x v="253"/>
    <n v="0"/>
    <n v="0"/>
    <n v="0"/>
    <n v="0"/>
    <n v="0"/>
    <n v="0"/>
    <n v="0"/>
    <n v="0"/>
    <n v="0"/>
    <n v="0"/>
    <n v="0"/>
    <n v="0"/>
    <n v="0"/>
    <n v="0"/>
    <n v="0"/>
    <n v="213.23"/>
    <n v="123.72"/>
    <n v="-2.2400000000000002"/>
    <n v="74.41"/>
    <n v="36.46"/>
    <n v="36.46"/>
    <n v="-454.87"/>
    <n v="0"/>
    <n v="209.6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.2"/>
    <n v="235.26"/>
    <n v="334.36"/>
    <n v="334.36"/>
    <x v="2"/>
    <x v="0"/>
    <s v="41100                   "/>
    <x v="20"/>
    <x v="5"/>
    <x v="9"/>
  </r>
  <r>
    <x v="1"/>
    <x v="1"/>
    <x v="254"/>
    <x v="254"/>
    <n v="0"/>
    <n v="33.03"/>
    <n v="0"/>
    <n v="33.03"/>
    <n v="66.069999999999993"/>
    <n v="198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8.8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4.020000000000003"/>
    <n v="0"/>
    <n v="34.020000000000003"/>
    <n v="68.05"/>
    <n v="204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0"/>
    <x v="6"/>
    <x v="9"/>
  </r>
  <r>
    <x v="1"/>
    <x v="1"/>
    <x v="255"/>
    <x v="255"/>
    <n v="1482.99"/>
    <n v="2962.51"/>
    <n v="2104.5300000000002"/>
    <n v="4333.66"/>
    <n v="5937.29"/>
    <n v="5398.96"/>
    <n v="2793.35"/>
    <n v="1922.93"/>
    <n v="1061.54"/>
    <n v="999.21"/>
    <n v="2362.5100000000002"/>
    <n v="1623.99"/>
    <n v="1582.15"/>
    <n v="2481.77"/>
    <n v="3034.43"/>
    <n v="3855.51"/>
    <n v="3414.95"/>
    <n v="5292.96"/>
    <n v="3727.47"/>
    <n v="2361.85"/>
    <n v="2770.25"/>
    <n v="1399.22"/>
    <n v="3031.61"/>
    <n v="1963.11"/>
    <n v="2452.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27.48"/>
    <n v="3051.39"/>
    <n v="2167.67"/>
    <n v="4463.67"/>
    <n v="6115.41"/>
    <n v="5560.93"/>
    <n v="2877.15"/>
    <n v="1980.62"/>
    <n v="1093.3900000000001"/>
    <n v="1029.19"/>
    <n v="2433.39"/>
    <n v="1672.71"/>
    <n v="3938.54"/>
    <n v="2199.46"/>
    <n v="1258.73"/>
    <n v="1545.85"/>
    <n v="1595.11"/>
    <n v="2228.5"/>
    <n v="2270.96"/>
    <n v="4208.7"/>
    <n v="4645.8900000000003"/>
    <n v="5386.21"/>
    <n v="6086.79"/>
    <n v="6926.12"/>
    <x v="2"/>
    <x v="0"/>
    <s v="41100                   "/>
    <x v="20"/>
    <x v="1"/>
    <x v="9"/>
  </r>
  <r>
    <x v="1"/>
    <x v="1"/>
    <x v="256"/>
    <x v="256"/>
    <n v="0"/>
    <n v="0"/>
    <n v="0"/>
    <n v="0"/>
    <n v="0"/>
    <n v="0"/>
    <n v="0"/>
    <n v="0"/>
    <n v="0"/>
    <n v="0"/>
    <n v="0"/>
    <n v="0"/>
    <n v="1745.23"/>
    <n v="0"/>
    <n v="4089.12"/>
    <n v="6207.4"/>
    <n v="6913.29"/>
    <n v="6948.99"/>
    <n v="7278.11"/>
    <n v="5016.41"/>
    <n v="4443.6899999999996"/>
    <n v="2572.38"/>
    <n v="2619.92"/>
    <n v="4495.67"/>
    <n v="-52330.2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345.81"/>
    <n v="2670.51"/>
    <n v="4645.92"/>
    <n v="5668.16"/>
    <n v="8257.32"/>
    <n v="6228.35"/>
    <n v="4750.0200000000004"/>
    <n v="7934.98"/>
    <n v="3271.12"/>
    <n v="1745.93"/>
    <n v="1558.38"/>
    <n v="2717.15"/>
    <n v="2413.61"/>
    <n v="4322.5200000000004"/>
    <n v="4725.82"/>
    <n v="6872.05"/>
    <n v="7599.57"/>
    <n v="7700.57"/>
    <n v="4686.9799999999996"/>
    <n v="6608.47"/>
    <n v="3631.3"/>
    <n v="2693.36"/>
    <n v="3123.77"/>
    <n v="4150.5"/>
    <x v="3"/>
    <x v="0"/>
    <s v="41100                   "/>
    <x v="20"/>
    <x v="7"/>
    <x v="9"/>
  </r>
  <r>
    <x v="1"/>
    <x v="1"/>
    <x v="256"/>
    <x v="256"/>
    <n v="918.85"/>
    <n v="1118.04"/>
    <n v="1076.06"/>
    <n v="999.09"/>
    <n v="489.76"/>
    <n v="1014.94"/>
    <n v="86.96"/>
    <n v="995.9"/>
    <n v="663.91"/>
    <n v="0"/>
    <n v="381.92"/>
    <n v="-315.02999999999997"/>
    <n v="521.47"/>
    <n v="102.94"/>
    <n v="33.03"/>
    <n v="964.14"/>
    <n v="723.4"/>
    <n v="378.35"/>
    <n v="163.19999999999999"/>
    <n v="236.68"/>
    <n v="1111.8499999999999"/>
    <n v="0"/>
    <n v="663.01"/>
    <n v="0"/>
    <n v="514.20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46.42"/>
    <n v="1151.58"/>
    <n v="1108.3399999999999"/>
    <n v="1029.06"/>
    <n v="504.45"/>
    <n v="1045.3900000000001"/>
    <n v="89.57"/>
    <n v="1025.78"/>
    <n v="683.83"/>
    <n v="0"/>
    <n v="393.38"/>
    <n v="-324.48"/>
    <n v="32.92"/>
    <n v="65.83"/>
    <n v="0"/>
    <n v="0"/>
    <n v="32.92"/>
    <n v="0"/>
    <n v="32.92"/>
    <n v="32.92"/>
    <n v="32.92"/>
    <n v="296.24"/>
    <n v="164.58"/>
    <n v="131.66"/>
    <x v="2"/>
    <x v="0"/>
    <s v="41100                   "/>
    <x v="20"/>
    <x v="7"/>
    <x v="9"/>
  </r>
  <r>
    <x v="1"/>
    <x v="1"/>
    <x v="257"/>
    <x v="257"/>
    <n v="3062.74"/>
    <n v="4539.92"/>
    <n v="6426.62"/>
    <n v="6367.58"/>
    <n v="6700.9"/>
    <n v="8343.0499999999993"/>
    <n v="7314.44"/>
    <n v="5017.17"/>
    <n v="6314.31"/>
    <n v="1854.4"/>
    <n v="1282.7"/>
    <n v="3326.69"/>
    <n v="3775.24"/>
    <n v="5558.63"/>
    <n v="5247.61"/>
    <n v="6005.36"/>
    <n v="8858.3700000000008"/>
    <n v="5689.27"/>
    <n v="6544.23"/>
    <n v="3880.76"/>
    <n v="6619.47"/>
    <n v="4222.29"/>
    <n v="3162.21"/>
    <n v="3752.59"/>
    <n v="6755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54.62"/>
    <n v="4676.12"/>
    <n v="6619.42"/>
    <n v="6558.61"/>
    <n v="6901.93"/>
    <n v="8593.34"/>
    <n v="7533.87"/>
    <n v="5167.6899999999996"/>
    <n v="6503.74"/>
    <n v="1910.03"/>
    <n v="1321.18"/>
    <n v="3426.49"/>
    <n v="7786.5"/>
    <n v="6196.88"/>
    <n v="7033.38"/>
    <n v="2197.7800000000002"/>
    <n v="2088.31"/>
    <n v="4483.71"/>
    <n v="5073.21"/>
    <n v="7056.07"/>
    <n v="6261.01"/>
    <n v="7111.85"/>
    <n v="10535.94"/>
    <n v="6849.79"/>
    <x v="2"/>
    <x v="0"/>
    <s v="41100                   "/>
    <x v="20"/>
    <x v="8"/>
    <x v="9"/>
  </r>
  <r>
    <x v="1"/>
    <x v="1"/>
    <x v="258"/>
    <x v="258"/>
    <n v="1603.57"/>
    <n v="5224.1400000000003"/>
    <n v="2762.58"/>
    <n v="2865.06"/>
    <n v="3078.32"/>
    <n v="2146.9299999999998"/>
    <n v="962.84"/>
    <n v="1186.28"/>
    <n v="1255.49"/>
    <n v="477.26"/>
    <n v="664.69"/>
    <n v="679.14"/>
    <n v="1548.36"/>
    <n v="3084.36"/>
    <n v="1751.82"/>
    <n v="2815"/>
    <n v="2628.47"/>
    <n v="2969.31"/>
    <n v="1715.57"/>
    <n v="1497.07"/>
    <n v="2028.11"/>
    <n v="1060.44"/>
    <n v="2628.94"/>
    <n v="4376.08"/>
    <n v="4799.97999999999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51.68"/>
    <n v="5380.86"/>
    <n v="2845.46"/>
    <n v="2951.01"/>
    <n v="3170.67"/>
    <n v="2211.34"/>
    <n v="991.73"/>
    <n v="1221.8699999999999"/>
    <n v="1293.1500000000001"/>
    <n v="491.58"/>
    <n v="684.63"/>
    <n v="699.51"/>
    <n v="1262.97"/>
    <n v="1676.26"/>
    <n v="1613.51"/>
    <n v="1019.99"/>
    <n v="1344.47"/>
    <n v="636.79"/>
    <n v="1342.47"/>
    <n v="2699.07"/>
    <n v="1497.61"/>
    <n v="1931"/>
    <n v="1892.74"/>
    <n v="2646.23"/>
    <x v="2"/>
    <x v="0"/>
    <s v="41100                   "/>
    <x v="20"/>
    <x v="9"/>
    <x v="9"/>
  </r>
  <r>
    <x v="1"/>
    <x v="1"/>
    <x v="259"/>
    <x v="259"/>
    <n v="435.52"/>
    <n v="400.45"/>
    <n v="369.39"/>
    <n v="983.81"/>
    <n v="2210.6999999999998"/>
    <n v="749.54"/>
    <n v="997.63"/>
    <n v="500.54"/>
    <n v="1263.48"/>
    <n v="465.98"/>
    <n v="349.39"/>
    <n v="420.39"/>
    <n v="1019.53"/>
    <n v="2400.41"/>
    <n v="738.81"/>
    <n v="198.17"/>
    <n v="376.86"/>
    <n v="513.16999999999996"/>
    <n v="529.20000000000005"/>
    <n v="232.53"/>
    <n v="697.77"/>
    <n v="327.04000000000002"/>
    <n v="892.67"/>
    <n v="1925.44"/>
    <n v="2494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8.59"/>
    <n v="412.46"/>
    <n v="380.47"/>
    <n v="1013.32"/>
    <n v="2277.02"/>
    <n v="772.03"/>
    <n v="1027.56"/>
    <n v="515.55999999999995"/>
    <n v="1301.3800000000001"/>
    <n v="479.96"/>
    <n v="359.87"/>
    <n v="433"/>
    <n v="703.95"/>
    <n v="236.19"/>
    <n v="534"/>
    <n v="267"/>
    <n v="195.12"/>
    <n v="267"/>
    <n v="544.27"/>
    <n v="441.58"/>
    <n v="112.96"/>
    <n v="30.81"/>
    <n v="0"/>
    <n v="0"/>
    <x v="2"/>
    <x v="0"/>
    <s v="41100                   "/>
    <x v="20"/>
    <x v="10"/>
    <x v="9"/>
  </r>
  <r>
    <x v="1"/>
    <x v="1"/>
    <x v="260"/>
    <x v="260"/>
    <n v="0"/>
    <n v="0"/>
    <n v="0"/>
    <n v="88.59"/>
    <n v="689.95"/>
    <n v="3054.71"/>
    <n v="1195.52"/>
    <n v="1001.67"/>
    <n v="719.39"/>
    <n v="158.61000000000001"/>
    <n v="265.52999999999997"/>
    <n v="256.95"/>
    <n v="350.36"/>
    <n v="2419.21"/>
    <n v="789.11"/>
    <n v="1922.35"/>
    <n v="-486.94"/>
    <n v="1038.24"/>
    <n v="1003.25"/>
    <n v="3606.15"/>
    <n v="374.56"/>
    <n v="506.03"/>
    <n v="402.15"/>
    <n v="292.06"/>
    <n v="1639.0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91.25"/>
    <n v="710.65"/>
    <n v="3146.35"/>
    <n v="1231.3900000000001"/>
    <n v="1031.72"/>
    <n v="740.97"/>
    <n v="163.37"/>
    <n v="273.5"/>
    <n v="264.66000000000003"/>
    <n v="1105.3800000000001"/>
    <n v="981.13"/>
    <n v="795.06"/>
    <n v="260.7"/>
    <n v="457.9"/>
    <n v="384.34"/>
    <n v="478.41"/>
    <n v="967.3"/>
    <n v="893.74"/>
    <n v="1959.96"/>
    <n v="1080.26"/>
    <n v="1036.44"/>
    <x v="2"/>
    <x v="0"/>
    <s v="41100                   "/>
    <x v="20"/>
    <x v="11"/>
    <x v="9"/>
  </r>
  <r>
    <x v="1"/>
    <x v="1"/>
    <x v="261"/>
    <x v="261"/>
    <n v="5568.33"/>
    <n v="25744.62"/>
    <n v="7732.77"/>
    <n v="5891.95"/>
    <n v="5786.13"/>
    <n v="5703.35"/>
    <n v="8476.23"/>
    <n v="5347.23"/>
    <n v="4352.16"/>
    <n v="5180.6000000000004"/>
    <n v="2705.76"/>
    <n v="4163.66"/>
    <n v="6098.12"/>
    <n v="8092.64"/>
    <n v="8272.4500000000007"/>
    <n v="9481.73"/>
    <n v="14544.11"/>
    <n v="11634.87"/>
    <n v="11698.19"/>
    <n v="7558.57"/>
    <n v="5594.75"/>
    <n v="6371.33"/>
    <n v="7667.47"/>
    <n v="7111.2"/>
    <n v="9244.4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54.3"/>
    <n v="26111.84"/>
    <n v="7783.28"/>
    <n v="5362.62"/>
    <n v="4955.24"/>
    <n v="5217.8599999999997"/>
    <n v="7939.8"/>
    <n v="5093.08"/>
    <n v="4482.72"/>
    <n v="5336.02"/>
    <n v="2786.93"/>
    <n v="4288.57"/>
    <n v="18632.439999999999"/>
    <n v="11095.7"/>
    <n v="8267.2099999999991"/>
    <n v="14555.95"/>
    <n v="7787.55"/>
    <n v="9600.2999999999993"/>
    <n v="15839.65"/>
    <n v="17715.88"/>
    <n v="18705.330000000002"/>
    <n v="21430.17"/>
    <n v="30312.6"/>
    <n v="23642.68"/>
    <x v="2"/>
    <x v="0"/>
    <s v="41100                   "/>
    <x v="20"/>
    <x v="12"/>
    <x v="9"/>
  </r>
  <r>
    <x v="1"/>
    <x v="1"/>
    <x v="262"/>
    <x v="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0"/>
    <x v="13"/>
    <x v="9"/>
  </r>
  <r>
    <x v="1"/>
    <x v="1"/>
    <x v="263"/>
    <x v="263"/>
    <n v="0"/>
    <n v="0"/>
    <n v="0"/>
    <n v="2711.4"/>
    <n v="123.72"/>
    <n v="2026.83"/>
    <n v="613.82000000000005"/>
    <n v="3243.61"/>
    <n v="4703.91"/>
    <n v="601.84"/>
    <n v="-373.21"/>
    <n v="9674.42"/>
    <n v="0"/>
    <n v="66389.95"/>
    <n v="443.36"/>
    <n v="-62909.41"/>
    <n v="1018.47"/>
    <n v="1084.33"/>
    <n v="547.57000000000005"/>
    <n v="392.75"/>
    <n v="3776.67"/>
    <n v="391.4"/>
    <n v="728.98"/>
    <n v="51.56"/>
    <n v="2831.6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792.74"/>
    <n v="127.43"/>
    <n v="2087.63"/>
    <n v="632.23"/>
    <n v="3340.92"/>
    <n v="4845.03"/>
    <n v="619.9"/>
    <n v="-384.41"/>
    <n v="9964.65"/>
    <n v="780.56"/>
    <n v="3328.09"/>
    <n v="4786.2700000000004"/>
    <n v="795.22"/>
    <n v="358.94"/>
    <n v="9835.19"/>
    <n v="1378.13"/>
    <n v="216.56"/>
    <n v="602.07000000000005"/>
    <n v="3156.38"/>
    <n v="1253.6400000000001"/>
    <n v="1036.45"/>
    <x v="2"/>
    <x v="0"/>
    <s v="41100                   "/>
    <x v="20"/>
    <x v="14"/>
    <x v="9"/>
  </r>
  <r>
    <x v="1"/>
    <x v="1"/>
    <x v="264"/>
    <x v="264"/>
    <n v="288.2"/>
    <n v="36.380000000000003"/>
    <n v="160.87"/>
    <n v="-136.82"/>
    <n v="402.43"/>
    <n v="356.99"/>
    <n v="89.65"/>
    <n v="43.33"/>
    <n v="64.900000000000006"/>
    <n v="81.09"/>
    <n v="-72.28"/>
    <n v="-62.38"/>
    <n v="59.57"/>
    <n v="-93.01"/>
    <n v="86.35"/>
    <n v="-53.77"/>
    <n v="-110.21"/>
    <n v="964.35"/>
    <n v="189.61"/>
    <n v="-10.65"/>
    <n v="321.92"/>
    <n v="61.33"/>
    <n v="339.11"/>
    <n v="305.86"/>
    <n v="2159.26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96.85000000000002"/>
    <n v="37.47"/>
    <n v="165.7"/>
    <n v="-140.91999999999999"/>
    <n v="414.5"/>
    <n v="367.7"/>
    <n v="92.34"/>
    <n v="44.63"/>
    <n v="66.849999999999994"/>
    <n v="83.52"/>
    <n v="-74.45"/>
    <n v="-64.25"/>
    <n v="221.82"/>
    <n v="28.44"/>
    <n v="51.19"/>
    <n v="73.94"/>
    <n v="5.69"/>
    <n v="17.059999999999999"/>
    <n v="17.059999999999999"/>
    <n v="108.07"/>
    <n v="62.56"/>
    <n v="233.2"/>
    <n v="352.64"/>
    <n v="335.57"/>
    <x v="2"/>
    <x v="0"/>
    <s v="41100                   "/>
    <x v="20"/>
    <x v="15"/>
    <x v="9"/>
  </r>
  <r>
    <x v="1"/>
    <x v="1"/>
    <x v="265"/>
    <x v="265"/>
    <n v="0"/>
    <n v="0"/>
    <n v="0"/>
    <n v="0"/>
    <n v="0"/>
    <n v="0"/>
    <n v="0"/>
    <n v="0"/>
    <n v="0"/>
    <n v="0"/>
    <n v="0"/>
    <n v="0"/>
    <n v="2769.93"/>
    <n v="6046.7"/>
    <n v="2948.08"/>
    <n v="8126.69"/>
    <n v="6091.08"/>
    <n v="5510.18"/>
    <n v="-1937.73"/>
    <n v="3952.74"/>
    <n v="2933.82"/>
    <n v="1239.3599999999999"/>
    <n v="1044.5999999999999"/>
    <n v="2714.47"/>
    <n v="-41439.91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54.46"/>
    <n v="2502.12"/>
    <n v="3664.99"/>
    <n v="5310.08"/>
    <n v="4819.84"/>
    <n v="3515.93"/>
    <n v="3138.86"/>
    <n v="2350.1"/>
    <n v="4164.42"/>
    <n v="1015.87"/>
    <n v="399.9"/>
    <n v="3136.59"/>
    <n v="2701.53"/>
    <n v="2408.58"/>
    <n v="3055.65"/>
    <n v="7133.8"/>
    <n v="6653.88"/>
    <n v="6671.3"/>
    <n v="3173.92"/>
    <n v="2556.33"/>
    <n v="4968.09"/>
    <n v="1824.91"/>
    <n v="2289.37"/>
    <n v="4488.46"/>
    <x v="3"/>
    <x v="0"/>
    <s v="41100                   "/>
    <x v="20"/>
    <x v="16"/>
    <x v="9"/>
  </r>
  <r>
    <x v="1"/>
    <x v="1"/>
    <x v="265"/>
    <x v="265"/>
    <n v="435.95"/>
    <n v="265.39"/>
    <n v="113.46"/>
    <n v="-183.36"/>
    <n v="1731.49"/>
    <n v="0"/>
    <n v="0"/>
    <n v="-54.4"/>
    <n v="48.65"/>
    <n v="596.45000000000005"/>
    <n v="32.869999999999997"/>
    <n v="40.630000000000003"/>
    <n v="278.8"/>
    <n v="444.55"/>
    <n v="395.16"/>
    <n v="444.55"/>
    <n v="634.17999999999995"/>
    <n v="212.92"/>
    <n v="98.77"/>
    <n v="171.27"/>
    <n v="993.31"/>
    <n v="575.24"/>
    <n v="556.52"/>
    <n v="525.85"/>
    <n v="547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9.03"/>
    <n v="273.35000000000002"/>
    <n v="116.86"/>
    <n v="-188.86"/>
    <n v="1783.43"/>
    <n v="0"/>
    <n v="0"/>
    <n v="-56.03"/>
    <n v="50.11"/>
    <n v="614.34"/>
    <n v="33.86"/>
    <n v="41.85"/>
    <n v="0"/>
    <n v="0"/>
    <n v="48.47"/>
    <n v="1820.78"/>
    <n v="73.819999999999993"/>
    <n v="49.21"/>
    <n v="295.26"/>
    <n v="442.89"/>
    <n v="393.68"/>
    <n v="442.89"/>
    <n v="639.73"/>
    <n v="270.66000000000003"/>
    <x v="2"/>
    <x v="0"/>
    <s v="41100                   "/>
    <x v="20"/>
    <x v="16"/>
    <x v="9"/>
  </r>
  <r>
    <x v="1"/>
    <x v="1"/>
    <x v="266"/>
    <x v="266"/>
    <n v="359.24"/>
    <n v="63.93"/>
    <n v="498.05"/>
    <n v="372.72"/>
    <n v="513.09"/>
    <n v="50.64"/>
    <n v="401.59"/>
    <n v="118.23"/>
    <n v="228.55"/>
    <n v="34.4"/>
    <n v="-38.64"/>
    <n v="430.07"/>
    <n v="424.13"/>
    <n v="1135.1500000000001"/>
    <n v="574.11"/>
    <n v="777.75"/>
    <n v="350.88"/>
    <n v="777.87"/>
    <n v="673.71"/>
    <n v="231.27"/>
    <n v="246.61"/>
    <n v="691.86"/>
    <n v="495.43"/>
    <n v="567.42999999999995"/>
    <n v="297.8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5.76"/>
    <n v="217.35"/>
    <n v="260.82"/>
    <n v="71.42"/>
    <n v="204.93"/>
    <n v="366.39"/>
    <n v="397.44"/>
    <n v="1158.18"/>
    <n v="633.42999999999995"/>
    <n v="872.52"/>
    <n v="388.13"/>
    <n v="428.5"/>
    <x v="2"/>
    <x v="0"/>
    <s v="41100                   "/>
    <x v="20"/>
    <x v="17"/>
    <x v="9"/>
  </r>
  <r>
    <x v="1"/>
    <x v="1"/>
    <x v="267"/>
    <x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87"/>
    <n v="985.4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0"/>
    <x v="18"/>
    <x v="9"/>
  </r>
  <r>
    <x v="1"/>
    <x v="1"/>
    <x v="268"/>
    <x v="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1"/>
    <x v="8"/>
    <x v="12"/>
  </r>
  <r>
    <x v="1"/>
    <x v="1"/>
    <x v="269"/>
    <x v="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81.48"/>
    <n v="0"/>
    <n v="0"/>
    <n v="0"/>
    <n v="6281.48"/>
    <n v="0"/>
    <n v="0"/>
    <n v="0"/>
    <n v="6281.48"/>
    <n v="0"/>
    <n v="0"/>
    <n v="6051.5"/>
    <x v="2"/>
    <x v="0"/>
    <s v="41100                   "/>
    <x v="21"/>
    <x v="18"/>
    <x v="13"/>
  </r>
  <r>
    <x v="1"/>
    <x v="1"/>
    <x v="270"/>
    <x v="270"/>
    <n v="0"/>
    <n v="0"/>
    <n v="0"/>
    <n v="0"/>
    <n v="0"/>
    <n v="0"/>
    <n v="0"/>
    <n v="638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2"/>
    <x v="3"/>
    <x v="3"/>
  </r>
  <r>
    <x v="1"/>
    <x v="1"/>
    <x v="271"/>
    <x v="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2"/>
    <x v="5"/>
    <x v="3"/>
  </r>
  <r>
    <x v="1"/>
    <x v="1"/>
    <x v="272"/>
    <x v="272"/>
    <n v="0"/>
    <n v="0"/>
    <n v="0"/>
    <n v="0"/>
    <n v="0"/>
    <n v="5404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2"/>
    <x v="10"/>
    <x v="3"/>
  </r>
  <r>
    <x v="1"/>
    <x v="1"/>
    <x v="273"/>
    <x v="273"/>
    <n v="0"/>
    <n v="0"/>
    <n v="0"/>
    <n v="0"/>
    <n v="0"/>
    <n v="16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2"/>
    <x v="11"/>
    <x v="3"/>
  </r>
  <r>
    <x v="1"/>
    <x v="1"/>
    <x v="274"/>
    <x v="274"/>
    <n v="3980.26"/>
    <n v="0"/>
    <n v="0"/>
    <n v="0"/>
    <n v="4181.8599999999997"/>
    <n v="4181.8500000000004"/>
    <n v="0"/>
    <n v="0"/>
    <n v="0"/>
    <n v="4181.8599999999997"/>
    <n v="0"/>
    <n v="0"/>
    <n v="0"/>
    <n v="0"/>
    <n v="4181.8599999999997"/>
    <n v="0"/>
    <n v="4181.8599999999997"/>
    <n v="4181.8599999999997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814.46"/>
    <n v="0"/>
    <n v="0"/>
    <n v="3814.46"/>
    <n v="0"/>
    <n v="0"/>
    <n v="7628.92"/>
    <n v="0"/>
    <n v="0"/>
    <n v="3814.46"/>
    <n v="0"/>
    <n v="0"/>
    <n v="0"/>
    <n v="0"/>
    <n v="0"/>
    <n v="0"/>
    <n v="0"/>
    <n v="0"/>
    <n v="0"/>
    <n v="0"/>
    <n v="0"/>
    <n v="0"/>
    <n v="0"/>
    <x v="2"/>
    <x v="0"/>
    <s v="41100                   "/>
    <x v="22"/>
    <x v="12"/>
    <x v="3"/>
  </r>
  <r>
    <x v="1"/>
    <x v="1"/>
    <x v="275"/>
    <x v="275"/>
    <n v="406.24"/>
    <n v="188.23"/>
    <n v="381.23"/>
    <n v="-39.119999999999997"/>
    <n v="228.14"/>
    <n v="50.55"/>
    <n v="4.71"/>
    <n v="50.63"/>
    <n v="270.3"/>
    <n v="42.46"/>
    <n v="16.07"/>
    <n v="178.87"/>
    <n v="26.41"/>
    <n v="5.29"/>
    <n v="255.22"/>
    <n v="292.89999999999998"/>
    <n v="550.20000000000005"/>
    <n v="101.66"/>
    <n v="449.33"/>
    <n v="335.25"/>
    <n v="33.409999999999997"/>
    <n v="16.45"/>
    <n v="310.86"/>
    <n v="378.75"/>
    <n v="313.8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.36"/>
    <n v="191.99"/>
    <n v="388.85"/>
    <n v="-39.9"/>
    <n v="232.7"/>
    <n v="51.56"/>
    <n v="4.8"/>
    <n v="51.64"/>
    <n v="275.70999999999998"/>
    <n v="43.31"/>
    <n v="16.39"/>
    <n v="182.45"/>
    <n v="1416.45"/>
    <n v="301.26"/>
    <n v="301.26"/>
    <n v="0"/>
    <n v="0"/>
    <n v="0"/>
    <n v="0"/>
    <n v="0"/>
    <n v="832.88"/>
    <n v="0"/>
    <n v="0"/>
    <n v="0"/>
    <x v="2"/>
    <x v="0"/>
    <s v="41100                   "/>
    <x v="23"/>
    <x v="3"/>
    <x v="4"/>
  </r>
  <r>
    <x v="1"/>
    <x v="1"/>
    <x v="276"/>
    <x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4"/>
    <x v="4"/>
  </r>
  <r>
    <x v="1"/>
    <x v="1"/>
    <x v="277"/>
    <x v="277"/>
    <n v="0"/>
    <n v="0"/>
    <n v="0"/>
    <n v="0"/>
    <n v="0"/>
    <n v="0"/>
    <n v="426.37"/>
    <n v="15.69"/>
    <n v="0"/>
    <n v="0"/>
    <n v="0"/>
    <n v="0"/>
    <n v="0"/>
    <n v="0"/>
    <n v="0"/>
    <n v="7.84"/>
    <n v="0"/>
    <n v="0"/>
    <n v="0"/>
    <n v="0"/>
    <n v="0"/>
    <n v="0"/>
    <n v="0"/>
    <n v="0"/>
    <n v="23.5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4.9"/>
    <n v="16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0"/>
    <x v="4"/>
  </r>
  <r>
    <x v="1"/>
    <x v="1"/>
    <x v="278"/>
    <x v="278"/>
    <n v="0"/>
    <n v="0"/>
    <n v="0"/>
    <n v="0"/>
    <n v="0"/>
    <n v="0"/>
    <n v="0"/>
    <n v="0"/>
    <n v="0"/>
    <n v="0"/>
    <n v="0"/>
    <n v="0"/>
    <n v="0"/>
    <n v="0"/>
    <n v="0"/>
    <n v="0"/>
    <n v="88.76"/>
    <n v="0"/>
    <n v="0"/>
    <n v="0"/>
    <n v="0"/>
    <n v="4133.2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1.1799999999998"/>
    <n v="0"/>
    <n v="0"/>
    <x v="2"/>
    <x v="0"/>
    <s v="41100                   "/>
    <x v="23"/>
    <x v="5"/>
    <x v="4"/>
  </r>
  <r>
    <x v="1"/>
    <x v="1"/>
    <x v="279"/>
    <x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6"/>
    <x v="4"/>
  </r>
  <r>
    <x v="1"/>
    <x v="1"/>
    <x v="280"/>
    <x v="280"/>
    <n v="124.13"/>
    <n v="360.91"/>
    <n v="0"/>
    <n v="591.11"/>
    <n v="0"/>
    <n v="658.89"/>
    <n v="10.31"/>
    <n v="30.93"/>
    <n v="66.069999999999993"/>
    <n v="324.64999999999998"/>
    <n v="551.07000000000005"/>
    <n v="173.32"/>
    <n v="56.54"/>
    <n v="32.590000000000003"/>
    <n v="82.49"/>
    <n v="23.95"/>
    <n v="0"/>
    <n v="0"/>
    <n v="0"/>
    <n v="0"/>
    <n v="43.95"/>
    <n v="283.39999999999998"/>
    <n v="0"/>
    <n v="839.8"/>
    <n v="12.8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6.61"/>
    <n v="368.13"/>
    <n v="0"/>
    <n v="602.92999999999995"/>
    <n v="0"/>
    <n v="672.07"/>
    <n v="10.52"/>
    <n v="31.55"/>
    <n v="67.39"/>
    <n v="331.14"/>
    <n v="562.09"/>
    <n v="176.79"/>
    <n v="832.88"/>
    <n v="0"/>
    <n v="417.6"/>
    <n v="0"/>
    <n v="0"/>
    <n v="0"/>
    <n v="0"/>
    <n v="0"/>
    <n v="0"/>
    <n v="0"/>
    <n v="417.6"/>
    <n v="417.6"/>
    <x v="2"/>
    <x v="0"/>
    <s v="41100                   "/>
    <x v="23"/>
    <x v="1"/>
    <x v="4"/>
  </r>
  <r>
    <x v="1"/>
    <x v="1"/>
    <x v="281"/>
    <x v="281"/>
    <n v="0"/>
    <n v="0"/>
    <n v="0"/>
    <n v="0"/>
    <n v="9.48"/>
    <n v="0"/>
    <n v="0"/>
    <n v="0"/>
    <n v="0"/>
    <n v="0"/>
    <n v="0"/>
    <n v="0"/>
    <n v="0"/>
    <n v="0"/>
    <n v="112.16"/>
    <n v="138.86000000000001"/>
    <n v="0"/>
    <n v="0"/>
    <n v="0"/>
    <n v="0"/>
    <n v="5.34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9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7"/>
    <x v="4"/>
  </r>
  <r>
    <x v="1"/>
    <x v="1"/>
    <x v="282"/>
    <x v="282"/>
    <n v="291.99"/>
    <n v="409.89"/>
    <n v="434.46"/>
    <n v="528.33000000000004"/>
    <n v="11.15"/>
    <n v="418.07"/>
    <n v="828.96"/>
    <n v="560.36"/>
    <n v="38.450000000000003"/>
    <n v="805.84"/>
    <n v="11.15"/>
    <n v="543.41"/>
    <n v="111.46"/>
    <n v="546.14"/>
    <n v="25.63"/>
    <n v="66.41"/>
    <n v="776.35"/>
    <n v="370.01"/>
    <n v="826.11"/>
    <n v="740.94"/>
    <n v="912.03"/>
    <n v="32.6"/>
    <n v="478.3"/>
    <n v="534.88"/>
    <n v="707.4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97.83"/>
    <n v="418.09"/>
    <n v="443.15"/>
    <n v="538.9"/>
    <n v="11.37"/>
    <n v="426.43"/>
    <n v="845.54"/>
    <n v="571.57000000000005"/>
    <n v="39.22"/>
    <n v="821.96"/>
    <n v="11.37"/>
    <n v="554.28"/>
    <n v="388.68"/>
    <n v="505.02"/>
    <n v="563.19000000000005"/>
    <n v="446.85"/>
    <n v="563.19000000000005"/>
    <n v="330.51"/>
    <n v="388.68"/>
    <n v="505.02"/>
    <n v="505.02"/>
    <n v="388.68"/>
    <n v="1082.18"/>
    <n v="0"/>
    <x v="2"/>
    <x v="0"/>
    <s v="41100                   "/>
    <x v="23"/>
    <x v="8"/>
    <x v="4"/>
  </r>
  <r>
    <x v="1"/>
    <x v="1"/>
    <x v="283"/>
    <x v="283"/>
    <n v="30.93"/>
    <n v="51.55"/>
    <n v="10.31"/>
    <n v="199.03"/>
    <n v="0"/>
    <n v="72.180000000000007"/>
    <n v="10.31"/>
    <n v="72.19"/>
    <n v="464.02"/>
    <n v="0"/>
    <n v="224.5"/>
    <n v="20.61"/>
    <n v="0"/>
    <n v="3.85"/>
    <n v="26.76"/>
    <n v="0"/>
    <n v="6.98"/>
    <n v="0"/>
    <n v="89.01"/>
    <n v="10.31"/>
    <n v="98.95"/>
    <n v="501.1"/>
    <n v="40.71"/>
    <n v="104.63"/>
    <n v="88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.55"/>
    <n v="52.58"/>
    <n v="10.52"/>
    <n v="203.01"/>
    <n v="0"/>
    <n v="73.62"/>
    <n v="10.52"/>
    <n v="73.63"/>
    <n v="473.3"/>
    <n v="0"/>
    <n v="228.99"/>
    <n v="21.02"/>
    <n v="536.49"/>
    <n v="536.49"/>
    <n v="0"/>
    <n v="0"/>
    <n v="536.49"/>
    <n v="536.49"/>
    <n v="536.49"/>
    <n v="536.49"/>
    <n v="0"/>
    <n v="0"/>
    <n v="0"/>
    <n v="0"/>
    <x v="2"/>
    <x v="0"/>
    <s v="41100                   "/>
    <x v="23"/>
    <x v="9"/>
    <x v="4"/>
  </r>
  <r>
    <x v="1"/>
    <x v="1"/>
    <x v="284"/>
    <x v="284"/>
    <n v="20.61"/>
    <n v="0"/>
    <n v="0"/>
    <n v="0"/>
    <n v="0"/>
    <n v="0"/>
    <n v="0"/>
    <n v="0"/>
    <n v="61.87"/>
    <n v="0"/>
    <n v="0"/>
    <n v="0"/>
    <n v="474.32"/>
    <n v="82.47"/>
    <n v="208.46"/>
    <n v="77.150000000000006"/>
    <n v="0"/>
    <n v="16.04"/>
    <n v="16.04"/>
    <n v="0"/>
    <n v="6.98"/>
    <n v="6.98"/>
    <n v="559.55999999999995"/>
    <n v="107.81"/>
    <n v="26.5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.02"/>
    <n v="0"/>
    <n v="0"/>
    <n v="0"/>
    <n v="0"/>
    <n v="0"/>
    <n v="0"/>
    <n v="0"/>
    <n v="63.11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10"/>
    <x v="4"/>
  </r>
  <r>
    <x v="1"/>
    <x v="1"/>
    <x v="285"/>
    <x v="285"/>
    <n v="0"/>
    <n v="0"/>
    <n v="0"/>
    <n v="0"/>
    <n v="653.88"/>
    <n v="0"/>
    <n v="0"/>
    <n v="288.72000000000003"/>
    <n v="22.29"/>
    <n v="0"/>
    <n v="23.13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666.96"/>
    <n v="0"/>
    <n v="0"/>
    <n v="294.49"/>
    <n v="22.74"/>
    <n v="0"/>
    <n v="23.59"/>
    <n v="0"/>
    <n v="0"/>
    <n v="0"/>
    <n v="388.68"/>
    <n v="0"/>
    <n v="0"/>
    <n v="0"/>
    <n v="0"/>
    <n v="0"/>
    <n v="0"/>
    <n v="0"/>
    <n v="0"/>
    <n v="0"/>
    <x v="2"/>
    <x v="0"/>
    <s v="41100                   "/>
    <x v="23"/>
    <x v="11"/>
    <x v="4"/>
  </r>
  <r>
    <x v="1"/>
    <x v="1"/>
    <x v="286"/>
    <x v="286"/>
    <n v="367.83"/>
    <n v="37.6"/>
    <n v="1371.48"/>
    <n v="97.42"/>
    <n v="12.98"/>
    <n v="58.43"/>
    <n v="0"/>
    <n v="916.92"/>
    <n v="89.17"/>
    <n v="12.98"/>
    <n v="275.52999999999997"/>
    <n v="828.29"/>
    <n v="934.74"/>
    <n v="709.7"/>
    <n v="1222.3599999999999"/>
    <n v="584.89"/>
    <n v="157.65"/>
    <n v="490.94"/>
    <n v="294.54000000000002"/>
    <n v="527.79"/>
    <n v="57.08"/>
    <n v="137.08000000000001"/>
    <n v="0"/>
    <n v="94.96"/>
    <n v="561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0.75"/>
    <n v="38.35"/>
    <n v="1398.91"/>
    <n v="99.37"/>
    <n v="13.24"/>
    <n v="59.6"/>
    <n v="0"/>
    <n v="926.45"/>
    <n v="90.95"/>
    <n v="13.24"/>
    <n v="281.04000000000002"/>
    <n v="844.86"/>
    <n v="1830.1"/>
    <n v="1206.83"/>
    <n v="0"/>
    <n v="0"/>
    <n v="0"/>
    <n v="0"/>
    <n v="0"/>
    <n v="1206.83"/>
    <n v="475.77"/>
    <n v="475.77"/>
    <n v="1830.1"/>
    <n v="417.6"/>
    <x v="2"/>
    <x v="0"/>
    <s v="41100                   "/>
    <x v="23"/>
    <x v="12"/>
    <x v="4"/>
  </r>
  <r>
    <x v="1"/>
    <x v="1"/>
    <x v="287"/>
    <x v="2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13"/>
    <x v="4"/>
  </r>
  <r>
    <x v="1"/>
    <x v="1"/>
    <x v="288"/>
    <x v="288"/>
    <n v="0"/>
    <n v="0"/>
    <n v="0"/>
    <n v="0"/>
    <n v="0"/>
    <n v="0"/>
    <n v="0"/>
    <n v="0"/>
    <n v="0"/>
    <n v="0"/>
    <n v="0"/>
    <n v="0"/>
    <n v="0"/>
    <n v="0"/>
    <n v="10.31"/>
    <n v="330.94"/>
    <n v="0"/>
    <n v="0"/>
    <n v="20.62"/>
    <n v="0"/>
    <n v="0"/>
    <n v="0"/>
    <n v="9.48"/>
    <n v="30.93"/>
    <n v="10.3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14"/>
    <x v="4"/>
  </r>
  <r>
    <x v="1"/>
    <x v="1"/>
    <x v="289"/>
    <x v="289"/>
    <n v="0"/>
    <n v="0"/>
    <n v="5.94"/>
    <n v="0"/>
    <n v="0"/>
    <n v="0"/>
    <n v="0"/>
    <n v="0"/>
    <n v="0"/>
    <n v="0"/>
    <n v="0"/>
    <n v="12.64"/>
    <n v="0"/>
    <n v="0"/>
    <n v="0"/>
    <n v="0"/>
    <n v="15.53"/>
    <n v="98.38"/>
    <n v="0"/>
    <n v="0"/>
    <n v="5.18"/>
    <n v="0"/>
    <n v="0"/>
    <n v="0"/>
    <n v="10.3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6.06"/>
    <n v="0"/>
    <n v="0"/>
    <n v="0"/>
    <n v="0"/>
    <n v="0"/>
    <n v="0"/>
    <n v="0"/>
    <n v="0"/>
    <n v="12.89"/>
    <n v="0"/>
    <n v="0"/>
    <n v="0"/>
    <n v="0"/>
    <n v="0"/>
    <n v="0"/>
    <n v="0"/>
    <n v="0"/>
    <n v="0"/>
    <n v="0"/>
    <n v="0"/>
    <n v="0"/>
    <x v="2"/>
    <x v="0"/>
    <s v="41100                   "/>
    <x v="23"/>
    <x v="15"/>
    <x v="4"/>
  </r>
  <r>
    <x v="1"/>
    <x v="1"/>
    <x v="290"/>
    <x v="290"/>
    <n v="0"/>
    <n v="0"/>
    <n v="0"/>
    <n v="0"/>
    <n v="0"/>
    <n v="0"/>
    <n v="275.52999999999997"/>
    <n v="0"/>
    <n v="0"/>
    <n v="0"/>
    <n v="0"/>
    <n v="0"/>
    <n v="0"/>
    <n v="0"/>
    <n v="0"/>
    <n v="0"/>
    <n v="55.73"/>
    <n v="0"/>
    <n v="0"/>
    <n v="0"/>
    <n v="65.73"/>
    <n v="32.86"/>
    <n v="0"/>
    <n v="32.88000000000000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.04000000000002"/>
    <n v="0"/>
    <n v="0"/>
    <n v="0"/>
    <n v="0"/>
    <n v="0"/>
    <n v="0"/>
    <n v="0"/>
    <n v="359.43"/>
    <n v="0"/>
    <n v="0"/>
    <n v="388.68"/>
    <n v="417.6"/>
    <n v="0"/>
    <n v="0"/>
    <n v="388.68"/>
    <n v="0"/>
    <n v="0"/>
    <x v="2"/>
    <x v="0"/>
    <s v="41100                   "/>
    <x v="23"/>
    <x v="16"/>
    <x v="4"/>
  </r>
  <r>
    <x v="1"/>
    <x v="1"/>
    <x v="291"/>
    <x v="291"/>
    <n v="0"/>
    <n v="0"/>
    <n v="0"/>
    <n v="0"/>
    <n v="0"/>
    <n v="3.79"/>
    <n v="0"/>
    <n v="0"/>
    <n v="0"/>
    <n v="0"/>
    <n v="0"/>
    <n v="0"/>
    <n v="0"/>
    <n v="21.42"/>
    <n v="50.43"/>
    <n v="11.39"/>
    <n v="22.75"/>
    <n v="0"/>
    <n v="0"/>
    <n v="0"/>
    <n v="0"/>
    <n v="0"/>
    <n v="42.86"/>
    <n v="0"/>
    <n v="21.4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17"/>
    <x v="4"/>
  </r>
  <r>
    <x v="1"/>
    <x v="1"/>
    <x v="292"/>
    <x v="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3"/>
    <x v="18"/>
    <x v="4"/>
  </r>
  <r>
    <x v="1"/>
    <x v="1"/>
    <x v="293"/>
    <x v="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24"/>
    <x v="3"/>
    <x v="4"/>
  </r>
  <r>
    <x v="1"/>
    <x v="1"/>
    <x v="293"/>
    <x v="293"/>
    <n v="6173.79"/>
    <n v="54.35"/>
    <n v="1649.08"/>
    <n v="3392.93"/>
    <n v="105.39"/>
    <n v="25.93"/>
    <n v="-255.89"/>
    <n v="-132.68"/>
    <n v="619.47"/>
    <n v="35.4"/>
    <n v="2708.92"/>
    <n v="0"/>
    <n v="4682.96"/>
    <n v="447.03"/>
    <n v="86.13"/>
    <n v="8.64"/>
    <n v="-431.49"/>
    <n v="100.31"/>
    <n v="64.67"/>
    <n v="481.26"/>
    <n v="351.51"/>
    <n v="35.409999999999997"/>
    <n v="11.15"/>
    <n v="43.22"/>
    <n v="358.6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73.79"/>
    <n v="54.35"/>
    <n v="1649.08"/>
    <n v="3392.93"/>
    <n v="105.39"/>
    <n v="25.93"/>
    <n v="-255.89"/>
    <n v="-132.68"/>
    <n v="619.47"/>
    <n v="35.4"/>
    <n v="2708.92"/>
    <n v="0"/>
    <n v="1787.82"/>
    <n v="455.22"/>
    <n v="210.91"/>
    <n v="188.7"/>
    <n v="188.7"/>
    <n v="288.64"/>
    <n v="188.7"/>
    <n v="188.7"/>
    <n v="214.41"/>
    <n v="339.17"/>
    <n v="339.17"/>
    <n v="330.56"/>
    <x v="2"/>
    <x v="0"/>
    <s v="41100                   "/>
    <x v="24"/>
    <x v="3"/>
    <x v="4"/>
  </r>
  <r>
    <x v="1"/>
    <x v="1"/>
    <x v="294"/>
    <x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4"/>
    <x v="4"/>
  </r>
  <r>
    <x v="1"/>
    <x v="1"/>
    <x v="295"/>
    <x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5"/>
    <x v="4"/>
  </r>
  <r>
    <x v="1"/>
    <x v="1"/>
    <x v="296"/>
    <x v="296"/>
    <n v="2187.42"/>
    <n v="866.17"/>
    <n v="0"/>
    <n v="143.76"/>
    <n v="94.18"/>
    <n v="0"/>
    <n v="-144.36000000000001"/>
    <n v="-37.909999999999997"/>
    <n v="0"/>
    <n v="22.28"/>
    <n v="4887.7299999999996"/>
    <n v="119.8"/>
    <n v="47.92"/>
    <n v="4468.4399999999996"/>
    <n v="63.53"/>
    <n v="35.94"/>
    <n v="35.94"/>
    <n v="0"/>
    <n v="0"/>
    <n v="53"/>
    <n v="-100.87"/>
    <n v="0"/>
    <n v="7356.13"/>
    <n v="161.21"/>
    <n v="-413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87.42"/>
    <n v="866.17"/>
    <n v="0"/>
    <n v="143.76"/>
    <n v="94.18"/>
    <n v="0"/>
    <n v="-144.36000000000001"/>
    <n v="-37.909999999999997"/>
    <n v="0"/>
    <n v="22.28"/>
    <n v="4887.7299999999996"/>
    <n v="119.8"/>
    <n v="216.4"/>
    <n v="192.54"/>
    <n v="192.54"/>
    <n v="192.54"/>
    <n v="192.54"/>
    <n v="192.54"/>
    <n v="192.54"/>
    <n v="192.54"/>
    <n v="192.54"/>
    <n v="192.54"/>
    <n v="192.54"/>
    <n v="192.54"/>
    <x v="2"/>
    <x v="0"/>
    <s v="41100                   "/>
    <x v="24"/>
    <x v="1"/>
    <x v="4"/>
  </r>
  <r>
    <x v="1"/>
    <x v="1"/>
    <x v="297"/>
    <x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7"/>
    <x v="4"/>
  </r>
  <r>
    <x v="1"/>
    <x v="1"/>
    <x v="298"/>
    <x v="298"/>
    <n v="0"/>
    <n v="0"/>
    <n v="0"/>
    <n v="2049.13"/>
    <n v="0"/>
    <n v="0.01"/>
    <n v="0"/>
    <n v="1872.47"/>
    <n v="-133.75"/>
    <n v="-111.46"/>
    <n v="4605.12"/>
    <n v="0"/>
    <n v="2407.46"/>
    <n v="0"/>
    <n v="27.3"/>
    <n v="0"/>
    <n v="-22.29"/>
    <n v="0"/>
    <n v="0"/>
    <n v="1114.1500000000001"/>
    <n v="157.72"/>
    <n v="193.8"/>
    <n v="32.299999999999997"/>
    <n v="351.69"/>
    <n v="7067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049.13"/>
    <n v="0"/>
    <n v="0.01"/>
    <n v="0"/>
    <n v="1872.47"/>
    <n v="-133.75"/>
    <n v="-111.46"/>
    <n v="4605.12"/>
    <n v="0"/>
    <n v="491.98"/>
    <n v="491.98"/>
    <n v="491.98"/>
    <n v="491.98"/>
    <n v="491.98"/>
    <n v="491.98"/>
    <n v="491.98"/>
    <n v="502.25"/>
    <n v="491.98"/>
    <n v="502.25"/>
    <n v="502.25"/>
    <n v="513.36"/>
    <x v="2"/>
    <x v="0"/>
    <s v="41100                   "/>
    <x v="24"/>
    <x v="8"/>
    <x v="4"/>
  </r>
  <r>
    <x v="1"/>
    <x v="1"/>
    <x v="299"/>
    <x v="299"/>
    <n v="0"/>
    <n v="31.56"/>
    <n v="0"/>
    <n v="0"/>
    <n v="0"/>
    <n v="23.43"/>
    <n v="0"/>
    <n v="10.52"/>
    <n v="21.67"/>
    <n v="0"/>
    <n v="0"/>
    <n v="0"/>
    <n v="10.31"/>
    <n v="0"/>
    <n v="0"/>
    <n v="0"/>
    <n v="0"/>
    <n v="0"/>
    <n v="11.98"/>
    <n v="80"/>
    <n v="57.18"/>
    <n v="0"/>
    <n v="0"/>
    <n v="111.68"/>
    <n v="143.2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1.56"/>
    <n v="0"/>
    <n v="0"/>
    <n v="0"/>
    <n v="23.43"/>
    <n v="0"/>
    <n v="10.52"/>
    <n v="21.67"/>
    <n v="0"/>
    <n v="0"/>
    <n v="0"/>
    <n v="45.53"/>
    <n v="45.53"/>
    <n v="45.53"/>
    <n v="45.53"/>
    <n v="45.53"/>
    <n v="45.53"/>
    <n v="45.53"/>
    <n v="45.53"/>
    <n v="45.53"/>
    <n v="45.53"/>
    <n v="45.53"/>
    <n v="45.53"/>
    <x v="2"/>
    <x v="0"/>
    <s v="41100                   "/>
    <x v="24"/>
    <x v="9"/>
    <x v="4"/>
  </r>
  <r>
    <x v="1"/>
    <x v="1"/>
    <x v="300"/>
    <x v="300"/>
    <n v="0"/>
    <n v="0"/>
    <n v="0"/>
    <n v="0"/>
    <n v="0"/>
    <n v="0"/>
    <n v="0"/>
    <n v="0"/>
    <n v="10.31"/>
    <n v="0"/>
    <n v="10.31"/>
    <n v="0"/>
    <n v="0"/>
    <n v="96.21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1"/>
    <n v="0"/>
    <n v="10.31"/>
    <n v="0"/>
    <n v="0"/>
    <n v="95.85"/>
    <n v="0"/>
    <n v="0"/>
    <n v="0"/>
    <n v="0"/>
    <n v="0"/>
    <n v="0"/>
    <n v="7.99"/>
    <n v="0"/>
    <n v="10.27"/>
    <n v="0"/>
    <x v="2"/>
    <x v="0"/>
    <s v="41100                   "/>
    <x v="24"/>
    <x v="10"/>
    <x v="4"/>
  </r>
  <r>
    <x v="1"/>
    <x v="1"/>
    <x v="301"/>
    <x v="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.98"/>
    <n v="69.38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7"/>
    <n v="21.37"/>
    <n v="21.37"/>
    <n v="21.37"/>
    <n v="21.37"/>
    <n v="21.37"/>
    <n v="21.37"/>
    <n v="21.37"/>
    <n v="21.37"/>
    <n v="21.37"/>
    <n v="21.37"/>
    <n v="21.37"/>
    <x v="2"/>
    <x v="0"/>
    <s v="41100                   "/>
    <x v="24"/>
    <x v="11"/>
    <x v="4"/>
  </r>
  <r>
    <x v="1"/>
    <x v="1"/>
    <x v="302"/>
    <x v="302"/>
    <n v="0"/>
    <n v="31.56"/>
    <n v="0"/>
    <n v="0"/>
    <n v="0"/>
    <n v="0"/>
    <n v="0"/>
    <n v="0"/>
    <n v="166.53"/>
    <n v="16.149999999999999"/>
    <n v="29.31"/>
    <n v="0"/>
    <n v="11.98"/>
    <n v="0"/>
    <n v="0"/>
    <n v="0"/>
    <n v="130.47"/>
    <n v="0"/>
    <n v="59.8"/>
    <n v="366.86"/>
    <n v="132.83000000000001"/>
    <n v="0"/>
    <n v="0"/>
    <n v="86.62"/>
    <n v="138.80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1.56"/>
    <n v="0"/>
    <n v="0"/>
    <n v="0"/>
    <n v="0"/>
    <n v="0"/>
    <n v="0"/>
    <n v="166.53"/>
    <n v="16.149999999999999"/>
    <n v="29.31"/>
    <n v="0"/>
    <n v="542.72"/>
    <n v="542.72"/>
    <n v="542.72"/>
    <n v="542.72"/>
    <n v="542.72"/>
    <n v="542.72"/>
    <n v="542.72"/>
    <n v="542.72"/>
    <n v="542.72"/>
    <n v="542.72"/>
    <n v="542.72"/>
    <n v="542.72"/>
    <x v="2"/>
    <x v="0"/>
    <s v="41100                   "/>
    <x v="24"/>
    <x v="12"/>
    <x v="4"/>
  </r>
  <r>
    <x v="1"/>
    <x v="1"/>
    <x v="303"/>
    <x v="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13"/>
    <x v="4"/>
  </r>
  <r>
    <x v="1"/>
    <x v="1"/>
    <x v="304"/>
    <x v="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14"/>
    <x v="4"/>
  </r>
  <r>
    <x v="1"/>
    <x v="1"/>
    <x v="305"/>
    <x v="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31.07"/>
    <n v="0"/>
    <n v="186.4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9"/>
    <n v="5.69"/>
    <n v="5.69"/>
    <n v="5.69"/>
    <n v="5.69"/>
    <n v="5.69"/>
    <n v="5.69"/>
    <n v="5.69"/>
    <n v="5.69"/>
    <n v="5.69"/>
    <n v="5.69"/>
    <n v="5.69"/>
    <x v="2"/>
    <x v="0"/>
    <s v="41100                   "/>
    <x v="24"/>
    <x v="15"/>
    <x v="4"/>
  </r>
  <r>
    <x v="1"/>
    <x v="1"/>
    <x v="306"/>
    <x v="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.07"/>
    <n v="0"/>
    <n v="0"/>
    <n v="33.43"/>
    <n v="-357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00                   "/>
    <x v="24"/>
    <x v="16"/>
    <x v="4"/>
  </r>
  <r>
    <x v="1"/>
    <x v="1"/>
    <x v="306"/>
    <x v="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849999999999994"/>
    <n v="69.849999999999994"/>
    <n v="69.849999999999994"/>
    <n v="69.849999999999994"/>
    <n v="69.849999999999994"/>
    <n v="69.849999999999994"/>
    <n v="69.849999999999994"/>
    <n v="69.849999999999994"/>
    <n v="69.849999999999994"/>
    <n v="69.849999999999994"/>
    <n v="69.849999999999994"/>
    <n v="69.849999999999994"/>
    <x v="2"/>
    <x v="0"/>
    <s v="41100                   "/>
    <x v="24"/>
    <x v="16"/>
    <x v="4"/>
  </r>
  <r>
    <x v="1"/>
    <x v="1"/>
    <x v="307"/>
    <x v="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04999999999999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00                   "/>
    <x v="24"/>
    <x v="18"/>
    <x v="4"/>
  </r>
  <r>
    <x v="1"/>
    <x v="1"/>
    <x v="308"/>
    <x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500"/>
    <n v="-12500"/>
    <n v="-12500"/>
    <n v="-12500"/>
    <n v="-12500"/>
    <n v="-12500"/>
    <n v="-12500"/>
    <n v="-12500"/>
    <n v="-12500"/>
    <n v="-12500"/>
    <n v="-12500"/>
    <n v="-12500"/>
    <x v="2"/>
    <x v="0"/>
    <s v="41101                   "/>
    <x v="11"/>
    <x v="4"/>
    <x v="10"/>
  </r>
  <r>
    <x v="1"/>
    <x v="1"/>
    <x v="309"/>
    <x v="309"/>
    <n v="0"/>
    <n v="0"/>
    <n v="0"/>
    <n v="11622"/>
    <n v="23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15                   "/>
    <x v="25"/>
    <x v="2"/>
    <x v="14"/>
  </r>
  <r>
    <x v="1"/>
    <x v="1"/>
    <x v="310"/>
    <x v="310"/>
    <n v="0"/>
    <n v="0"/>
    <n v="0"/>
    <n v="1385.1"/>
    <n v="0"/>
    <n v="0"/>
    <n v="0"/>
    <n v="0"/>
    <n v="1955.7"/>
    <n v="257.88"/>
    <n v="0"/>
    <n v="0"/>
    <n v="0"/>
    <n v="0"/>
    <n v="2928.02"/>
    <n v="0"/>
    <n v="0"/>
    <n v="-617.49"/>
    <n v="38.25"/>
    <n v="369.73"/>
    <n v="0"/>
    <n v="0"/>
    <n v="0"/>
    <n v="0"/>
    <n v="197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25                   "/>
    <x v="10"/>
    <x v="2"/>
    <x v="4"/>
  </r>
  <r>
    <x v="1"/>
    <x v="1"/>
    <x v="311"/>
    <x v="311"/>
    <n v="0"/>
    <n v="0"/>
    <n v="0"/>
    <n v="0"/>
    <n v="0"/>
    <n v="0"/>
    <n v="0"/>
    <n v="0"/>
    <n v="0"/>
    <n v="0"/>
    <n v="0"/>
    <n v="0"/>
    <n v="0"/>
    <n v="0"/>
    <n v="0"/>
    <n v="0"/>
    <n v="0"/>
    <n v="41544"/>
    <n v="50876"/>
    <n v="-1933"/>
    <n v="114.99"/>
    <n v="0"/>
    <n v="0"/>
    <n v="0"/>
    <n v="-90601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80750"/>
    <n v="0"/>
    <n v="0"/>
    <n v="0"/>
    <n v="0"/>
    <n v="0"/>
    <x v="3"/>
    <x v="0"/>
    <s v="41150                   "/>
    <x v="26"/>
    <x v="2"/>
    <x v="15"/>
  </r>
  <r>
    <x v="1"/>
    <x v="1"/>
    <x v="311"/>
    <x v="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50                   "/>
    <x v="26"/>
    <x v="2"/>
    <x v="15"/>
  </r>
  <r>
    <x v="1"/>
    <x v="1"/>
    <x v="312"/>
    <x v="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50                   "/>
    <x v="27"/>
    <x v="2"/>
    <x v="16"/>
  </r>
  <r>
    <x v="1"/>
    <x v="1"/>
    <x v="313"/>
    <x v="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60                   "/>
    <x v="25"/>
    <x v="2"/>
    <x v="2"/>
  </r>
  <r>
    <x v="1"/>
    <x v="1"/>
    <x v="313"/>
    <x v="313"/>
    <n v="62320"/>
    <n v="45907"/>
    <n v="14952"/>
    <n v="21737.4"/>
    <n v="18625"/>
    <n v="18909.599999999999"/>
    <n v="13083"/>
    <n v="11214"/>
    <n v="11214"/>
    <n v="77332.399999999994"/>
    <n v="7476"/>
    <n v="182566"/>
    <n v="400"/>
    <n v="0"/>
    <n v="153384"/>
    <n v="7476"/>
    <n v="204510.1"/>
    <n v="38855"/>
    <n v="12632.81"/>
    <n v="203461.46"/>
    <n v="-43131"/>
    <n v="226988"/>
    <n v="106441.5"/>
    <n v="130722"/>
    <n v="124536.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641.67"/>
    <n v="144641.67000000001"/>
    <n v="77141.67"/>
    <n v="9641.67"/>
    <n v="9641.67"/>
    <n v="77141.67"/>
    <n v="9641.67"/>
    <n v="9641.67"/>
    <n v="77141.67"/>
    <n v="9641.67"/>
    <n v="9641.67"/>
    <n v="227141.67"/>
    <n v="13014"/>
    <n v="8722"/>
    <n v="8722"/>
    <n v="2670"/>
    <n v="18710"/>
    <n v="1424"/>
    <n v="9576.4"/>
    <n v="5874"/>
    <n v="8722"/>
    <n v="8722"/>
    <n v="227670"/>
    <n v="7120"/>
    <x v="2"/>
    <x v="0"/>
    <s v="41160                   "/>
    <x v="25"/>
    <x v="2"/>
    <x v="14"/>
  </r>
  <r>
    <x v="1"/>
    <x v="1"/>
    <x v="314"/>
    <x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70                   "/>
    <x v="10"/>
    <x v="2"/>
    <x v="4"/>
  </r>
  <r>
    <x v="1"/>
    <x v="1"/>
    <x v="314"/>
    <x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70                   "/>
    <x v="10"/>
    <x v="2"/>
    <x v="4"/>
  </r>
  <r>
    <x v="1"/>
    <x v="1"/>
    <x v="315"/>
    <x v="315"/>
    <n v="0"/>
    <n v="0"/>
    <n v="0"/>
    <n v="0"/>
    <n v="0"/>
    <n v="0"/>
    <n v="0"/>
    <n v="0"/>
    <n v="0"/>
    <n v="0"/>
    <n v="0"/>
    <n v="0"/>
    <n v="7.05"/>
    <n v="35.090000000000003"/>
    <n v="48.57"/>
    <n v="28.93"/>
    <n v="5.64"/>
    <n v="14.88"/>
    <n v="5.64"/>
    <n v="34.57"/>
    <n v="42.62"/>
    <n v="7.05"/>
    <n v="1.41"/>
    <n v="45.81"/>
    <n v="-277.2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70                   "/>
    <x v="0"/>
    <x v="2"/>
    <x v="1"/>
  </r>
  <r>
    <x v="1"/>
    <x v="1"/>
    <x v="315"/>
    <x v="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0"/>
    <s v="41170                   "/>
    <x v="0"/>
    <x v="2"/>
    <x v="1"/>
  </r>
  <r>
    <x v="1"/>
    <x v="1"/>
    <x v="315"/>
    <x v="315"/>
    <n v="2704.5"/>
    <n v="797.21"/>
    <n v="2341"/>
    <n v="690.86"/>
    <n v="1283.08"/>
    <n v="424.29"/>
    <n v="1264.8399999999999"/>
    <n v="2134.8000000000002"/>
    <n v="-190.06"/>
    <n v="277.29000000000002"/>
    <n v="480.09"/>
    <n v="13426.12"/>
    <n v="-6748.02"/>
    <n v="472.44"/>
    <n v="-4122.53"/>
    <n v="-525.28"/>
    <n v="-1075.08"/>
    <n v="29.48"/>
    <n v="-5331.83"/>
    <n v="5018.82"/>
    <n v="-4472.4799999999996"/>
    <n v="5908.69"/>
    <n v="151.19"/>
    <n v="-134.47999999999999"/>
    <n v="24172.78"/>
    <n v="16523.9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70                   "/>
    <x v="0"/>
    <x v="2"/>
    <x v="1"/>
  </r>
  <r>
    <x v="1"/>
    <x v="1"/>
    <x v="316"/>
    <x v="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70                   "/>
    <x v="23"/>
    <x v="2"/>
    <x v="4"/>
  </r>
  <r>
    <x v="1"/>
    <x v="1"/>
    <x v="317"/>
    <x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70                   "/>
    <x v="24"/>
    <x v="2"/>
    <x v="4"/>
  </r>
  <r>
    <x v="1"/>
    <x v="1"/>
    <x v="318"/>
    <x v="318"/>
    <n v="2398"/>
    <n v="28809.52"/>
    <n v="6718"/>
    <n v="3687.33"/>
    <n v="98.4"/>
    <n v="6798.66"/>
    <n v="8320.9699999999993"/>
    <n v="8960.2199999999993"/>
    <n v="1176.25"/>
    <n v="0"/>
    <n v="3747.54"/>
    <n v="0"/>
    <n v="0"/>
    <n v="0"/>
    <n v="649.75"/>
    <n v="3296.5"/>
    <n v="37"/>
    <n v="0"/>
    <n v="-423"/>
    <n v="200"/>
    <n v="-58"/>
    <n v="0"/>
    <n v="0"/>
    <n v="0"/>
    <n v="-1352.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80                   "/>
    <x v="25"/>
    <x v="2"/>
    <x v="14"/>
  </r>
  <r>
    <x v="1"/>
    <x v="1"/>
    <x v="318"/>
    <x v="319"/>
    <n v="0"/>
    <n v="0"/>
    <n v="0"/>
    <n v="0"/>
    <n v="0"/>
    <n v="0"/>
    <n v="0"/>
    <n v="0"/>
    <n v="0"/>
    <n v="0"/>
    <n v="0"/>
    <n v="0"/>
    <n v="0"/>
    <n v="0"/>
    <n v="393.71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80                   "/>
    <x v="25"/>
    <x v="2"/>
    <x v="14"/>
  </r>
  <r>
    <x v="1"/>
    <x v="1"/>
    <x v="319"/>
    <x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100"/>
    <n v="150"/>
    <n v="1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180                   "/>
    <x v="20"/>
    <x v="2"/>
    <x v="9"/>
  </r>
  <r>
    <x v="1"/>
    <x v="1"/>
    <x v="319"/>
    <x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100"/>
    <n v="200"/>
    <n v="2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180                   "/>
    <x v="20"/>
    <x v="2"/>
    <x v="9"/>
  </r>
  <r>
    <x v="1"/>
    <x v="1"/>
    <x v="320"/>
    <x v="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00                   "/>
    <x v="10"/>
    <x v="2"/>
    <x v="9"/>
  </r>
  <r>
    <x v="1"/>
    <x v="1"/>
    <x v="321"/>
    <x v="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200                   "/>
    <x v="16"/>
    <x v="2"/>
    <x v="9"/>
  </r>
  <r>
    <x v="1"/>
    <x v="1"/>
    <x v="322"/>
    <x v="323"/>
    <n v="0"/>
    <n v="0"/>
    <n v="0"/>
    <n v="0"/>
    <n v="0"/>
    <n v="0"/>
    <n v="0"/>
    <n v="0"/>
    <n v="0"/>
    <n v="0"/>
    <n v="0"/>
    <n v="0"/>
    <n v="65.56"/>
    <n v="6.8"/>
    <n v="54.35"/>
    <n v="138.62"/>
    <n v="188.55"/>
    <n v="204.15"/>
    <n v="201.01"/>
    <n v="276.24"/>
    <n v="124.26"/>
    <n v="64.510000000000005"/>
    <n v="47.95"/>
    <n v="64.44"/>
    <n v="-1436.4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.5"/>
    <n v="97.46"/>
    <n v="136.74"/>
    <n v="624.70000000000005"/>
    <n v="278.72000000000003"/>
    <n v="42.05"/>
    <n v="206.92"/>
    <n v="203.23"/>
    <n v="50.35"/>
    <n v="22.5"/>
    <n v="38.85"/>
    <n v="22.5"/>
    <n v="65.56"/>
    <n v="100"/>
    <n v="100"/>
    <n v="150"/>
    <n v="200"/>
    <n v="204.15"/>
    <n v="200"/>
    <n v="111.4"/>
    <n v="100"/>
    <n v="50"/>
    <n v="50"/>
    <n v="50"/>
    <x v="3"/>
    <x v="0"/>
    <s v="41200                   "/>
    <x v="20"/>
    <x v="2"/>
    <x v="9"/>
  </r>
  <r>
    <x v="1"/>
    <x v="1"/>
    <x v="322"/>
    <x v="323"/>
    <n v="543.30999999999995"/>
    <n v="1400.18"/>
    <n v="1686.67"/>
    <n v="2017.64"/>
    <n v="2391.33"/>
    <n v="1095.17"/>
    <n v="2369.7600000000002"/>
    <n v="1574.75"/>
    <n v="1455.93"/>
    <n v="965.97"/>
    <n v="891.19"/>
    <n v="620.53"/>
    <n v="2190.17"/>
    <n v="1570.9"/>
    <n v="2404.63"/>
    <n v="3029.3"/>
    <n v="1329.7"/>
    <n v="1536.15"/>
    <n v="3230.75"/>
    <n v="-2859.48"/>
    <n v="1063.25"/>
    <n v="1346.49"/>
    <n v="803.86"/>
    <n v="1253.7"/>
    <n v="1247.76"/>
    <n v="929.9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9.61"/>
    <n v="1442.19"/>
    <n v="1737.27"/>
    <n v="2078.17"/>
    <n v="2463.0700000000002"/>
    <n v="1128.03"/>
    <n v="2440.85"/>
    <n v="1621.99"/>
    <n v="1499.61"/>
    <n v="994.95"/>
    <n v="917.93"/>
    <n v="639.15"/>
    <n v="2190.17"/>
    <n v="1570.9"/>
    <n v="2404.63"/>
    <n v="3029.3"/>
    <n v="1329.7"/>
    <n v="1536.15"/>
    <n v="2369.7600000000002"/>
    <n v="1574.75"/>
    <n v="1455.93"/>
    <n v="1265"/>
    <n v="891.19"/>
    <n v="920"/>
    <x v="2"/>
    <x v="0"/>
    <s v="41200                   "/>
    <x v="20"/>
    <x v="2"/>
    <x v="9"/>
  </r>
  <r>
    <x v="1"/>
    <x v="1"/>
    <x v="323"/>
    <x v="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10                   "/>
    <x v="20"/>
    <x v="2"/>
    <x v="9"/>
  </r>
  <r>
    <x v="1"/>
    <x v="1"/>
    <x v="323"/>
    <x v="324"/>
    <n v="0"/>
    <n v="0"/>
    <n v="0"/>
    <n v="75"/>
    <n v="0"/>
    <n v="0"/>
    <n v="0"/>
    <n v="0"/>
    <n v="50"/>
    <n v="0"/>
    <n v="-125"/>
    <n v="0"/>
    <n v="0"/>
    <n v="25"/>
    <n v="0"/>
    <n v="-25"/>
    <n v="0"/>
    <n v="72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0"/>
    <n v="-129"/>
    <n v="0"/>
    <n v="0"/>
    <n v="0"/>
    <n v="0"/>
    <n v="0"/>
    <n v="0"/>
    <n v="0"/>
    <n v="0"/>
    <n v="0"/>
    <n v="0"/>
    <n v="0"/>
    <n v="0"/>
    <n v="0"/>
    <x v="2"/>
    <x v="0"/>
    <s v="41210                   "/>
    <x v="20"/>
    <x v="2"/>
    <x v="9"/>
  </r>
  <r>
    <x v="1"/>
    <x v="1"/>
    <x v="324"/>
    <x v="325"/>
    <n v="0"/>
    <n v="0"/>
    <n v="0"/>
    <n v="0"/>
    <n v="0"/>
    <n v="0"/>
    <n v="0"/>
    <n v="0"/>
    <n v="0"/>
    <n v="0"/>
    <n v="0"/>
    <n v="0"/>
    <n v="62.78"/>
    <n v="144.15"/>
    <n v="290.10000000000002"/>
    <n v="440.55"/>
    <n v="441.35"/>
    <n v="206.96"/>
    <n v="55.71"/>
    <n v="75.16"/>
    <n v="4.42"/>
    <n v="7.11"/>
    <n v="45.94"/>
    <n v="1.77"/>
    <n v="-177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.9"/>
    <n v="95.01"/>
    <n v="113.2"/>
    <n v="400.69"/>
    <n v="662.3"/>
    <n v="260.95"/>
    <n v="171.81"/>
    <n v="202.52"/>
    <n v="8.85"/>
    <n v="75.19"/>
    <n v="20.34"/>
    <n v="18.579999999999998"/>
    <n v="62.78"/>
    <n v="144.15"/>
    <n v="290"/>
    <n v="440"/>
    <n v="441"/>
    <n v="206"/>
    <n v="163"/>
    <n v="115.87"/>
    <n v="50"/>
    <n v="75"/>
    <n v="50"/>
    <n v="50"/>
    <x v="3"/>
    <x v="0"/>
    <s v="41220                   "/>
    <x v="20"/>
    <x v="2"/>
    <x v="9"/>
  </r>
  <r>
    <x v="1"/>
    <x v="1"/>
    <x v="324"/>
    <x v="325"/>
    <n v="963.74"/>
    <n v="2177.0300000000002"/>
    <n v="2727.68"/>
    <n v="2950.45"/>
    <n v="3954.08"/>
    <n v="1774.76"/>
    <n v="1461.74"/>
    <n v="637.91999999999996"/>
    <n v="322.86"/>
    <n v="642.29"/>
    <n v="394.52"/>
    <n v="240.62"/>
    <n v="1286.81"/>
    <n v="3515.03"/>
    <n v="2471.9699999999998"/>
    <n v="3229.5"/>
    <n v="3687.7"/>
    <n v="2336.96"/>
    <n v="1605.95"/>
    <n v="728.18"/>
    <n v="370.62"/>
    <n v="642.33000000000004"/>
    <n v="727.34"/>
    <n v="306.11"/>
    <n v="1203.01"/>
    <n v="710.5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92.65"/>
    <n v="2242.34"/>
    <n v="2809.51"/>
    <n v="3038.96"/>
    <n v="4072.7"/>
    <n v="1828"/>
    <n v="1505.59"/>
    <n v="657.06"/>
    <n v="332.55"/>
    <n v="661.56"/>
    <n v="406.36"/>
    <n v="247.84"/>
    <n v="1286.81"/>
    <n v="3515.03"/>
    <n v="2471"/>
    <n v="3229.5"/>
    <n v="3687"/>
    <n v="2336"/>
    <n v="1461"/>
    <n v="637"/>
    <n v="625"/>
    <n v="642"/>
    <n v="697.32"/>
    <n v="240"/>
    <x v="2"/>
    <x v="0"/>
    <s v="41220                   "/>
    <x v="20"/>
    <x v="2"/>
    <x v="9"/>
  </r>
  <r>
    <x v="1"/>
    <x v="1"/>
    <x v="325"/>
    <x v="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25                   "/>
    <x v="20"/>
    <x v="2"/>
    <x v="9"/>
  </r>
  <r>
    <x v="1"/>
    <x v="1"/>
    <x v="325"/>
    <x v="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225                   "/>
    <x v="20"/>
    <x v="2"/>
    <x v="9"/>
  </r>
  <r>
    <x v="1"/>
    <x v="1"/>
    <x v="326"/>
    <x v="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30                   "/>
    <x v="20"/>
    <x v="2"/>
    <x v="9"/>
  </r>
  <r>
    <x v="1"/>
    <x v="1"/>
    <x v="326"/>
    <x v="327"/>
    <n v="0"/>
    <n v="0"/>
    <n v="288.73"/>
    <n v="53.1"/>
    <n v="1234.54"/>
    <n v="17.7"/>
    <n v="0"/>
    <n v="0"/>
    <n v="0"/>
    <n v="0"/>
    <n v="0"/>
    <n v="0"/>
    <n v="125"/>
    <n v="0"/>
    <n v="0"/>
    <n v="0"/>
    <n v="7949.83"/>
    <n v="-1756.88"/>
    <n v="0"/>
    <n v="0"/>
    <n v="0"/>
    <n v="0"/>
    <n v="75"/>
    <n v="175"/>
    <n v="15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97.39"/>
    <n v="54.69"/>
    <n v="1271.58"/>
    <n v="18.23"/>
    <n v="0"/>
    <n v="0"/>
    <n v="0"/>
    <n v="0"/>
    <n v="0"/>
    <n v="0"/>
    <n v="125"/>
    <n v="0"/>
    <n v="0"/>
    <n v="0"/>
    <n v="2000"/>
    <n v="6193"/>
    <n v="0"/>
    <n v="0"/>
    <n v="0"/>
    <n v="0"/>
    <n v="0"/>
    <n v="0"/>
    <x v="2"/>
    <x v="0"/>
    <s v="41230                   "/>
    <x v="20"/>
    <x v="2"/>
    <x v="9"/>
  </r>
  <r>
    <x v="1"/>
    <x v="1"/>
    <x v="327"/>
    <x v="328"/>
    <n v="0"/>
    <n v="0"/>
    <n v="0"/>
    <n v="0"/>
    <n v="0"/>
    <n v="0"/>
    <n v="0"/>
    <n v="0"/>
    <n v="0"/>
    <n v="0"/>
    <n v="0"/>
    <n v="0"/>
    <n v="0"/>
    <n v="0"/>
    <n v="0"/>
    <n v="0"/>
    <n v="-2"/>
    <n v="0"/>
    <n v="5580"/>
    <n v="1425"/>
    <n v="97.05"/>
    <n v="0"/>
    <n v="2659.07"/>
    <n v="-929.55"/>
    <n v="-8829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40                   "/>
    <x v="1"/>
    <x v="2"/>
    <x v="1"/>
  </r>
  <r>
    <x v="1"/>
    <x v="1"/>
    <x v="327"/>
    <x v="328"/>
    <n v="0"/>
    <n v="0"/>
    <n v="0"/>
    <n v="0"/>
    <n v="0"/>
    <n v="0"/>
    <n v="0"/>
    <n v="0"/>
    <n v="0"/>
    <n v="0"/>
    <n v="0"/>
    <n v="0"/>
    <n v="300"/>
    <n v="0"/>
    <n v="300"/>
    <n v="100"/>
    <n v="575"/>
    <n v="33819.42"/>
    <n v="-709.88"/>
    <n v="2006.88"/>
    <n v="5226.55"/>
    <n v="600"/>
    <n v="461.1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240                   "/>
    <x v="1"/>
    <x v="2"/>
    <x v="1"/>
  </r>
  <r>
    <x v="1"/>
    <x v="1"/>
    <x v="328"/>
    <x v="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40                   "/>
    <x v="28"/>
    <x v="2"/>
    <x v="1"/>
  </r>
  <r>
    <x v="1"/>
    <x v="1"/>
    <x v="328"/>
    <x v="329"/>
    <n v="240"/>
    <n v="681.25"/>
    <n v="2043.75"/>
    <n v="681.25"/>
    <n v="150"/>
    <n v="1362.5"/>
    <n v="1511.72"/>
    <n v="448"/>
    <n v="-19"/>
    <n v="0"/>
    <n v="0"/>
    <n v="15077.99"/>
    <n v="1599.9"/>
    <n v="0"/>
    <n v="3147.05"/>
    <n v="500"/>
    <n v="0"/>
    <n v="0"/>
    <n v="5583.26"/>
    <n v="711.75"/>
    <n v="771.75"/>
    <n v="771.75"/>
    <n v="771.75"/>
    <n v="11539.1"/>
    <n v="771.75"/>
    <n v="771.75"/>
    <x v="1"/>
    <x v="1"/>
    <x v="1"/>
    <x v="1"/>
    <x v="1"/>
    <x v="1"/>
    <x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1240                   "/>
    <x v="28"/>
    <x v="2"/>
    <x v="1"/>
  </r>
  <r>
    <x v="1"/>
    <x v="1"/>
    <x v="329"/>
    <x v="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1240                   "/>
    <x v="20"/>
    <x v="2"/>
    <x v="9"/>
  </r>
  <r>
    <x v="1"/>
    <x v="1"/>
    <x v="329"/>
    <x v="330"/>
    <n v="87"/>
    <n v="477"/>
    <n v="530"/>
    <n v="117"/>
    <n v="1047.69"/>
    <n v="1096"/>
    <n v="176"/>
    <n v="56.1"/>
    <n v="40"/>
    <n v="5464"/>
    <n v="61.95"/>
    <n v="77.88"/>
    <n v="-369.95"/>
    <n v="0"/>
    <n v="562"/>
    <n v="0"/>
    <n v="296"/>
    <n v="2175.4"/>
    <n v="400.27"/>
    <n v="409.56"/>
    <n v="314.64999999999998"/>
    <n v="5802.92"/>
    <n v="413.98"/>
    <n v="-60"/>
    <n v="358.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.61"/>
    <n v="491.31"/>
    <n v="545.9"/>
    <n v="120.51"/>
    <n v="1079.1199999999999"/>
    <n v="1128.8800000000001"/>
    <n v="181.28"/>
    <n v="57.78"/>
    <n v="41.2"/>
    <n v="5627.92"/>
    <n v="63.81"/>
    <n v="80.22"/>
    <n v="0"/>
    <n v="0"/>
    <n v="0"/>
    <n v="0"/>
    <n v="0"/>
    <n v="0"/>
    <n v="0"/>
    <n v="0"/>
    <n v="0"/>
    <n v="0"/>
    <n v="0"/>
    <n v="0"/>
    <x v="2"/>
    <x v="0"/>
    <s v="41240                   "/>
    <x v="20"/>
    <x v="2"/>
    <x v="9"/>
  </r>
  <r>
    <x v="1"/>
    <x v="1"/>
    <x v="330"/>
    <x v="331"/>
    <n v="1202.5999999999999"/>
    <n v="4731.45"/>
    <n v="0"/>
    <n v="2703.35"/>
    <n v="1742.1"/>
    <n v="0"/>
    <n v="11051.8"/>
    <n v="6119.65"/>
    <n v="0"/>
    <n v="0"/>
    <n v="933.5"/>
    <n v="14773.7"/>
    <n v="0"/>
    <n v="0"/>
    <n v="5434.8"/>
    <n v="0"/>
    <n v="0"/>
    <n v="16495.3"/>
    <n v="0"/>
    <n v="0"/>
    <n v="0"/>
    <n v="2279.4499999999998"/>
    <n v="0"/>
    <n v="-4947.850000000000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00                   "/>
    <x v="28"/>
    <x v="2"/>
    <x v="1"/>
  </r>
  <r>
    <x v="1"/>
    <x v="1"/>
    <x v="331"/>
    <x v="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10                   "/>
    <x v="28"/>
    <x v="2"/>
    <x v="1"/>
  </r>
  <r>
    <x v="1"/>
    <x v="1"/>
    <x v="332"/>
    <x v="333"/>
    <n v="0"/>
    <n v="45"/>
    <n v="0"/>
    <n v="0"/>
    <n v="0"/>
    <n v="440"/>
    <n v="759"/>
    <n v="0"/>
    <n v="0"/>
    <n v="30"/>
    <n v="0"/>
    <n v="76"/>
    <n v="0"/>
    <n v="0"/>
    <n v="0"/>
    <n v="0"/>
    <n v="0"/>
    <n v="40"/>
    <n v="83"/>
    <n v="0"/>
    <n v="220"/>
    <n v="0"/>
    <n v="0"/>
    <n v="12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20                   "/>
    <x v="28"/>
    <x v="2"/>
    <x v="1"/>
  </r>
  <r>
    <x v="1"/>
    <x v="1"/>
    <x v="333"/>
    <x v="334"/>
    <n v="0"/>
    <n v="0"/>
    <n v="0"/>
    <n v="0"/>
    <n v="0"/>
    <n v="0"/>
    <n v="0"/>
    <n v="0"/>
    <n v="546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30                   "/>
    <x v="28"/>
    <x v="2"/>
    <x v="1"/>
  </r>
  <r>
    <x v="1"/>
    <x v="1"/>
    <x v="334"/>
    <x v="335"/>
    <n v="58"/>
    <n v="23.95"/>
    <n v="48.8"/>
    <n v="55.5"/>
    <n v="0"/>
    <n v="54"/>
    <n v="0"/>
    <n v="15"/>
    <n v="138.4"/>
    <n v="0"/>
    <n v="15"/>
    <n v="13"/>
    <n v="144.19999999999999"/>
    <n v="0"/>
    <n v="81.8"/>
    <n v="39.6"/>
    <n v="19"/>
    <n v="14.5"/>
    <n v="62.5"/>
    <n v="59.2"/>
    <n v="92.8"/>
    <n v="15"/>
    <n v="0"/>
    <n v="19"/>
    <n v="1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40                   "/>
    <x v="28"/>
    <x v="2"/>
    <x v="1"/>
  </r>
  <r>
    <x v="1"/>
    <x v="1"/>
    <x v="335"/>
    <x v="336"/>
    <n v="0"/>
    <n v="0"/>
    <n v="0"/>
    <n v="430"/>
    <n v="75"/>
    <n v="3335"/>
    <n v="120.17"/>
    <n v="0"/>
    <n v="0"/>
    <n v="0"/>
    <n v="0"/>
    <n v="-126.16"/>
    <n v="450"/>
    <n v="0"/>
    <n v="-450"/>
    <n v="0"/>
    <n v="0"/>
    <n v="300"/>
    <n v="3011"/>
    <n v="0"/>
    <n v="0"/>
    <n v="0"/>
    <n v="425"/>
    <n v="1000"/>
    <n v="3000"/>
    <n v="200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50                   "/>
    <x v="28"/>
    <x v="2"/>
    <x v="1"/>
  </r>
  <r>
    <x v="1"/>
    <x v="1"/>
    <x v="336"/>
    <x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0"/>
    <s v="42160                   "/>
    <x v="28"/>
    <x v="2"/>
    <x v="1"/>
  </r>
  <r>
    <x v="1"/>
    <x v="1"/>
    <x v="336"/>
    <x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60                   "/>
    <x v="28"/>
    <x v="2"/>
    <x v="1"/>
  </r>
  <r>
    <x v="1"/>
    <x v="1"/>
    <x v="337"/>
    <x v="338"/>
    <n v="1627.5"/>
    <n v="0"/>
    <n v="0"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36.20000000000000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70                   "/>
    <x v="28"/>
    <x v="2"/>
    <x v="1"/>
  </r>
  <r>
    <x v="1"/>
    <x v="1"/>
    <x v="338"/>
    <x v="339"/>
    <n v="224.16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1.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80                   "/>
    <x v="28"/>
    <x v="2"/>
    <x v="1"/>
  </r>
  <r>
    <x v="1"/>
    <x v="1"/>
    <x v="339"/>
    <x v="340"/>
    <n v="0"/>
    <n v="0"/>
    <n v="0"/>
    <n v="0"/>
    <n v="0"/>
    <n v="0"/>
    <n v="1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190                   "/>
    <x v="28"/>
    <x v="2"/>
    <x v="1"/>
  </r>
  <r>
    <x v="1"/>
    <x v="1"/>
    <x v="340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25.0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200                   "/>
    <x v="29"/>
    <x v="2"/>
    <x v="17"/>
  </r>
  <r>
    <x v="1"/>
    <x v="1"/>
    <x v="341"/>
    <x v="342"/>
    <n v="1.31"/>
    <n v="4"/>
    <n v="185"/>
    <n v="4"/>
    <n v="0"/>
    <n v="0"/>
    <n v="0"/>
    <n v="0"/>
    <n v="115.5"/>
    <n v="0"/>
    <n v="0"/>
    <n v="0"/>
    <n v="8004"/>
    <n v="0"/>
    <n v="60"/>
    <n v="0"/>
    <n v="0"/>
    <n v="1.75"/>
    <n v="0"/>
    <n v="0"/>
    <n v="40.5"/>
    <n v="0"/>
    <n v="0"/>
    <n v="76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200                   "/>
    <x v="28"/>
    <x v="2"/>
    <x v="1"/>
  </r>
  <r>
    <x v="1"/>
    <x v="1"/>
    <x v="342"/>
    <x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0"/>
    <s v="42200                   "/>
    <x v="27"/>
    <x v="2"/>
    <x v="17"/>
  </r>
  <r>
    <x v="2"/>
    <x v="2"/>
    <x v="343"/>
    <x v="343"/>
    <n v="1023.63"/>
    <n v="975.2"/>
    <n v="1010.32"/>
    <n v="1208.3"/>
    <n v="2007.13"/>
    <n v="2612.8200000000002"/>
    <n v="1068.51"/>
    <n v="794.3"/>
    <n v="2273.04"/>
    <n v="5741.97"/>
    <n v="0"/>
    <n v="6630.68"/>
    <n v="0"/>
    <n v="0"/>
    <n v="692.31"/>
    <n v="0"/>
    <n v="0"/>
    <n v="0"/>
    <n v="0"/>
    <n v="0"/>
    <n v="0"/>
    <n v="6533.82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35.68"/>
    <n v="1437.14"/>
    <n v="1437.14"/>
    <n v="1437.14"/>
    <n v="1437.14"/>
    <n v="1634.08"/>
    <n v="1634.08"/>
    <n v="1634.08"/>
    <n v="1634.08"/>
    <n v="1199.5999999999999"/>
    <n v="1199.5999999999999"/>
    <n v="1335.68"/>
    <n v="0"/>
    <n v="3007.8"/>
    <n v="0"/>
    <n v="0"/>
    <n v="6768"/>
    <n v="0"/>
    <n v="0"/>
    <n v="3007.8"/>
    <n v="1934.4"/>
    <n v="0"/>
    <n v="1792.8"/>
    <n v="1036.8"/>
    <x v="2"/>
    <x v="1"/>
    <s v="61100                   "/>
    <x v="2"/>
    <x v="3"/>
    <x v="18"/>
  </r>
  <r>
    <x v="2"/>
    <x v="2"/>
    <x v="344"/>
    <x v="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4"/>
    <x v="18"/>
  </r>
  <r>
    <x v="2"/>
    <x v="2"/>
    <x v="345"/>
    <x v="345"/>
    <n v="0"/>
    <n v="0"/>
    <n v="0"/>
    <n v="0"/>
    <n v="1832.72"/>
    <n v="0"/>
    <n v="0"/>
    <n v="1832.72"/>
    <n v="0"/>
    <n v="0"/>
    <n v="0"/>
    <n v="1550.83"/>
    <n v="0"/>
    <n v="1550.83"/>
    <n v="0"/>
    <n v="0"/>
    <n v="0"/>
    <n v="1550.83"/>
    <n v="0"/>
    <n v="0"/>
    <n v="1899.51"/>
    <n v="0"/>
    <n v="1897.2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8"/>
    <n v="0"/>
    <n v="0"/>
    <n v="1548"/>
    <n v="0"/>
    <n v="0"/>
    <n v="1548"/>
    <n v="0"/>
    <n v="0"/>
    <n v="1548"/>
    <n v="0"/>
    <x v="2"/>
    <x v="1"/>
    <s v="61100                   "/>
    <x v="2"/>
    <x v="0"/>
    <x v="18"/>
  </r>
  <r>
    <x v="2"/>
    <x v="2"/>
    <x v="346"/>
    <x v="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5"/>
    <x v="18"/>
  </r>
  <r>
    <x v="2"/>
    <x v="2"/>
    <x v="347"/>
    <x v="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6"/>
    <x v="18"/>
  </r>
  <r>
    <x v="2"/>
    <x v="2"/>
    <x v="348"/>
    <x v="348"/>
    <n v="1177.23"/>
    <n v="1092.78"/>
    <n v="946.05"/>
    <n v="1540.19"/>
    <n v="1027.3599999999999"/>
    <n v="1683"/>
    <n v="939.12"/>
    <n v="718.32"/>
    <n v="1055.33"/>
    <n v="12798.95"/>
    <n v="0"/>
    <n v="2616.98"/>
    <n v="0"/>
    <n v="0"/>
    <n v="1346.7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59.6"/>
    <n v="1038.33"/>
    <n v="1038.33"/>
    <n v="1666.33"/>
    <n v="1038.33"/>
    <n v="2059.6"/>
    <n v="1884.41"/>
    <n v="1474.5"/>
    <n v="1038.33"/>
    <n v="411.92"/>
    <n v="532.35"/>
    <n v="532.35"/>
    <n v="0"/>
    <n v="642.6"/>
    <n v="0"/>
    <n v="0"/>
    <n v="0"/>
    <n v="0"/>
    <n v="0"/>
    <n v="642.6"/>
    <n v="0"/>
    <n v="0"/>
    <n v="0"/>
    <n v="0"/>
    <x v="2"/>
    <x v="1"/>
    <s v="61100                   "/>
    <x v="2"/>
    <x v="1"/>
    <x v="18"/>
  </r>
  <r>
    <x v="2"/>
    <x v="2"/>
    <x v="349"/>
    <x v="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7"/>
    <x v="18"/>
  </r>
  <r>
    <x v="2"/>
    <x v="2"/>
    <x v="350"/>
    <x v="350"/>
    <n v="0"/>
    <n v="0"/>
    <n v="7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8"/>
    <x v="18"/>
  </r>
  <r>
    <x v="2"/>
    <x v="2"/>
    <x v="351"/>
    <x v="351"/>
    <n v="358.07"/>
    <n v="397.85"/>
    <n v="484.25"/>
    <n v="716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9"/>
    <x v="18"/>
  </r>
  <r>
    <x v="2"/>
    <x v="2"/>
    <x v="352"/>
    <x v="352"/>
    <n v="310.20999999999998"/>
    <n v="404.24"/>
    <n v="316.2"/>
    <n v="316.2"/>
    <n v="281.33999999999997"/>
    <n v="152.19"/>
    <n v="970.78"/>
    <n v="539.9"/>
    <n v="469.99"/>
    <n v="7431.8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10"/>
    <x v="18"/>
  </r>
  <r>
    <x v="2"/>
    <x v="2"/>
    <x v="353"/>
    <x v="353"/>
    <n v="0"/>
    <n v="0"/>
    <n v="0"/>
    <n v="0"/>
    <n v="0"/>
    <n v="159.69999999999999"/>
    <n v="1089.81"/>
    <n v="3401.05"/>
    <n v="237.21"/>
    <n v="9969.58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62.6400000000001"/>
    <n v="1162.6400000000001"/>
    <n v="1162.6400000000001"/>
    <n v="1162.6400000000001"/>
    <n v="1550.18"/>
    <n v="2325.2800000000002"/>
    <n v="3875.46"/>
    <n v="2712.82"/>
    <n v="1162.6400000000001"/>
    <n v="775.09"/>
    <n v="1162.6400000000001"/>
    <n v="1162.6400000000001"/>
    <n v="0"/>
    <n v="0"/>
    <n v="0"/>
    <n v="0"/>
    <n v="0"/>
    <n v="0"/>
    <n v="0"/>
    <n v="0"/>
    <n v="0"/>
    <n v="0"/>
    <n v="0"/>
    <n v="0"/>
    <x v="2"/>
    <x v="1"/>
    <s v="61100                   "/>
    <x v="2"/>
    <x v="11"/>
    <x v="18"/>
  </r>
  <r>
    <x v="2"/>
    <x v="2"/>
    <x v="354"/>
    <x v="354"/>
    <n v="755.53"/>
    <n v="755.53"/>
    <n v="661.08"/>
    <n v="1038.8399999999999"/>
    <n v="944.4"/>
    <n v="1520.46"/>
    <n v="1185.3599999999999"/>
    <n v="937.92"/>
    <n v="1345.72"/>
    <n v="1998.19"/>
    <n v="0"/>
    <n v="3798.88"/>
    <n v="0"/>
    <n v="0"/>
    <n v="7597.76"/>
    <n v="0"/>
    <n v="0"/>
    <n v="0"/>
    <n v="0"/>
    <n v="0"/>
    <n v="992.16"/>
    <n v="3450.4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04.5"/>
    <n v="904.5"/>
    <n v="904.5"/>
    <n v="904.5"/>
    <n v="904.5"/>
    <n v="1582.87"/>
    <n v="2035.11"/>
    <n v="2261.2399999999998"/>
    <n v="1808.99"/>
    <n v="678.37"/>
    <n v="904.5"/>
    <n v="904.5"/>
    <n v="0"/>
    <n v="3411"/>
    <n v="0"/>
    <n v="0"/>
    <n v="3411"/>
    <n v="0"/>
    <n v="0"/>
    <n v="3411"/>
    <n v="0"/>
    <n v="0"/>
    <n v="3411"/>
    <n v="0"/>
    <x v="2"/>
    <x v="1"/>
    <s v="61100                   "/>
    <x v="2"/>
    <x v="12"/>
    <x v="18"/>
  </r>
  <r>
    <x v="2"/>
    <x v="2"/>
    <x v="355"/>
    <x v="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13"/>
    <x v="18"/>
  </r>
  <r>
    <x v="2"/>
    <x v="2"/>
    <x v="356"/>
    <x v="356"/>
    <n v="0"/>
    <n v="3285.99"/>
    <n v="112.96"/>
    <n v="0"/>
    <n v="0"/>
    <n v="0"/>
    <n v="0"/>
    <n v="566.54999999999995"/>
    <n v="0"/>
    <n v="0"/>
    <n v="0"/>
    <n v="0"/>
    <n v="0"/>
    <n v="0"/>
    <n v="0"/>
    <n v="0"/>
    <n v="0"/>
    <n v="0"/>
    <n v="0"/>
    <n v="0"/>
    <n v="0"/>
    <n v="1050.369999999999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.5999999999999"/>
    <n v="0"/>
    <n v="0"/>
    <n v="0"/>
    <n v="0"/>
    <n v="0"/>
    <n v="1074.5999999999999"/>
    <n v="0"/>
    <n v="0"/>
    <n v="0"/>
    <n v="0"/>
    <x v="2"/>
    <x v="1"/>
    <s v="61100                   "/>
    <x v="2"/>
    <x v="14"/>
    <x v="18"/>
  </r>
  <r>
    <x v="2"/>
    <x v="2"/>
    <x v="357"/>
    <x v="357"/>
    <n v="194.17"/>
    <n v="130.71"/>
    <n v="0"/>
    <n v="228.43"/>
    <n v="0"/>
    <n v="0"/>
    <n v="131.97"/>
    <n v="0"/>
    <n v="31.73"/>
    <n v="3134.69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27.27999999999997"/>
    <n v="327.27999999999997"/>
    <n v="327.27999999999997"/>
    <n v="327.27999999999997"/>
    <n v="327.27999999999997"/>
    <n v="327.27999999999997"/>
    <n v="327.27999999999997"/>
    <n v="327.27999999999997"/>
    <n v="327.27999999999997"/>
    <n v="327.27999999999997"/>
    <n v="327.27999999999997"/>
    <n v="327.27999999999997"/>
    <n v="0"/>
    <n v="0"/>
    <n v="0"/>
    <n v="0"/>
    <n v="0"/>
    <n v="0"/>
    <n v="0"/>
    <n v="0"/>
    <n v="0"/>
    <n v="0"/>
    <n v="0"/>
    <n v="0"/>
    <x v="2"/>
    <x v="1"/>
    <s v="61100                   "/>
    <x v="2"/>
    <x v="15"/>
    <x v="18"/>
  </r>
  <r>
    <x v="2"/>
    <x v="2"/>
    <x v="358"/>
    <x v="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16"/>
    <x v="18"/>
  </r>
  <r>
    <x v="2"/>
    <x v="2"/>
    <x v="359"/>
    <x v="359"/>
    <n v="228.39"/>
    <n v="97.93"/>
    <n v="65.23"/>
    <n v="65.23"/>
    <n v="163.16"/>
    <n v="32.71"/>
    <n v="65.23"/>
    <n v="32.71"/>
    <n v="162.97999999999999"/>
    <n v="1367.54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17"/>
    <x v="18"/>
  </r>
  <r>
    <x v="2"/>
    <x v="2"/>
    <x v="360"/>
    <x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"/>
    <x v="18"/>
    <x v="18"/>
  </r>
  <r>
    <x v="2"/>
    <x v="2"/>
    <x v="361"/>
    <x v="361"/>
    <n v="187.73"/>
    <n v="0"/>
    <n v="248.81"/>
    <n v="166.51"/>
    <n v="-160.06"/>
    <n v="979.15"/>
    <n v="22.41"/>
    <n v="831.59"/>
    <n v="70.680000000000007"/>
    <n v="156.96"/>
    <n v="476.96"/>
    <n v="32.68"/>
    <n v="139.32"/>
    <n v="82.17"/>
    <n v="418.18"/>
    <n v="76.12"/>
    <n v="79.239999999999995"/>
    <n v="244.36"/>
    <n v="108.68"/>
    <n v="861"/>
    <n v="863.55"/>
    <n v="0"/>
    <n v="0"/>
    <n v="73.959999999999994"/>
    <n v="932.7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7.73"/>
    <n v="0"/>
    <n v="248.81"/>
    <n v="166.51"/>
    <n v="-160.06"/>
    <n v="979.15"/>
    <n v="22.41"/>
    <n v="831.59"/>
    <n v="70.680000000000007"/>
    <n v="156.96"/>
    <n v="476.96"/>
    <n v="32.68"/>
    <n v="57.52"/>
    <n v="184.1"/>
    <n v="424.4"/>
    <n v="82.11"/>
    <n v="465.79"/>
    <n v="719.76"/>
    <n v="1361.66"/>
    <n v="901.59"/>
    <n v="487.98"/>
    <n v="163.4"/>
    <n v="146.71"/>
    <n v="324.69"/>
    <x v="2"/>
    <x v="1"/>
    <s v="61100                   "/>
    <x v="3"/>
    <x v="3"/>
    <x v="19"/>
  </r>
  <r>
    <x v="2"/>
    <x v="2"/>
    <x v="362"/>
    <x v="362"/>
    <n v="747.45"/>
    <n v="763.33"/>
    <n v="1351.82"/>
    <n v="395.19"/>
    <n v="355.47"/>
    <n v="1000.78"/>
    <n v="586.58000000000004"/>
    <n v="995.55"/>
    <n v="629.28"/>
    <n v="581.08000000000004"/>
    <n v="0"/>
    <n v="352.55"/>
    <n v="0"/>
    <n v="988.24"/>
    <n v="684.45"/>
    <n v="709.28"/>
    <n v="907.98"/>
    <n v="324.12"/>
    <n v="783.44"/>
    <n v="1134.48"/>
    <n v="1946.23"/>
    <n v="824.2"/>
    <n v="700.19"/>
    <n v="913.3"/>
    <n v="946.5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47.45"/>
    <n v="763.33"/>
    <n v="1351.82"/>
    <n v="395.19"/>
    <n v="355.47"/>
    <n v="1000.78"/>
    <n v="586.58000000000004"/>
    <n v="995.55"/>
    <n v="629.28"/>
    <n v="581.08000000000004"/>
    <n v="0"/>
    <n v="352.55"/>
    <n v="2214.16"/>
    <n v="3461.27"/>
    <n v="2287.4699999999998"/>
    <n v="3744.62"/>
    <n v="2578.92"/>
    <n v="4305.79"/>
    <n v="3037.92"/>
    <n v="3490.98"/>
    <n v="4351.45"/>
    <n v="1485.21"/>
    <n v="2703"/>
    <n v="2272.8000000000002"/>
    <x v="2"/>
    <x v="1"/>
    <s v="61100                   "/>
    <x v="3"/>
    <x v="4"/>
    <x v="19"/>
  </r>
  <r>
    <x v="2"/>
    <x v="2"/>
    <x v="363"/>
    <x v="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0"/>
    <x v="19"/>
  </r>
  <r>
    <x v="2"/>
    <x v="2"/>
    <x v="364"/>
    <x v="3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5"/>
    <x v="19"/>
  </r>
  <r>
    <x v="2"/>
    <x v="2"/>
    <x v="365"/>
    <x v="365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6"/>
    <x v="19"/>
  </r>
  <r>
    <x v="2"/>
    <x v="2"/>
    <x v="366"/>
    <x v="366"/>
    <n v="253.28"/>
    <n v="0.01"/>
    <n v="47.79"/>
    <n v="0"/>
    <n v="85.35"/>
    <n v="356.06"/>
    <n v="73.59"/>
    <n v="128.29"/>
    <n v="580.63"/>
    <n v="79.34"/>
    <n v="45.1"/>
    <n v="105.23"/>
    <n v="168.97"/>
    <n v="206.91"/>
    <n v="84.3"/>
    <n v="-0.01"/>
    <n v="20.22"/>
    <n v="277.98"/>
    <n v="84.14"/>
    <n v="-0.01"/>
    <n v="696.78"/>
    <n v="85.09"/>
    <n v="41.37"/>
    <n v="126.5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3.28"/>
    <n v="0.01"/>
    <n v="47.79"/>
    <n v="0"/>
    <n v="85.35"/>
    <n v="356.06"/>
    <n v="73.59"/>
    <n v="128.29"/>
    <n v="580.63"/>
    <n v="79.34"/>
    <n v="45.1"/>
    <n v="105.23"/>
    <n v="165.34"/>
    <n v="287.48"/>
    <n v="207"/>
    <n v="172.72"/>
    <n v="0"/>
    <n v="256.05"/>
    <n v="236.83"/>
    <n v="252.28"/>
    <n v="718.32"/>
    <n v="60.34"/>
    <n v="101.69"/>
    <n v="92.7"/>
    <x v="2"/>
    <x v="1"/>
    <s v="61100                   "/>
    <x v="3"/>
    <x v="1"/>
    <x v="19"/>
  </r>
  <r>
    <x v="2"/>
    <x v="2"/>
    <x v="367"/>
    <x v="367"/>
    <n v="0"/>
    <n v="0"/>
    <n v="0"/>
    <n v="0"/>
    <n v="0"/>
    <n v="0"/>
    <n v="0"/>
    <n v="0"/>
    <n v="0"/>
    <n v="0"/>
    <n v="0"/>
    <n v="0"/>
    <n v="0"/>
    <n v="0"/>
    <n v="76.099999999999994"/>
    <n v="0"/>
    <n v="0"/>
    <n v="40.549999999999997"/>
    <n v="39.520000000000003"/>
    <n v="40.549999999999997"/>
    <n v="0"/>
    <n v="0"/>
    <n v="81.09"/>
    <n v="81.09"/>
    <n v="-358.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3"/>
    <x v="7"/>
    <x v="19"/>
  </r>
  <r>
    <x v="2"/>
    <x v="2"/>
    <x v="367"/>
    <x v="367"/>
    <n v="439.65"/>
    <n v="42.97"/>
    <n v="85.94"/>
    <n v="142.31"/>
    <n v="214.85"/>
    <n v="116.64"/>
    <n v="118.56"/>
    <n v="79.040000000000006"/>
    <n v="194.83"/>
    <n v="160.61000000000001"/>
    <n v="0"/>
    <n v="118.2"/>
    <n v="63.08"/>
    <n v="94.62"/>
    <n v="672.48"/>
    <n v="261.8"/>
    <n v="224.41"/>
    <n v="374.41"/>
    <n v="76.23"/>
    <n v="152.68"/>
    <n v="0"/>
    <n v="190.84"/>
    <n v="157.99"/>
    <n v="68.069999999999993"/>
    <n v="99.5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9.65"/>
    <n v="42.97"/>
    <n v="85.94"/>
    <n v="142.31"/>
    <n v="214.85"/>
    <n v="116.64"/>
    <n v="118.56"/>
    <n v="79.040000000000006"/>
    <n v="194.83"/>
    <n v="160.61000000000001"/>
    <n v="0"/>
    <n v="118.2"/>
    <n v="532.76"/>
    <n v="423.48"/>
    <n v="876.4"/>
    <n v="552.01"/>
    <n v="313.02"/>
    <n v="807.52"/>
    <n v="332.09"/>
    <n v="583.86"/>
    <n v="956.79"/>
    <n v="326.63"/>
    <n v="243.86"/>
    <n v="527.78"/>
    <x v="2"/>
    <x v="1"/>
    <s v="61100                   "/>
    <x v="3"/>
    <x v="7"/>
    <x v="19"/>
  </r>
  <r>
    <x v="2"/>
    <x v="2"/>
    <x v="368"/>
    <x v="368"/>
    <n v="122.35"/>
    <n v="418.24"/>
    <n v="1068.3699999999999"/>
    <n v="1340.43"/>
    <n v="341.86"/>
    <n v="110.49"/>
    <n v="201.11"/>
    <n v="858.43"/>
    <n v="920.29"/>
    <n v="174.13"/>
    <n v="200.43"/>
    <n v="133.61000000000001"/>
    <n v="174.43"/>
    <n v="306.81"/>
    <n v="924.28"/>
    <n v="1220.26"/>
    <n v="513.52"/>
    <n v="118.69"/>
    <n v="300.60000000000002"/>
    <n v="544.28"/>
    <n v="1272.21"/>
    <n v="95.37"/>
    <n v="95.37"/>
    <n v="678.18"/>
    <n v="443.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2.35"/>
    <n v="418.24"/>
    <n v="1068.3699999999999"/>
    <n v="1340.43"/>
    <n v="341.86"/>
    <n v="110.49"/>
    <n v="201.11"/>
    <n v="858.43"/>
    <n v="920.29"/>
    <n v="174.13"/>
    <n v="200.43"/>
    <n v="133.61000000000001"/>
    <n v="710.53"/>
    <n v="373.35"/>
    <n v="326.02"/>
    <n v="1548.1"/>
    <n v="569"/>
    <n v="142.57"/>
    <n v="281.86"/>
    <n v="1749.09"/>
    <n v="2389.27"/>
    <n v="191.28"/>
    <n v="245.18"/>
    <n v="148.69999999999999"/>
    <x v="2"/>
    <x v="1"/>
    <s v="61100                   "/>
    <x v="3"/>
    <x v="8"/>
    <x v="19"/>
  </r>
  <r>
    <x v="2"/>
    <x v="2"/>
    <x v="369"/>
    <x v="369"/>
    <n v="78.849999999999994"/>
    <n v="0"/>
    <n v="0.01"/>
    <n v="0"/>
    <n v="0"/>
    <n v="34.31"/>
    <n v="0"/>
    <n v="0"/>
    <n v="5.86"/>
    <n v="0"/>
    <n v="0"/>
    <n v="0"/>
    <n v="0"/>
    <n v="0"/>
    <n v="615.1"/>
    <n v="-0.01"/>
    <n v="0"/>
    <n v="38.69"/>
    <n v="0"/>
    <n v="73.569999999999993"/>
    <n v="87.08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8.849999999999994"/>
    <n v="0"/>
    <n v="0.01"/>
    <n v="0"/>
    <n v="0"/>
    <n v="34.31"/>
    <n v="0"/>
    <n v="0"/>
    <n v="5.86"/>
    <n v="0"/>
    <n v="0"/>
    <n v="0"/>
    <n v="116.58"/>
    <n v="63.39"/>
    <n v="463.41"/>
    <n v="75.849999999999994"/>
    <n v="5.39"/>
    <n v="156.84"/>
    <n v="84.89"/>
    <n v="638.30999999999995"/>
    <n v="8.32"/>
    <n v="31.7"/>
    <n v="0"/>
    <n v="31.7"/>
    <x v="2"/>
    <x v="1"/>
    <s v="61100                   "/>
    <x v="3"/>
    <x v="9"/>
    <x v="19"/>
  </r>
  <r>
    <x v="2"/>
    <x v="2"/>
    <x v="370"/>
    <x v="370"/>
    <n v="199.32"/>
    <n v="0"/>
    <n v="0"/>
    <n v="0"/>
    <n v="13.71"/>
    <n v="0"/>
    <n v="137.62"/>
    <n v="0"/>
    <n v="93.84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9.32"/>
    <n v="0"/>
    <n v="0"/>
    <n v="0"/>
    <n v="13.71"/>
    <n v="0"/>
    <n v="137.62"/>
    <n v="0"/>
    <n v="93.84"/>
    <n v="0"/>
    <n v="0"/>
    <n v="0"/>
    <n v="0"/>
    <n v="0"/>
    <n v="0"/>
    <n v="0"/>
    <n v="0"/>
    <n v="0"/>
    <n v="0"/>
    <n v="0"/>
    <n v="103.44"/>
    <n v="0"/>
    <n v="0"/>
    <n v="0"/>
    <x v="2"/>
    <x v="1"/>
    <s v="61100                   "/>
    <x v="3"/>
    <x v="10"/>
    <x v="19"/>
  </r>
  <r>
    <x v="2"/>
    <x v="2"/>
    <x v="371"/>
    <x v="371"/>
    <n v="0"/>
    <n v="0"/>
    <n v="0"/>
    <n v="0"/>
    <n v="137.44"/>
    <n v="72.84"/>
    <n v="63.35"/>
    <n v="77.510000000000005"/>
    <n v="117.06"/>
    <n v="310.04000000000002"/>
    <n v="0"/>
    <n v="36.42"/>
    <n v="0"/>
    <n v="0"/>
    <n v="355.69"/>
    <n v="318.83999999999997"/>
    <n v="270.7"/>
    <n v="34.58"/>
    <n v="275.99"/>
    <n v="278.08"/>
    <n v="72.84"/>
    <n v="71.25"/>
    <n v="108.04"/>
    <n v="303.27999999999997"/>
    <n v="136.0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37.44"/>
    <n v="72.84"/>
    <n v="63.35"/>
    <n v="77.510000000000005"/>
    <n v="117.06"/>
    <n v="310.04000000000002"/>
    <n v="0"/>
    <n v="36.42"/>
    <n v="122.31"/>
    <n v="214.05"/>
    <n v="636.70000000000005"/>
    <n v="611.57000000000005"/>
    <n v="534.66999999999996"/>
    <n v="550.41999999999996"/>
    <n v="494.38"/>
    <n v="237.36"/>
    <n v="304.64999999999998"/>
    <n v="582.48"/>
    <n v="183.47"/>
    <n v="240.99"/>
    <x v="2"/>
    <x v="1"/>
    <s v="61100                   "/>
    <x v="3"/>
    <x v="11"/>
    <x v="19"/>
  </r>
  <r>
    <x v="2"/>
    <x v="2"/>
    <x v="372"/>
    <x v="372"/>
    <n v="0"/>
    <n v="0"/>
    <n v="0"/>
    <n v="0"/>
    <n v="0"/>
    <n v="77.44"/>
    <n v="0"/>
    <n v="0"/>
    <n v="130.80000000000001"/>
    <n v="0"/>
    <n v="25.96"/>
    <n v="25.96"/>
    <n v="0"/>
    <n v="51.92"/>
    <n v="51.92"/>
    <n v="0"/>
    <n v="0"/>
    <n v="25.96"/>
    <n v="45.09"/>
    <n v="0"/>
    <n v="0"/>
    <n v="0"/>
    <n v="0"/>
    <n v="0"/>
    <n v="155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77.44"/>
    <n v="0"/>
    <n v="0"/>
    <n v="130.80000000000001"/>
    <n v="0"/>
    <n v="25.96"/>
    <n v="25.96"/>
    <n v="0"/>
    <n v="61.8"/>
    <n v="61.8"/>
    <n v="0"/>
    <n v="0"/>
    <n v="30.9"/>
    <n v="0"/>
    <n v="0"/>
    <n v="188.19"/>
    <n v="0"/>
    <n v="30.9"/>
    <n v="30.9"/>
    <x v="2"/>
    <x v="1"/>
    <s v="61100                   "/>
    <x v="3"/>
    <x v="12"/>
    <x v="19"/>
  </r>
  <r>
    <x v="2"/>
    <x v="2"/>
    <x v="373"/>
    <x v="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13"/>
    <x v="19"/>
  </r>
  <r>
    <x v="2"/>
    <x v="2"/>
    <x v="374"/>
    <x v="374"/>
    <n v="0"/>
    <n v="0"/>
    <n v="0"/>
    <n v="0"/>
    <n v="0"/>
    <n v="0"/>
    <n v="10573.58"/>
    <n v="0"/>
    <n v="6289.83"/>
    <n v="164.59"/>
    <n v="-0.01"/>
    <n v="0"/>
    <n v="0"/>
    <n v="0"/>
    <n v="4724.2"/>
    <n v="0"/>
    <n v="3.53"/>
    <n v="-0.01"/>
    <n v="0"/>
    <n v="0"/>
    <n v="12148.31"/>
    <n v="729.7"/>
    <n v="0"/>
    <n v="242.75"/>
    <n v="705.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73.58"/>
    <n v="0"/>
    <n v="6289.83"/>
    <n v="164.59"/>
    <n v="-0.01"/>
    <n v="0"/>
    <n v="0"/>
    <n v="0"/>
    <n v="4286.72"/>
    <n v="9263.32"/>
    <n v="4.26"/>
    <n v="0"/>
    <n v="230.15"/>
    <n v="0"/>
    <n v="8068.96"/>
    <n v="399.52"/>
    <n v="116.77"/>
    <n v="0"/>
    <x v="2"/>
    <x v="1"/>
    <s v="61100                   "/>
    <x v="3"/>
    <x v="14"/>
    <x v="19"/>
  </r>
  <r>
    <x v="2"/>
    <x v="2"/>
    <x v="375"/>
    <x v="375"/>
    <n v="-0.01"/>
    <n v="0"/>
    <n v="0"/>
    <n v="0"/>
    <n v="10.57"/>
    <n v="0"/>
    <n v="0"/>
    <n v="0"/>
    <n v="0"/>
    <n v="0"/>
    <n v="0"/>
    <n v="0"/>
    <n v="0"/>
    <n v="-0.01"/>
    <n v="0"/>
    <n v="0"/>
    <n v="0.01"/>
    <n v="0"/>
    <n v="0"/>
    <n v="0"/>
    <n v="0"/>
    <n v="0"/>
    <n v="0"/>
    <n v="0"/>
    <n v="36.04999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0.01"/>
    <n v="0"/>
    <n v="0"/>
    <n v="0"/>
    <n v="10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15"/>
    <x v="19"/>
  </r>
  <r>
    <x v="2"/>
    <x v="2"/>
    <x v="376"/>
    <x v="376"/>
    <n v="0"/>
    <n v="0"/>
    <n v="0"/>
    <n v="0"/>
    <n v="0"/>
    <n v="0"/>
    <n v="0"/>
    <n v="0"/>
    <n v="0"/>
    <n v="0"/>
    <n v="0"/>
    <n v="0"/>
    <n v="-0.06"/>
    <n v="0"/>
    <n v="0"/>
    <n v="0"/>
    <n v="0"/>
    <n v="0"/>
    <n v="0"/>
    <n v="0"/>
    <n v="465.78"/>
    <n v="0"/>
    <n v="0"/>
    <n v="32.4"/>
    <n v="-498.1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3"/>
    <x v="16"/>
    <x v="19"/>
  </r>
  <r>
    <x v="2"/>
    <x v="2"/>
    <x v="376"/>
    <x v="376"/>
    <n v="0"/>
    <n v="0"/>
    <n v="0"/>
    <n v="0"/>
    <n v="0"/>
    <n v="0"/>
    <n v="0"/>
    <n v="0"/>
    <n v="445.36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5.36"/>
    <n v="0"/>
    <n v="0"/>
    <n v="0"/>
    <n v="0"/>
    <n v="0"/>
    <n v="0"/>
    <n v="0"/>
    <n v="0"/>
    <n v="0"/>
    <n v="0"/>
    <n v="57.51"/>
    <n v="908.48"/>
    <n v="0"/>
    <n v="115.03"/>
    <n v="0"/>
    <x v="2"/>
    <x v="1"/>
    <s v="61100                   "/>
    <x v="3"/>
    <x v="16"/>
    <x v="19"/>
  </r>
  <r>
    <x v="2"/>
    <x v="2"/>
    <x v="377"/>
    <x v="377"/>
    <n v="0"/>
    <n v="0"/>
    <n v="317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17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17"/>
    <x v="19"/>
  </r>
  <r>
    <x v="2"/>
    <x v="2"/>
    <x v="378"/>
    <x v="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3"/>
    <x v="18"/>
    <x v="19"/>
  </r>
  <r>
    <x v="2"/>
    <x v="2"/>
    <x v="379"/>
    <x v="379"/>
    <n v="0"/>
    <n v="0"/>
    <n v="0"/>
    <n v="0"/>
    <n v="0"/>
    <n v="0"/>
    <n v="0"/>
    <n v="0"/>
    <n v="0"/>
    <n v="0"/>
    <n v="0"/>
    <n v="0"/>
    <n v="0"/>
    <n v="0"/>
    <n v="0"/>
    <n v="10899.25"/>
    <n v="8719.69"/>
    <n v="4359.84"/>
    <n v="2179.92"/>
    <n v="8719.68"/>
    <n v="13079.53"/>
    <n v="4329.82"/>
    <n v="4375.97"/>
    <n v="15373.71"/>
    <n v="15373.7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2"/>
    <n v="4242"/>
    <n v="4242"/>
    <n v="4242"/>
    <n v="0"/>
    <n v="0"/>
    <n v="0"/>
    <n v="0"/>
    <n v="0"/>
    <n v="0"/>
    <n v="0"/>
    <n v="0"/>
    <x v="2"/>
    <x v="1"/>
    <s v="61100                   "/>
    <x v="4"/>
    <x v="1"/>
    <x v="20"/>
  </r>
  <r>
    <x v="2"/>
    <x v="2"/>
    <x v="380"/>
    <x v="380"/>
    <n v="0"/>
    <n v="0"/>
    <n v="0"/>
    <n v="0"/>
    <n v="0"/>
    <n v="0"/>
    <n v="0"/>
    <n v="0"/>
    <n v="0"/>
    <n v="0"/>
    <n v="0"/>
    <n v="0"/>
    <n v="0"/>
    <n v="0"/>
    <n v="0"/>
    <n v="12258.25"/>
    <n v="9531.5300000000007"/>
    <n v="4903.3"/>
    <n v="2365.4"/>
    <n v="9518.64"/>
    <n v="21416.92"/>
    <n v="4760.8599999999997"/>
    <n v="7141.28"/>
    <n v="16947.89"/>
    <n v="14282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12"/>
    <n v="9212"/>
    <n v="9212"/>
    <n v="9212"/>
    <n v="0"/>
    <n v="0"/>
    <n v="0"/>
    <n v="0"/>
    <n v="0"/>
    <n v="0"/>
    <n v="0"/>
    <n v="0"/>
    <x v="2"/>
    <x v="1"/>
    <s v="61100                   "/>
    <x v="4"/>
    <x v="11"/>
    <x v="20"/>
  </r>
  <r>
    <x v="2"/>
    <x v="2"/>
    <x v="381"/>
    <x v="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4"/>
    <x v="13"/>
    <x v="20"/>
  </r>
  <r>
    <x v="2"/>
    <x v="2"/>
    <x v="382"/>
    <x v="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4"/>
    <x v="18"/>
    <x v="20"/>
  </r>
  <r>
    <x v="2"/>
    <x v="2"/>
    <x v="383"/>
    <x v="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3"/>
    <x v="18"/>
  </r>
  <r>
    <x v="2"/>
    <x v="2"/>
    <x v="384"/>
    <x v="384"/>
    <n v="0"/>
    <n v="0"/>
    <n v="0"/>
    <n v="162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4"/>
    <x v="18"/>
  </r>
  <r>
    <x v="2"/>
    <x v="2"/>
    <x v="385"/>
    <x v="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0"/>
    <x v="18"/>
  </r>
  <r>
    <x v="2"/>
    <x v="2"/>
    <x v="386"/>
    <x v="3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5"/>
    <x v="18"/>
  </r>
  <r>
    <x v="2"/>
    <x v="2"/>
    <x v="387"/>
    <x v="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6"/>
    <x v="18"/>
  </r>
  <r>
    <x v="2"/>
    <x v="2"/>
    <x v="388"/>
    <x v="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"/>
    <x v="18"/>
  </r>
  <r>
    <x v="2"/>
    <x v="2"/>
    <x v="389"/>
    <x v="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7"/>
    <x v="18"/>
  </r>
  <r>
    <x v="2"/>
    <x v="2"/>
    <x v="390"/>
    <x v="390"/>
    <n v="0"/>
    <n v="0"/>
    <n v="0"/>
    <n v="78.94"/>
    <n v="0"/>
    <n v="704.14"/>
    <n v="0"/>
    <n v="0"/>
    <n v="0"/>
    <n v="0"/>
    <n v="0"/>
    <n v="0"/>
    <n v="0"/>
    <n v="0"/>
    <n v="0"/>
    <n v="636.41999999999996"/>
    <n v="1273.03"/>
    <n v="0"/>
    <n v="0"/>
    <n v="0"/>
    <n v="607.1"/>
    <n v="0"/>
    <n v="0"/>
    <n v="0"/>
    <n v="2292.28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8"/>
    <x v="18"/>
  </r>
  <r>
    <x v="2"/>
    <x v="2"/>
    <x v="391"/>
    <x v="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9"/>
    <x v="18"/>
  </r>
  <r>
    <x v="2"/>
    <x v="2"/>
    <x v="392"/>
    <x v="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0"/>
    <x v="18"/>
  </r>
  <r>
    <x v="2"/>
    <x v="2"/>
    <x v="393"/>
    <x v="393"/>
    <n v="0"/>
    <n v="0"/>
    <n v="0"/>
    <n v="0"/>
    <n v="0"/>
    <n v="0"/>
    <n v="0"/>
    <n v="0"/>
    <n v="0"/>
    <n v="0"/>
    <n v="0"/>
    <n v="0"/>
    <n v="0"/>
    <n v="0"/>
    <n v="0"/>
    <n v="0"/>
    <n v="410.94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1"/>
    <x v="18"/>
  </r>
  <r>
    <x v="2"/>
    <x v="2"/>
    <x v="394"/>
    <x v="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2"/>
    <x v="18"/>
  </r>
  <r>
    <x v="2"/>
    <x v="2"/>
    <x v="395"/>
    <x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3"/>
    <x v="18"/>
  </r>
  <r>
    <x v="2"/>
    <x v="2"/>
    <x v="396"/>
    <x v="396"/>
    <n v="0"/>
    <n v="0"/>
    <n v="0"/>
    <n v="0"/>
    <n v="16963.650000000001"/>
    <n v="360.65"/>
    <n v="0"/>
    <n v="0"/>
    <n v="0"/>
    <n v="0"/>
    <n v="7923.26"/>
    <n v="0"/>
    <n v="0"/>
    <n v="609.48"/>
    <n v="0"/>
    <n v="0"/>
    <n v="0"/>
    <n v="0"/>
    <n v="10415.28000000000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4"/>
    <x v="18"/>
  </r>
  <r>
    <x v="2"/>
    <x v="2"/>
    <x v="397"/>
    <x v="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5"/>
    <x v="18"/>
  </r>
  <r>
    <x v="2"/>
    <x v="2"/>
    <x v="398"/>
    <x v="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6"/>
    <x v="18"/>
  </r>
  <r>
    <x v="2"/>
    <x v="2"/>
    <x v="399"/>
    <x v="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7"/>
    <x v="18"/>
  </r>
  <r>
    <x v="2"/>
    <x v="2"/>
    <x v="400"/>
    <x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5"/>
    <x v="18"/>
    <x v="18"/>
  </r>
  <r>
    <x v="2"/>
    <x v="2"/>
    <x v="401"/>
    <x v="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98.720000000001"/>
    <n v="0"/>
    <n v="8044.08"/>
    <n v="6714.48"/>
    <n v="7379.28"/>
    <n v="24198.720000000001"/>
    <n v="0"/>
    <n v="7379.28"/>
    <n v="6049.68"/>
    <n v="6049.68"/>
    <n v="7379.28"/>
    <n v="6049.68"/>
    <x v="2"/>
    <x v="1"/>
    <s v="61100                   "/>
    <x v="6"/>
    <x v="8"/>
    <x v="21"/>
  </r>
  <r>
    <x v="2"/>
    <x v="2"/>
    <x v="402"/>
    <x v="402"/>
    <n v="1858.09"/>
    <n v="2581.38"/>
    <n v="195"/>
    <n v="2407.7199999999998"/>
    <n v="3425.7"/>
    <n v="1322.82"/>
    <n v="1018.45"/>
    <n v="624.13"/>
    <n v="2579.33"/>
    <n v="0"/>
    <n v="1283.43"/>
    <n v="380.18"/>
    <n v="1047.9100000000001"/>
    <n v="2002.8"/>
    <n v="996.43"/>
    <n v="2342.91"/>
    <n v="1593.92"/>
    <n v="0.01"/>
    <n v="0"/>
    <n v="652.95000000000005"/>
    <n v="539.2999999999999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56"/>
    <n v="2080"/>
    <n v="2184"/>
    <n v="2028"/>
    <n v="3328"/>
    <n v="1144"/>
    <n v="832"/>
    <n v="676"/>
    <n v="1300"/>
    <n v="624"/>
    <n v="832"/>
    <n v="1456"/>
    <n v="1086.48"/>
    <n v="2019.96"/>
    <n v="1000.2"/>
    <n v="2347.92"/>
    <n v="1593"/>
    <n v="2264.16"/>
    <n v="1022.28"/>
    <n v="668.4"/>
    <n v="2666.16"/>
    <n v="0"/>
    <n v="1338.12"/>
    <n v="378"/>
    <x v="2"/>
    <x v="1"/>
    <s v="61100                   "/>
    <x v="7"/>
    <x v="3"/>
    <x v="22"/>
  </r>
  <r>
    <x v="2"/>
    <x v="2"/>
    <x v="403"/>
    <x v="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4"/>
    <x v="22"/>
  </r>
  <r>
    <x v="2"/>
    <x v="2"/>
    <x v="404"/>
    <x v="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0"/>
    <x v="22"/>
  </r>
  <r>
    <x v="2"/>
    <x v="2"/>
    <x v="405"/>
    <x v="405"/>
    <n v="0"/>
    <n v="0"/>
    <n v="0"/>
    <n v="0"/>
    <n v="0"/>
    <n v="0"/>
    <n v="0"/>
    <n v="0"/>
    <n v="0"/>
    <n v="0"/>
    <n v="0"/>
    <n v="0"/>
    <n v="0"/>
    <n v="0"/>
    <n v="0"/>
    <n v="200.76"/>
    <n v="697.32"/>
    <n v="0"/>
    <n v="0"/>
    <n v="0"/>
    <n v="231.1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24"/>
    <n v="682.56"/>
    <n v="0"/>
    <n v="0"/>
    <n v="0"/>
    <n v="0"/>
    <n v="0"/>
    <n v="0"/>
    <n v="0"/>
    <x v="2"/>
    <x v="1"/>
    <s v="61100                   "/>
    <x v="7"/>
    <x v="5"/>
    <x v="22"/>
  </r>
  <r>
    <x v="2"/>
    <x v="2"/>
    <x v="406"/>
    <x v="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6"/>
    <x v="22"/>
  </r>
  <r>
    <x v="2"/>
    <x v="2"/>
    <x v="407"/>
    <x v="407"/>
    <n v="89.1"/>
    <n v="47.79"/>
    <n v="182.87"/>
    <n v="44.81"/>
    <n v="134.6"/>
    <n v="0"/>
    <n v="127.12"/>
    <n v="0"/>
    <n v="85.26"/>
    <n v="0"/>
    <n v="0"/>
    <n v="0"/>
    <n v="168.83"/>
    <n v="371.82"/>
    <n v="297.04000000000002"/>
    <n v="208.89"/>
    <n v="586.73"/>
    <n v="0"/>
    <n v="0"/>
    <n v="0"/>
    <n v="-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0"/>
    <n v="45"/>
    <n v="180"/>
    <n v="45"/>
    <n v="120"/>
    <n v="45"/>
    <n v="120"/>
    <n v="90"/>
    <n v="90"/>
    <n v="90"/>
    <n v="120"/>
    <n v="180"/>
    <n v="162.72"/>
    <n v="366.48"/>
    <n v="289.56"/>
    <n v="212.64"/>
    <n v="588.72"/>
    <n v="373.8"/>
    <n v="36.36"/>
    <n v="0"/>
    <n v="0"/>
    <n v="0"/>
    <n v="0"/>
    <n v="0"/>
    <x v="2"/>
    <x v="1"/>
    <s v="61100                   "/>
    <x v="7"/>
    <x v="1"/>
    <x v="22"/>
  </r>
  <r>
    <x v="2"/>
    <x v="2"/>
    <x v="408"/>
    <x v="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7"/>
    <x v="22"/>
  </r>
  <r>
    <x v="2"/>
    <x v="2"/>
    <x v="409"/>
    <x v="409"/>
    <n v="88.06"/>
    <n v="0"/>
    <n v="0"/>
    <n v="0"/>
    <n v="0"/>
    <n v="0"/>
    <n v="0"/>
    <n v="0"/>
    <n v="0"/>
    <n v="0"/>
    <n v="0"/>
    <n v="0"/>
    <n v="308.88"/>
    <n v="368.57"/>
    <n v="0"/>
    <n v="143.52000000000001"/>
    <n v="0"/>
    <n v="0"/>
    <n v="0"/>
    <n v="0"/>
    <n v="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.64"/>
    <n v="367.92"/>
    <n v="0"/>
    <n v="143.52000000000001"/>
    <n v="0"/>
    <n v="209.16"/>
    <n v="0"/>
    <n v="0"/>
    <n v="0"/>
    <n v="0"/>
    <n v="0"/>
    <n v="0"/>
    <x v="2"/>
    <x v="1"/>
    <s v="61100                   "/>
    <x v="7"/>
    <x v="8"/>
    <x v="22"/>
  </r>
  <r>
    <x v="2"/>
    <x v="2"/>
    <x v="410"/>
    <x v="410"/>
    <n v="0"/>
    <n v="35.86"/>
    <n v="0"/>
    <n v="0"/>
    <n v="0"/>
    <n v="0"/>
    <n v="0"/>
    <n v="0"/>
    <n v="0"/>
    <n v="0"/>
    <n v="0"/>
    <n v="0"/>
    <n v="0"/>
    <n v="70.319999999999993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319999999999993"/>
    <n v="0"/>
    <n v="0"/>
    <n v="0"/>
    <n v="0"/>
    <n v="0"/>
    <n v="0"/>
    <n v="0"/>
    <n v="0"/>
    <n v="0"/>
    <n v="0"/>
    <x v="2"/>
    <x v="1"/>
    <s v="61100                   "/>
    <x v="7"/>
    <x v="9"/>
    <x v="22"/>
  </r>
  <r>
    <x v="2"/>
    <x v="2"/>
    <x v="411"/>
    <x v="411"/>
    <n v="41.1"/>
    <n v="76.02"/>
    <n v="76.02"/>
    <n v="41.1"/>
    <n v="0"/>
    <n v="0"/>
    <n v="80.3"/>
    <n v="0"/>
    <n v="75.0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400000000000006"/>
    <n v="0"/>
    <n v="75.12"/>
    <n v="0"/>
    <n v="0"/>
    <n v="0"/>
    <x v="2"/>
    <x v="1"/>
    <s v="61100                   "/>
    <x v="7"/>
    <x v="10"/>
    <x v="22"/>
  </r>
  <r>
    <x v="2"/>
    <x v="2"/>
    <x v="412"/>
    <x v="412"/>
    <n v="0"/>
    <n v="0"/>
    <n v="0"/>
    <n v="0"/>
    <n v="0"/>
    <n v="0"/>
    <n v="0"/>
    <n v="0"/>
    <n v="0"/>
    <n v="0"/>
    <n v="0"/>
    <n v="0"/>
    <n v="0"/>
    <n v="77.51000000000000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48"/>
    <n v="0"/>
    <n v="0"/>
    <n v="0"/>
    <n v="0"/>
    <n v="0"/>
    <n v="0"/>
    <n v="0"/>
    <n v="0"/>
    <n v="0"/>
    <n v="0"/>
    <x v="2"/>
    <x v="1"/>
    <s v="61100                   "/>
    <x v="7"/>
    <x v="11"/>
    <x v="22"/>
  </r>
  <r>
    <x v="2"/>
    <x v="2"/>
    <x v="413"/>
    <x v="413"/>
    <n v="0"/>
    <n v="0"/>
    <n v="0"/>
    <n v="0"/>
    <n v="0"/>
    <n v="0"/>
    <n v="0"/>
    <n v="0"/>
    <n v="0"/>
    <n v="0"/>
    <n v="0"/>
    <n v="0"/>
    <n v="0"/>
    <n v="0"/>
    <n v="0"/>
    <n v="0"/>
    <n v="415.94"/>
    <n v="0"/>
    <n v="0"/>
    <n v="0"/>
    <n v="403.8"/>
    <n v="0"/>
    <n v="14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9.43"/>
    <n v="0"/>
    <n v="0"/>
    <n v="0"/>
    <n v="0"/>
    <n v="0"/>
    <n v="0"/>
    <n v="0"/>
    <x v="2"/>
    <x v="1"/>
    <s v="61100                   "/>
    <x v="7"/>
    <x v="12"/>
    <x v="22"/>
  </r>
  <r>
    <x v="2"/>
    <x v="2"/>
    <x v="414"/>
    <x v="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13"/>
    <x v="22"/>
  </r>
  <r>
    <x v="2"/>
    <x v="2"/>
    <x v="415"/>
    <x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14"/>
    <x v="22"/>
  </r>
  <r>
    <x v="2"/>
    <x v="2"/>
    <x v="416"/>
    <x v="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15"/>
    <x v="22"/>
  </r>
  <r>
    <x v="2"/>
    <x v="2"/>
    <x v="417"/>
    <x v="417"/>
    <n v="0"/>
    <n v="0"/>
    <n v="0"/>
    <n v="0"/>
    <n v="0"/>
    <n v="0"/>
    <n v="0"/>
    <n v="0"/>
    <n v="0"/>
    <n v="0"/>
    <n v="0"/>
    <n v="0"/>
    <n v="0"/>
    <n v="93.87"/>
    <n v="0"/>
    <n v="0"/>
    <n v="0"/>
    <n v="0"/>
    <n v="0"/>
    <n v="0"/>
    <n v="0"/>
    <n v="0"/>
    <n v="93.08"/>
    <n v="93.08"/>
    <n v="-280.0299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7"/>
    <x v="16"/>
    <x v="22"/>
  </r>
  <r>
    <x v="2"/>
    <x v="2"/>
    <x v="417"/>
    <x v="417"/>
    <n v="0"/>
    <n v="0"/>
    <n v="0"/>
    <n v="0"/>
    <n v="0"/>
    <n v="0"/>
    <n v="0"/>
    <n v="0"/>
    <n v="0"/>
    <n v="0"/>
    <n v="0"/>
    <n v="0"/>
    <n v="0"/>
    <n v="38.549999999999997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520000000000003"/>
    <n v="0"/>
    <n v="0"/>
    <n v="0"/>
    <n v="0"/>
    <n v="0"/>
    <n v="0"/>
    <n v="0"/>
    <n v="0"/>
    <n v="0"/>
    <n v="0"/>
    <x v="2"/>
    <x v="1"/>
    <s v="61100                   "/>
    <x v="7"/>
    <x v="16"/>
    <x v="22"/>
  </r>
  <r>
    <x v="2"/>
    <x v="2"/>
    <x v="418"/>
    <x v="418"/>
    <n v="0"/>
    <n v="24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17"/>
    <x v="22"/>
  </r>
  <r>
    <x v="2"/>
    <x v="2"/>
    <x v="419"/>
    <x v="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7"/>
    <x v="18"/>
    <x v="22"/>
  </r>
  <r>
    <x v="2"/>
    <x v="2"/>
    <x v="420"/>
    <x v="420"/>
    <n v="0"/>
    <n v="3.66"/>
    <n v="22493.46"/>
    <n v="26722.25"/>
    <n v="55067.83"/>
    <n v="45339.73"/>
    <n v="31.62"/>
    <n v="-0.01"/>
    <n v="62.41"/>
    <n v="0"/>
    <n v="8.24"/>
    <n v="33482.839999999997"/>
    <n v="4301.1899999999996"/>
    <n v="72206.149999999994"/>
    <n v="218.55"/>
    <n v="15427.57"/>
    <n v="5554"/>
    <n v="41386.410000000003"/>
    <n v="465.56"/>
    <n v="689.7"/>
    <n v="68.47"/>
    <n v="65.290000000000006"/>
    <n v="0"/>
    <n v="65.290000000000006"/>
    <n v="5223.5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59.18"/>
    <n v="30903.78"/>
    <n v="226.04"/>
    <n v="8613.76"/>
    <n v="226.04"/>
    <n v="37113.480000000003"/>
    <n v="11162.52"/>
    <n v="226.04"/>
    <n v="226.04"/>
    <n v="226.04"/>
    <n v="226.04"/>
    <n v="13465.66"/>
    <n v="12648"/>
    <n v="0"/>
    <n v="0"/>
    <n v="0"/>
    <n v="0"/>
    <n v="139314.12"/>
    <n v="11067"/>
    <n v="0"/>
    <n v="0"/>
    <n v="0"/>
    <n v="0"/>
    <n v="0"/>
    <x v="2"/>
    <x v="1"/>
    <s v="61100                   "/>
    <x v="8"/>
    <x v="3"/>
    <x v="23"/>
  </r>
  <r>
    <x v="2"/>
    <x v="2"/>
    <x v="421"/>
    <x v="421"/>
    <n v="0"/>
    <n v="10.75"/>
    <n v="0"/>
    <n v="234.56"/>
    <n v="0"/>
    <n v="0"/>
    <n v="906.03"/>
    <n v="20.66"/>
    <n v="120.5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4"/>
    <x v="23"/>
  </r>
  <r>
    <x v="2"/>
    <x v="2"/>
    <x v="422"/>
    <x v="422"/>
    <n v="0"/>
    <n v="0"/>
    <n v="0"/>
    <n v="0"/>
    <n v="0"/>
    <n v="0"/>
    <n v="3144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0"/>
    <x v="23"/>
  </r>
  <r>
    <x v="2"/>
    <x v="2"/>
    <x v="423"/>
    <x v="423"/>
    <n v="0"/>
    <n v="0"/>
    <n v="0"/>
    <n v="0"/>
    <n v="0"/>
    <n v="0"/>
    <n v="0"/>
    <n v="0"/>
    <n v="0"/>
    <n v="0"/>
    <n v="0"/>
    <n v="0"/>
    <n v="0"/>
    <n v="0"/>
    <n v="0"/>
    <n v="12387.57"/>
    <n v="0"/>
    <n v="0"/>
    <n v="12360.07"/>
    <n v="0"/>
    <n v="6881.9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5"/>
    <x v="23"/>
  </r>
  <r>
    <x v="2"/>
    <x v="2"/>
    <x v="424"/>
    <x v="424"/>
    <n v="0"/>
    <n v="0"/>
    <n v="0"/>
    <n v="0"/>
    <n v="0"/>
    <n v="0"/>
    <n v="110.58"/>
    <n v="0"/>
    <n v="0"/>
    <n v="0"/>
    <n v="0"/>
    <n v="0"/>
    <n v="0"/>
    <n v="0"/>
    <n v="55858.77"/>
    <n v="201.28"/>
    <n v="512.54"/>
    <n v="55123.74"/>
    <n v="13505.85"/>
    <n v="664.75"/>
    <n v="346.42"/>
    <n v="1510.43"/>
    <n v="0"/>
    <n v="528.32000000000005"/>
    <n v="61064.1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166"/>
    <n v="0"/>
    <n v="77166"/>
    <n v="0"/>
    <n v="0"/>
    <n v="129951"/>
    <n v="176838"/>
    <n v="0"/>
    <n v="0"/>
    <n v="0"/>
    <n v="0"/>
    <n v="0"/>
    <x v="2"/>
    <x v="1"/>
    <s v="61100                   "/>
    <x v="8"/>
    <x v="6"/>
    <x v="23"/>
  </r>
  <r>
    <x v="2"/>
    <x v="2"/>
    <x v="425"/>
    <x v="425"/>
    <n v="18.73"/>
    <n v="42.61"/>
    <n v="0"/>
    <n v="761.71"/>
    <n v="6046.73"/>
    <n v="7351.94"/>
    <n v="38.619999999999997"/>
    <n v="0"/>
    <n v="0"/>
    <n v="0"/>
    <n v="86.17"/>
    <n v="6.94"/>
    <n v="43.62"/>
    <n v="7207.29"/>
    <n v="693.02"/>
    <n v="302.67"/>
    <n v="0"/>
    <n v="44.89"/>
    <n v="23027.55"/>
    <n v="161.85"/>
    <n v="78.040000000000006"/>
    <n v="285.49"/>
    <n v="0"/>
    <n v="0"/>
    <n v="156.08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77.05999999999995"/>
    <n v="4367.1899999999996"/>
    <n v="67.900000000000006"/>
    <n v="1243.3800000000001"/>
    <n v="67.900000000000006"/>
    <n v="5237.4399999999996"/>
    <n v="2043.37"/>
    <n v="67.900000000000006"/>
    <n v="67.900000000000006"/>
    <n v="67.900000000000006"/>
    <n v="67.900000000000006"/>
    <n v="1923.35"/>
    <n v="0"/>
    <n v="8496"/>
    <n v="0"/>
    <n v="0"/>
    <n v="0"/>
    <n v="7896"/>
    <n v="20280"/>
    <n v="0"/>
    <n v="0"/>
    <n v="0"/>
    <n v="0"/>
    <n v="0"/>
    <x v="2"/>
    <x v="1"/>
    <s v="61100                   "/>
    <x v="8"/>
    <x v="1"/>
    <x v="23"/>
  </r>
  <r>
    <x v="2"/>
    <x v="2"/>
    <x v="426"/>
    <x v="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3.07"/>
    <n v="0"/>
    <n v="0"/>
    <n v="0"/>
    <n v="0"/>
    <n v="0"/>
    <n v="-413.0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8"/>
    <x v="7"/>
    <x v="23"/>
  </r>
  <r>
    <x v="2"/>
    <x v="2"/>
    <x v="426"/>
    <x v="426"/>
    <n v="0"/>
    <n v="0"/>
    <n v="28728.400000000001"/>
    <n v="28096.92"/>
    <n v="46309.1"/>
    <n v="44702.05"/>
    <n v="50889.8"/>
    <n v="0"/>
    <n v="713.68"/>
    <n v="0"/>
    <n v="667.32"/>
    <n v="36585.42"/>
    <n v="0"/>
    <n v="78098.559999999998"/>
    <n v="393.72"/>
    <n v="292.69"/>
    <n v="751.82"/>
    <n v="0"/>
    <n v="149370.17000000001"/>
    <n v="278.63"/>
    <n v="417.41"/>
    <n v="133.54"/>
    <n v="0"/>
    <n v="314.10000000000002"/>
    <n v="265.0299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463.96"/>
    <n v="46137.03"/>
    <n v="0"/>
    <n v="12614.51"/>
    <n v="0"/>
    <n v="55475.95"/>
    <n v="16447.64"/>
    <n v="0"/>
    <n v="0"/>
    <n v="0"/>
    <n v="0"/>
    <n v="19911.400000000001"/>
    <n v="0"/>
    <n v="0"/>
    <n v="0"/>
    <n v="0"/>
    <n v="0"/>
    <n v="287208"/>
    <n v="5458.08"/>
    <n v="0"/>
    <n v="0"/>
    <n v="0"/>
    <n v="0"/>
    <n v="0"/>
    <x v="2"/>
    <x v="1"/>
    <s v="61100                   "/>
    <x v="8"/>
    <x v="7"/>
    <x v="23"/>
  </r>
  <r>
    <x v="2"/>
    <x v="2"/>
    <x v="427"/>
    <x v="427"/>
    <n v="19.55"/>
    <n v="25.56"/>
    <n v="108.43"/>
    <n v="52631.99"/>
    <n v="105.12"/>
    <n v="781.38"/>
    <n v="21281.55"/>
    <n v="225.18"/>
    <n v="0"/>
    <n v="0"/>
    <n v="444.26"/>
    <n v="51613.1"/>
    <n v="39692.26"/>
    <n v="65499.360000000001"/>
    <n v="1831.36"/>
    <n v="37367.93"/>
    <n v="440.08"/>
    <n v="40027.51"/>
    <n v="26486.21"/>
    <n v="474.3"/>
    <n v="3097.23"/>
    <n v="1887.5"/>
    <n v="0"/>
    <n v="561.4"/>
    <n v="880.1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88.2600000000002"/>
    <n v="19715.349999999999"/>
    <n v="60.57"/>
    <n v="5434.46"/>
    <n v="60.57"/>
    <n v="23693.81"/>
    <n v="7690.9"/>
    <n v="60.57"/>
    <n v="60.57"/>
    <n v="60.57"/>
    <n v="60.57"/>
    <n v="8543"/>
    <n v="85414.68"/>
    <n v="99093.6"/>
    <n v="0"/>
    <n v="0"/>
    <n v="0"/>
    <n v="148146.12"/>
    <n v="225343.8"/>
    <n v="0"/>
    <n v="0"/>
    <n v="0"/>
    <n v="0"/>
    <n v="0"/>
    <x v="2"/>
    <x v="1"/>
    <s v="61100                   "/>
    <x v="8"/>
    <x v="8"/>
    <x v="23"/>
  </r>
  <r>
    <x v="2"/>
    <x v="2"/>
    <x v="428"/>
    <x v="428"/>
    <n v="0"/>
    <n v="0"/>
    <n v="-6.82"/>
    <n v="0"/>
    <n v="0"/>
    <n v="0"/>
    <n v="735.97"/>
    <n v="0"/>
    <n v="0"/>
    <n v="0"/>
    <n v="0"/>
    <n v="0"/>
    <n v="5519.75"/>
    <n v="0"/>
    <n v="220.79"/>
    <n v="73.599999999999994"/>
    <n v="73.56"/>
    <n v="8440.83"/>
    <n v="489.3"/>
    <n v="348.38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51"/>
    <n v="0"/>
    <n v="0"/>
    <n v="0"/>
    <n v="0"/>
    <n v="0"/>
    <n v="0"/>
    <n v="0"/>
    <n v="0"/>
    <n v="0"/>
    <n v="0"/>
    <n v="0"/>
    <x v="2"/>
    <x v="1"/>
    <s v="61100                   "/>
    <x v="8"/>
    <x v="9"/>
    <x v="23"/>
  </r>
  <r>
    <x v="2"/>
    <x v="2"/>
    <x v="429"/>
    <x v="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0"/>
    <x v="23"/>
  </r>
  <r>
    <x v="2"/>
    <x v="2"/>
    <x v="430"/>
    <x v="430"/>
    <n v="0"/>
    <n v="0"/>
    <n v="0"/>
    <n v="0"/>
    <n v="0"/>
    <n v="0"/>
    <n v="2712.19"/>
    <n v="0"/>
    <n v="0"/>
    <n v="3.42"/>
    <n v="0"/>
    <n v="12.92"/>
    <n v="0"/>
    <n v="0"/>
    <n v="0"/>
    <n v="6.03"/>
    <n v="74.67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1"/>
    <x v="23"/>
  </r>
  <r>
    <x v="2"/>
    <x v="2"/>
    <x v="431"/>
    <x v="431"/>
    <n v="19.420000000000002"/>
    <n v="15.07"/>
    <n v="133171.03"/>
    <n v="66123.899999999994"/>
    <n v="66030.03"/>
    <n v="78577.149999999994"/>
    <n v="134658.67000000001"/>
    <n v="780.03"/>
    <n v="6454.53"/>
    <n v="-194.37"/>
    <n v="137820.17000000001"/>
    <n v="130942.18"/>
    <n v="11342.27"/>
    <n v="151155.49"/>
    <n v="3043.95"/>
    <n v="32940.35"/>
    <n v="4476.42"/>
    <n v="55588.75"/>
    <n v="223399.64"/>
    <n v="4329.6899999999996"/>
    <n v="2630.62"/>
    <n v="2752.81"/>
    <n v="526.73"/>
    <n v="71687.8"/>
    <n v="69442.5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921.18"/>
    <n v="151324.26"/>
    <n v="0"/>
    <n v="41374.160000000003"/>
    <n v="0"/>
    <n v="182822.9"/>
    <n v="55451.03"/>
    <n v="0"/>
    <n v="0"/>
    <n v="0"/>
    <n v="0"/>
    <n v="67911.31"/>
    <n v="162621"/>
    <n v="486560.52"/>
    <n v="0"/>
    <n v="0"/>
    <n v="0"/>
    <n v="893812.2"/>
    <n v="93138.72"/>
    <n v="0"/>
    <n v="0"/>
    <n v="0"/>
    <n v="0"/>
    <n v="1081.8"/>
    <x v="2"/>
    <x v="1"/>
    <s v="61100                   "/>
    <x v="8"/>
    <x v="12"/>
    <x v="23"/>
  </r>
  <r>
    <x v="2"/>
    <x v="2"/>
    <x v="432"/>
    <x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3"/>
    <x v="23"/>
  </r>
  <r>
    <x v="2"/>
    <x v="2"/>
    <x v="433"/>
    <x v="433"/>
    <n v="146413.59"/>
    <n v="49262.79"/>
    <n v="52659.05"/>
    <n v="297.72000000000003"/>
    <n v="0"/>
    <n v="891.21"/>
    <n v="28127.22"/>
    <n v="0"/>
    <n v="1376.95"/>
    <n v="0"/>
    <n v="51458.45"/>
    <n v="111.64"/>
    <n v="36933.879999999997"/>
    <n v="41439.24"/>
    <n v="48215.99"/>
    <n v="22183.24"/>
    <n v="4801.84"/>
    <n v="46941.04"/>
    <n v="1929.73"/>
    <n v="21759.360000000001"/>
    <n v="41175.589999999997"/>
    <n v="-19823.53"/>
    <n v="0"/>
    <n v="46408.22"/>
    <n v="179034.3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1478.60999999999"/>
    <n v="232711.79"/>
    <n v="29745"/>
    <n v="34348.93"/>
    <n v="0"/>
    <n v="172654.26"/>
    <n v="92378.45"/>
    <n v="74362.5"/>
    <n v="59490"/>
    <n v="59490"/>
    <n v="74362.5"/>
    <n v="54218.17"/>
    <n v="56202.2"/>
    <n v="142215.20000000001"/>
    <n v="4560.2"/>
    <n v="4560.2"/>
    <n v="4560.2"/>
    <n v="56202.2"/>
    <n v="64616.480000000003"/>
    <n v="4560.2"/>
    <n v="4560.2"/>
    <n v="4560.2"/>
    <n v="4560.2"/>
    <n v="4560.2"/>
    <x v="2"/>
    <x v="1"/>
    <s v="61100                   "/>
    <x v="8"/>
    <x v="14"/>
    <x v="23"/>
  </r>
  <r>
    <x v="2"/>
    <x v="2"/>
    <x v="434"/>
    <x v="434"/>
    <n v="0"/>
    <n v="0"/>
    <n v="0"/>
    <n v="0"/>
    <n v="0"/>
    <n v="0"/>
    <n v="0"/>
    <n v="0"/>
    <n v="0"/>
    <n v="0"/>
    <n v="0"/>
    <n v="5.51"/>
    <n v="0"/>
    <n v="0"/>
    <n v="0"/>
    <n v="10.89"/>
    <n v="0"/>
    <n v="0"/>
    <n v="2550.7600000000002"/>
    <n v="0"/>
    <n v="145.9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5"/>
    <x v="23"/>
  </r>
  <r>
    <x v="2"/>
    <x v="2"/>
    <x v="435"/>
    <x v="435"/>
    <n v="0"/>
    <n v="0"/>
    <n v="0"/>
    <n v="0"/>
    <n v="0"/>
    <n v="0"/>
    <n v="0"/>
    <n v="0"/>
    <n v="0"/>
    <n v="0"/>
    <n v="0"/>
    <n v="0"/>
    <n v="418.12"/>
    <n v="0"/>
    <n v="0"/>
    <n v="0"/>
    <n v="0"/>
    <n v="0"/>
    <n v="0"/>
    <n v="0"/>
    <n v="-0.01"/>
    <n v="0"/>
    <n v="0"/>
    <n v="0"/>
    <n v="-418.1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8"/>
    <x v="16"/>
    <x v="23"/>
  </r>
  <r>
    <x v="2"/>
    <x v="2"/>
    <x v="435"/>
    <x v="435"/>
    <n v="10.81"/>
    <n v="0"/>
    <n v="64.86"/>
    <n v="0"/>
    <n v="0"/>
    <n v="648.58000000000004"/>
    <n v="79391.86"/>
    <n v="-8.3800000000000008"/>
    <n v="0"/>
    <n v="0"/>
    <n v="0"/>
    <n v="85.51"/>
    <n v="1127.6400000000001"/>
    <n v="0"/>
    <n v="162.21"/>
    <n v="60272.83"/>
    <n v="225.09"/>
    <n v="0"/>
    <n v="2398.41"/>
    <n v="343.77"/>
    <n v="3955.38"/>
    <n v="149.88999999999999"/>
    <n v="0"/>
    <n v="210.74"/>
    <n v="26491.43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1996"/>
    <n v="0"/>
    <n v="0"/>
    <n v="0"/>
    <n v="82301.7"/>
    <n v="183.3"/>
    <n v="0"/>
    <n v="0"/>
    <n v="0"/>
    <n v="0"/>
    <n v="0"/>
    <n v="0"/>
    <n v="8118"/>
    <n v="0"/>
    <n v="0"/>
    <n v="0"/>
    <n v="0"/>
    <n v="79200"/>
    <n v="0"/>
    <n v="0"/>
    <n v="0"/>
    <n v="0"/>
    <n v="0"/>
    <x v="2"/>
    <x v="1"/>
    <s v="61100                   "/>
    <x v="8"/>
    <x v="16"/>
    <x v="23"/>
  </r>
  <r>
    <x v="2"/>
    <x v="2"/>
    <x v="436"/>
    <x v="436"/>
    <n v="0"/>
    <n v="0"/>
    <n v="0"/>
    <n v="0"/>
    <n v="0"/>
    <n v="0"/>
    <n v="6.11"/>
    <n v="0"/>
    <n v="0"/>
    <n v="0"/>
    <n v="0"/>
    <n v="0"/>
    <n v="0"/>
    <n v="0"/>
    <n v="0"/>
    <n v="0"/>
    <n v="733.52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7"/>
    <x v="23"/>
  </r>
  <r>
    <x v="2"/>
    <x v="2"/>
    <x v="437"/>
    <x v="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59.360000000001"/>
    <n v="0"/>
    <n v="0"/>
    <n v="148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8"/>
    <x v="18"/>
    <x v="23"/>
  </r>
  <r>
    <x v="2"/>
    <x v="2"/>
    <x v="438"/>
    <x v="438"/>
    <n v="0"/>
    <n v="121.6"/>
    <n v="49.32"/>
    <n v="15.42"/>
    <n v="0"/>
    <n v="9.6199999999999992"/>
    <n v="0"/>
    <n v="0"/>
    <n v="0"/>
    <n v="0"/>
    <n v="0"/>
    <n v="0"/>
    <n v="0"/>
    <n v="14.96"/>
    <n v="75.06"/>
    <n v="41.85"/>
    <n v="41.06"/>
    <n v="8.67"/>
    <n v="21.8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1.91"/>
    <n v="37.15"/>
    <n v="13.7"/>
    <n v="0"/>
    <n v="8.2200000000000006"/>
    <n v="34.979999999999997"/>
    <n v="0"/>
    <n v="0"/>
    <n v="0"/>
    <n v="0"/>
    <n v="0"/>
    <n v="0"/>
    <n v="14.4"/>
    <n v="75.239999999999995"/>
    <n v="41.94"/>
    <n v="40.130000000000003"/>
    <n v="17.239999999999998"/>
    <n v="0"/>
    <n v="0"/>
    <n v="0"/>
    <n v="0"/>
    <n v="0"/>
    <n v="0"/>
    <x v="2"/>
    <x v="1"/>
    <s v="61100                   "/>
    <x v="9"/>
    <x v="3"/>
    <x v="24"/>
  </r>
  <r>
    <x v="2"/>
    <x v="2"/>
    <x v="439"/>
    <x v="439"/>
    <n v="0"/>
    <n v="0"/>
    <n v="0"/>
    <n v="0"/>
    <n v="0"/>
    <n v="0"/>
    <n v="0"/>
    <n v="0"/>
    <n v="0"/>
    <n v="0"/>
    <n v="0"/>
    <n v="0"/>
    <n v="0"/>
    <n v="-0.01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4"/>
    <x v="24"/>
  </r>
  <r>
    <x v="2"/>
    <x v="2"/>
    <x v="440"/>
    <x v="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0"/>
    <x v="24"/>
  </r>
  <r>
    <x v="2"/>
    <x v="2"/>
    <x v="441"/>
    <x v="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5"/>
    <x v="24"/>
  </r>
  <r>
    <x v="2"/>
    <x v="2"/>
    <x v="442"/>
    <x v="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6"/>
    <x v="24"/>
  </r>
  <r>
    <x v="2"/>
    <x v="2"/>
    <x v="443"/>
    <x v="443"/>
    <n v="0"/>
    <n v="0"/>
    <n v="32.11"/>
    <n v="7.14"/>
    <n v="0.06"/>
    <n v="0"/>
    <n v="0"/>
    <n v="0"/>
    <n v="0"/>
    <n v="0"/>
    <n v="0"/>
    <n v="0"/>
    <n v="0"/>
    <n v="0"/>
    <n v="66.97"/>
    <n v="28.79"/>
    <n v="32.07"/>
    <n v="26.46"/>
    <n v="15.58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2.17"/>
    <n v="7.14"/>
    <n v="0"/>
    <n v="0"/>
    <n v="0"/>
    <n v="0"/>
    <n v="0"/>
    <n v="0"/>
    <n v="0"/>
    <n v="0"/>
    <n v="0"/>
    <n v="0"/>
    <n v="65.849999999999994"/>
    <n v="28.57"/>
    <n v="32.06"/>
    <n v="26.42"/>
    <n v="0"/>
    <n v="0"/>
    <n v="0"/>
    <n v="0"/>
    <n v="0"/>
    <n v="0"/>
    <x v="2"/>
    <x v="1"/>
    <s v="61100                   "/>
    <x v="9"/>
    <x v="1"/>
    <x v="24"/>
  </r>
  <r>
    <x v="2"/>
    <x v="2"/>
    <x v="444"/>
    <x v="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7"/>
    <x v="24"/>
  </r>
  <r>
    <x v="2"/>
    <x v="2"/>
    <x v="445"/>
    <x v="445"/>
    <n v="0"/>
    <n v="106.25"/>
    <n v="226.1"/>
    <n v="53.98"/>
    <n v="208.91"/>
    <n v="33.659999999999997"/>
    <n v="35.96"/>
    <n v="0"/>
    <n v="0"/>
    <n v="0"/>
    <n v="0"/>
    <n v="0"/>
    <n v="-157.76"/>
    <n v="8.39"/>
    <n v="59.12"/>
    <n v="15.82"/>
    <n v="25.98"/>
    <n v="29.93"/>
    <n v="5.7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87.5"/>
    <n v="243.16"/>
    <n v="61.23"/>
    <n v="232.7"/>
    <n v="40.26"/>
    <n v="0"/>
    <n v="0"/>
    <n v="0"/>
    <n v="0"/>
    <n v="0"/>
    <n v="0"/>
    <n v="-157.74"/>
    <n v="8.5500000000000007"/>
    <n v="61.22"/>
    <n v="5.7"/>
    <n v="26.12"/>
    <n v="29.98"/>
    <n v="34.79"/>
    <n v="0"/>
    <n v="0"/>
    <n v="0"/>
    <n v="0"/>
    <n v="0"/>
    <x v="2"/>
    <x v="1"/>
    <s v="61100                   "/>
    <x v="9"/>
    <x v="8"/>
    <x v="24"/>
  </r>
  <r>
    <x v="2"/>
    <x v="2"/>
    <x v="446"/>
    <x v="446"/>
    <n v="0"/>
    <n v="160.91999999999999"/>
    <n v="234.43"/>
    <n v="226.88"/>
    <n v="103.84"/>
    <n v="68.39"/>
    <n v="42.93"/>
    <n v="0"/>
    <n v="0"/>
    <n v="0"/>
    <n v="0"/>
    <n v="0"/>
    <n v="0"/>
    <n v="14.65"/>
    <n v="117.08"/>
    <n v="67.349999999999994"/>
    <n v="43.93"/>
    <n v="56.06"/>
    <n v="32.57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29.26"/>
    <n v="184.13"/>
    <n v="222.23"/>
    <n v="111.78"/>
    <n v="59.33"/>
    <n v="30.65"/>
    <n v="0"/>
    <n v="0"/>
    <n v="0"/>
    <n v="0"/>
    <n v="0"/>
    <n v="0"/>
    <n v="14.65"/>
    <n v="117.1"/>
    <n v="67.39"/>
    <n v="43.95"/>
    <n v="56.01"/>
    <n v="42.91"/>
    <n v="0"/>
    <n v="0"/>
    <n v="0"/>
    <n v="0"/>
    <n v="0"/>
    <x v="2"/>
    <x v="1"/>
    <s v="61100                   "/>
    <x v="9"/>
    <x v="9"/>
    <x v="24"/>
  </r>
  <r>
    <x v="2"/>
    <x v="2"/>
    <x v="447"/>
    <x v="447"/>
    <n v="0"/>
    <n v="0"/>
    <n v="0"/>
    <n v="2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0"/>
    <x v="24"/>
  </r>
  <r>
    <x v="2"/>
    <x v="2"/>
    <x v="448"/>
    <x v="448"/>
    <n v="0"/>
    <n v="0"/>
    <n v="0"/>
    <n v="0"/>
    <n v="33.380000000000003"/>
    <n v="30.34"/>
    <n v="0"/>
    <n v="0"/>
    <n v="0"/>
    <n v="0"/>
    <n v="0"/>
    <n v="0"/>
    <n v="0"/>
    <n v="0"/>
    <n v="28.87"/>
    <n v="3.42"/>
    <n v="20.55"/>
    <n v="23.15"/>
    <n v="3.0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3.380000000000003"/>
    <n v="30.34"/>
    <n v="0"/>
    <n v="0"/>
    <n v="0"/>
    <n v="0"/>
    <n v="0"/>
    <n v="0"/>
    <n v="0"/>
    <n v="0"/>
    <n v="28.16"/>
    <n v="3.29"/>
    <n v="19.739999999999998"/>
    <n v="22.45"/>
    <n v="0"/>
    <n v="0"/>
    <n v="0"/>
    <n v="0"/>
    <n v="0"/>
    <n v="0"/>
    <x v="2"/>
    <x v="1"/>
    <s v="61100                   "/>
    <x v="9"/>
    <x v="11"/>
    <x v="24"/>
  </r>
  <r>
    <x v="2"/>
    <x v="2"/>
    <x v="449"/>
    <x v="449"/>
    <n v="0"/>
    <n v="19.48"/>
    <n v="38.97"/>
    <n v="0"/>
    <n v="44.67"/>
    <n v="0"/>
    <n v="0"/>
    <n v="0"/>
    <n v="0"/>
    <n v="0"/>
    <n v="0"/>
    <n v="0"/>
    <n v="0"/>
    <n v="0"/>
    <n v="4.87"/>
    <n v="39.619999999999997"/>
    <n v="0"/>
    <n v="14.49"/>
    <n v="24.8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6.39"/>
    <n v="36.35"/>
    <n v="0"/>
    <n v="50.38"/>
    <n v="0"/>
    <n v="0"/>
    <n v="0"/>
    <n v="0"/>
    <n v="0"/>
    <n v="0"/>
    <n v="0"/>
    <n v="0"/>
    <n v="0"/>
    <n v="4.87"/>
    <n v="39.65"/>
    <n v="0"/>
    <n v="14.5"/>
    <n v="0"/>
    <n v="0"/>
    <n v="0"/>
    <n v="0"/>
    <n v="0"/>
    <n v="0"/>
    <x v="2"/>
    <x v="1"/>
    <s v="61100                   "/>
    <x v="9"/>
    <x v="12"/>
    <x v="24"/>
  </r>
  <r>
    <x v="2"/>
    <x v="2"/>
    <x v="450"/>
    <x v="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3"/>
    <x v="24"/>
  </r>
  <r>
    <x v="2"/>
    <x v="2"/>
    <x v="451"/>
    <x v="451"/>
    <n v="0"/>
    <n v="0"/>
    <n v="0"/>
    <n v="0"/>
    <n v="0"/>
    <n v="0"/>
    <n v="0"/>
    <n v="0"/>
    <n v="0"/>
    <n v="0"/>
    <n v="0"/>
    <n v="0"/>
    <n v="0"/>
    <n v="0"/>
    <n v="0"/>
    <n v="0"/>
    <n v="14.07"/>
    <n v="3.52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4"/>
    <x v="24"/>
  </r>
  <r>
    <x v="2"/>
    <x v="2"/>
    <x v="452"/>
    <x v="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5"/>
    <x v="24"/>
  </r>
  <r>
    <x v="2"/>
    <x v="2"/>
    <x v="453"/>
    <x v="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6.42"/>
    <n v="84.88"/>
    <n v="89.75"/>
    <n v="0"/>
    <n v="50.86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9"/>
    <x v="16"/>
    <x v="24"/>
  </r>
  <r>
    <x v="2"/>
    <x v="2"/>
    <x v="453"/>
    <x v="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6"/>
    <n v="0"/>
    <n v="0"/>
    <n v="0"/>
    <n v="0"/>
    <n v="0"/>
    <x v="2"/>
    <x v="1"/>
    <s v="61100                   "/>
    <x v="9"/>
    <x v="16"/>
    <x v="24"/>
  </r>
  <r>
    <x v="2"/>
    <x v="2"/>
    <x v="454"/>
    <x v="454"/>
    <n v="0"/>
    <n v="0"/>
    <n v="6.11"/>
    <n v="14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7"/>
    <x v="24"/>
  </r>
  <r>
    <x v="2"/>
    <x v="2"/>
    <x v="455"/>
    <x v="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9"/>
    <x v="18"/>
    <x v="24"/>
  </r>
  <r>
    <x v="2"/>
    <x v="2"/>
    <x v="456"/>
    <x v="456"/>
    <n v="550.39"/>
    <n v="1504.45"/>
    <n v="777.28"/>
    <n v="1399.94"/>
    <n v="740.82"/>
    <n v="250.16"/>
    <n v="387.61"/>
    <n v="94.15"/>
    <n v="929.97"/>
    <n v="1596.78"/>
    <n v="838.96"/>
    <n v="2322.39"/>
    <n v="1933.26"/>
    <n v="-431.14"/>
    <n v="1911.33"/>
    <n v="336.93"/>
    <n v="757.86"/>
    <n v="493.56"/>
    <n v="695.43"/>
    <n v="1094.83"/>
    <n v="2026.13"/>
    <n v="910.49"/>
    <n v="605.15"/>
    <n v="1892.75"/>
    <n v="652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00.21"/>
    <n v="1321.92"/>
    <n v="668.5"/>
    <n v="1297.8599999999999"/>
    <n v="608.78"/>
    <n v="235.21"/>
    <n v="357.58"/>
    <n v="79.52"/>
    <n v="939.03"/>
    <n v="1775.78"/>
    <n v="922.39"/>
    <n v="2586.12"/>
    <n v="1347.5"/>
    <n v="160.99"/>
    <n v="2916.08"/>
    <n v="379.19"/>
    <n v="732.05"/>
    <n v="1068.47"/>
    <n v="1151.2"/>
    <n v="799.97"/>
    <n v="1090.96"/>
    <n v="888.5"/>
    <n v="905.75"/>
    <n v="1940.68"/>
    <x v="2"/>
    <x v="1"/>
    <s v="61100                   "/>
    <x v="10"/>
    <x v="3"/>
    <x v="19"/>
  </r>
  <r>
    <x v="2"/>
    <x v="2"/>
    <x v="457"/>
    <x v="457"/>
    <n v="1792.7"/>
    <n v="1940.91"/>
    <n v="1830.55"/>
    <n v="2451.37"/>
    <n v="1005.67"/>
    <n v="1547.29"/>
    <n v="2002.72"/>
    <n v="2155.9499999999998"/>
    <n v="2450.67"/>
    <n v="455.79"/>
    <n v="1816.05"/>
    <n v="1472.43"/>
    <n v="1346.08"/>
    <n v="1936.65"/>
    <n v="1688.96"/>
    <n v="2817.33"/>
    <n v="1644.47"/>
    <n v="2565.8200000000002"/>
    <n v="2180.77"/>
    <n v="3109.21"/>
    <n v="4686.72"/>
    <n v="1071.3800000000001"/>
    <n v="2316.29"/>
    <n v="1945.28"/>
    <n v="2210.989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87.3"/>
    <n v="2084.38"/>
    <n v="1800.69"/>
    <n v="2460.4299999999998"/>
    <n v="1030.93"/>
    <n v="1540.31"/>
    <n v="2021.91"/>
    <n v="2221.13"/>
    <n v="2491.7600000000002"/>
    <n v="459.67"/>
    <n v="1661.57"/>
    <n v="1362.03"/>
    <n v="0"/>
    <n v="0"/>
    <n v="0"/>
    <n v="0"/>
    <n v="0"/>
    <n v="0"/>
    <n v="0"/>
    <n v="0"/>
    <n v="0"/>
    <n v="0"/>
    <n v="0"/>
    <n v="0"/>
    <x v="2"/>
    <x v="1"/>
    <s v="61100                   "/>
    <x v="10"/>
    <x v="4"/>
    <x v="19"/>
  </r>
  <r>
    <x v="2"/>
    <x v="2"/>
    <x v="458"/>
    <x v="458"/>
    <n v="18.73"/>
    <n v="205.03"/>
    <n v="147.97"/>
    <n v="172.34"/>
    <n v="245.29"/>
    <n v="225.38"/>
    <n v="179.42"/>
    <n v="215.6"/>
    <n v="0"/>
    <n v="480.92"/>
    <n v="186.94"/>
    <n v="197.53"/>
    <n v="106.08"/>
    <n v="-5.29"/>
    <n v="0.01"/>
    <n v="4.4800000000000004"/>
    <n v="0"/>
    <n v="7"/>
    <n v="0.01"/>
    <n v="0"/>
    <n v="14.93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.690000000000001"/>
    <n v="202.59"/>
    <n v="142.44"/>
    <n v="166.91"/>
    <n v="244.14"/>
    <n v="229.28"/>
    <n v="165.87"/>
    <n v="226.55"/>
    <n v="0"/>
    <n v="492.2"/>
    <n v="178.7"/>
    <n v="208.76"/>
    <n v="49.8"/>
    <n v="28.51"/>
    <n v="-100.61"/>
    <n v="4.3"/>
    <n v="0"/>
    <n v="6.79"/>
    <n v="34.520000000000003"/>
    <n v="-7.36"/>
    <n v="-255.42"/>
    <n v="280.43"/>
    <n v="58.73"/>
    <n v="114.07"/>
    <x v="2"/>
    <x v="1"/>
    <s v="61100                   "/>
    <x v="10"/>
    <x v="0"/>
    <x v="19"/>
  </r>
  <r>
    <x v="2"/>
    <x v="2"/>
    <x v="459"/>
    <x v="459"/>
    <n v="0"/>
    <n v="0"/>
    <n v="0"/>
    <n v="0"/>
    <n v="0"/>
    <n v="0"/>
    <n v="0"/>
    <n v="0"/>
    <n v="0"/>
    <n v="0"/>
    <n v="0"/>
    <n v="0"/>
    <n v="0"/>
    <n v="0"/>
    <n v="0"/>
    <n v="0"/>
    <n v="0"/>
    <n v="6.53"/>
    <n v="0"/>
    <n v="0"/>
    <n v="0"/>
    <n v="2.1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"/>
    <n v="0"/>
    <n v="16.77"/>
    <n v="0"/>
    <n v="67.08"/>
    <n v="6.57"/>
    <n v="0"/>
    <n v="0"/>
    <n v="0"/>
    <n v="0"/>
    <n v="0"/>
    <n v="80.22"/>
    <x v="2"/>
    <x v="1"/>
    <s v="61100                   "/>
    <x v="10"/>
    <x v="5"/>
    <x v="19"/>
  </r>
  <r>
    <x v="2"/>
    <x v="2"/>
    <x v="460"/>
    <x v="460"/>
    <n v="0"/>
    <n v="0"/>
    <n v="0"/>
    <n v="0"/>
    <n v="0"/>
    <n v="0"/>
    <n v="0"/>
    <n v="0"/>
    <n v="0"/>
    <n v="12.33"/>
    <n v="39.979999999999997"/>
    <n v="46.35"/>
    <n v="116.02"/>
    <n v="0.39"/>
    <n v="0"/>
    <n v="0"/>
    <n v="0"/>
    <n v="0"/>
    <n v="0"/>
    <n v="0"/>
    <n v="0"/>
    <n v="0"/>
    <n v="609.6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2"/>
    <n v="58.87"/>
    <n v="78.489999999999995"/>
    <n v="56.37"/>
    <n v="-39.36"/>
    <n v="0"/>
    <n v="0"/>
    <n v="6.1"/>
    <n v="0"/>
    <n v="6.1"/>
    <n v="0"/>
    <n v="0"/>
    <n v="5.71"/>
    <n v="13.48"/>
    <n v="29.08"/>
    <x v="2"/>
    <x v="1"/>
    <s v="61100                   "/>
    <x v="10"/>
    <x v="6"/>
    <x v="19"/>
  </r>
  <r>
    <x v="2"/>
    <x v="2"/>
    <x v="461"/>
    <x v="461"/>
    <n v="249.5"/>
    <n v="367.74"/>
    <n v="332.38"/>
    <n v="857.89"/>
    <n v="183.12"/>
    <n v="1810.61"/>
    <n v="132.52000000000001"/>
    <n v="319.64999999999998"/>
    <n v="157.03"/>
    <n v="156.55000000000001"/>
    <n v="53.96"/>
    <n v="13.63"/>
    <n v="282.82"/>
    <n v="179.79"/>
    <n v="95.02"/>
    <n v="125.67"/>
    <n v="90.69"/>
    <n v="471.88"/>
    <n v="966.71"/>
    <n v="79.09"/>
    <n v="382.26"/>
    <n v="166.22"/>
    <n v="46.72"/>
    <n v="47.86"/>
    <n v="222.4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8.86"/>
    <n v="302.77999999999997"/>
    <n v="282.55"/>
    <n v="896.77"/>
    <n v="144.36000000000001"/>
    <n v="1975.31"/>
    <n v="122.75"/>
    <n v="247.48"/>
    <n v="148.16"/>
    <n v="209.36"/>
    <n v="26.55"/>
    <n v="29.65"/>
    <n v="358.68"/>
    <n v="158.93"/>
    <n v="176.66"/>
    <n v="743.64"/>
    <n v="2457.9499999999998"/>
    <n v="3046.01"/>
    <n v="32.65"/>
    <n v="793.47"/>
    <n v="220.36"/>
    <n v="469.15"/>
    <n v="429"/>
    <n v="487.03"/>
    <x v="2"/>
    <x v="1"/>
    <s v="61100                   "/>
    <x v="10"/>
    <x v="1"/>
    <x v="19"/>
  </r>
  <r>
    <x v="2"/>
    <x v="2"/>
    <x v="462"/>
    <x v="462"/>
    <n v="0"/>
    <n v="0"/>
    <n v="0"/>
    <n v="0"/>
    <n v="0"/>
    <n v="0"/>
    <n v="0"/>
    <n v="0"/>
    <n v="0"/>
    <n v="0"/>
    <n v="0"/>
    <n v="0"/>
    <n v="162.86000000000001"/>
    <n v="348.72"/>
    <n v="240.69"/>
    <n v="284.08999999999997"/>
    <n v="276.64"/>
    <n v="335.92"/>
    <n v="182.62"/>
    <n v="334.8"/>
    <n v="217.52"/>
    <n v="490.19"/>
    <n v="368.9"/>
    <n v="277.68"/>
    <n v="-3520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31.2"/>
    <n v="555.63"/>
    <n v="10936.22"/>
    <n v="-539.1"/>
    <n v="3494.44"/>
    <n v="2008.54"/>
    <n v="612.54999999999995"/>
    <n v="940.78"/>
    <n v="-504.71"/>
    <n v="1567.76"/>
    <n v="354.56"/>
    <n v="-178.33"/>
    <n v="0"/>
    <n v="0"/>
    <n v="0"/>
    <n v="0"/>
    <n v="0"/>
    <n v="0"/>
    <n v="0"/>
    <n v="0"/>
    <n v="0"/>
    <n v="0"/>
    <n v="0"/>
    <n v="0"/>
    <x v="3"/>
    <x v="1"/>
    <s v="61100                   "/>
    <x v="10"/>
    <x v="7"/>
    <x v="19"/>
  </r>
  <r>
    <x v="2"/>
    <x v="2"/>
    <x v="462"/>
    <x v="462"/>
    <n v="6771.76"/>
    <n v="6721.01"/>
    <n v="8253.34"/>
    <n v="5947.27"/>
    <n v="4631.38"/>
    <n v="4405.05"/>
    <n v="6445.63"/>
    <n v="6824.5"/>
    <n v="8490.41"/>
    <n v="3387.4"/>
    <n v="7700.61"/>
    <n v="8506.4500000000007"/>
    <n v="3540.22"/>
    <n v="5331.9"/>
    <n v="5599.95"/>
    <n v="5016.58"/>
    <n v="6466.83"/>
    <n v="6102.2"/>
    <n v="5430.53"/>
    <n v="8284.65"/>
    <n v="4223.34"/>
    <n v="6211.7"/>
    <n v="6438.51"/>
    <n v="1568.54"/>
    <n v="1934.6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244.48"/>
    <n v="6175.36"/>
    <n v="7684.86"/>
    <n v="5614.81"/>
    <n v="4840.5200000000004"/>
    <n v="4721.4399999999996"/>
    <n v="6285.9"/>
    <n v="7748.23"/>
    <n v="8402.6299999999992"/>
    <n v="3806.78"/>
    <n v="7831.75"/>
    <n v="8728.0499999999993"/>
    <n v="1639.97"/>
    <n v="3575.74"/>
    <n v="4877.12"/>
    <n v="1334.98"/>
    <n v="1337.03"/>
    <n v="1525.09"/>
    <n v="1664.69"/>
    <n v="1597.15"/>
    <n v="1690.33"/>
    <n v="1083.97"/>
    <n v="1407.92"/>
    <n v="1547.2"/>
    <x v="2"/>
    <x v="1"/>
    <s v="61100                   "/>
    <x v="10"/>
    <x v="7"/>
    <x v="19"/>
  </r>
  <r>
    <x v="2"/>
    <x v="2"/>
    <x v="463"/>
    <x v="463"/>
    <n v="9475.67"/>
    <n v="17832.95"/>
    <n v="18239.07"/>
    <n v="17943.54"/>
    <n v="7020.56"/>
    <n v="1469.83"/>
    <n v="244.19"/>
    <n v="11061.91"/>
    <n v="7995.83"/>
    <n v="2074.92"/>
    <n v="9523.11"/>
    <n v="1307.03"/>
    <n v="7893.49"/>
    <n v="7554.16"/>
    <n v="6862.57"/>
    <n v="-10768.21"/>
    <n v="679.25"/>
    <n v="557.16999999999996"/>
    <n v="574.45000000000005"/>
    <n v="3225.25"/>
    <n v="1317.89"/>
    <n v="3207.12"/>
    <n v="1835.57"/>
    <n v="195.49"/>
    <n v="640.5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25.29"/>
    <n v="2947"/>
    <n v="1443.71"/>
    <n v="1569.17"/>
    <n v="800.56"/>
    <n v="1845.72"/>
    <n v="1430.87"/>
    <n v="1161.68"/>
    <n v="803.34"/>
    <n v="675.08"/>
    <n v="1267.24"/>
    <n v="1735.94"/>
    <n v="2037.53"/>
    <n v="2229.2199999999998"/>
    <n v="1530.04"/>
    <n v="1452.52"/>
    <n v="1233.83"/>
    <n v="1550.7"/>
    <n v="1158.3599999999999"/>
    <n v="1972.21"/>
    <n v="1996.4"/>
    <n v="934.95"/>
    <n v="1783.67"/>
    <n v="1633.81"/>
    <x v="2"/>
    <x v="1"/>
    <s v="61100                   "/>
    <x v="10"/>
    <x v="8"/>
    <x v="19"/>
  </r>
  <r>
    <x v="2"/>
    <x v="2"/>
    <x v="464"/>
    <x v="464"/>
    <n v="189.87"/>
    <n v="262.74"/>
    <n v="308.01"/>
    <n v="381.18"/>
    <n v="582.98"/>
    <n v="299.83999999999997"/>
    <n v="293.14"/>
    <n v="725.58"/>
    <n v="230.53"/>
    <n v="796.48"/>
    <n v="197.12"/>
    <n v="225.57"/>
    <n v="1456.66"/>
    <n v="814.13"/>
    <n v="153.87"/>
    <n v="365.75"/>
    <n v="86.33"/>
    <n v="195.27"/>
    <n v="169.43"/>
    <n v="181.87"/>
    <n v="1238.1099999999999"/>
    <n v="273.76"/>
    <n v="165.19"/>
    <n v="1076.43"/>
    <n v="849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7.38"/>
    <n v="246.43"/>
    <n v="320.47000000000003"/>
    <n v="432.98"/>
    <n v="537.09"/>
    <n v="311.14"/>
    <n v="316.83"/>
    <n v="868.61"/>
    <n v="161.49"/>
    <n v="708.78"/>
    <n v="167.83"/>
    <n v="224.02"/>
    <n v="847.92"/>
    <n v="122.46"/>
    <n v="-29.82"/>
    <n v="367.22"/>
    <n v="167.88"/>
    <n v="316.67"/>
    <n v="348.19"/>
    <n v="761.32"/>
    <n v="91.42"/>
    <n v="668.79"/>
    <n v="361.02"/>
    <n v="249.28"/>
    <x v="2"/>
    <x v="1"/>
    <s v="61100                   "/>
    <x v="10"/>
    <x v="9"/>
    <x v="19"/>
  </r>
  <r>
    <x v="2"/>
    <x v="2"/>
    <x v="465"/>
    <x v="465"/>
    <n v="0"/>
    <n v="0"/>
    <n v="0"/>
    <n v="0"/>
    <n v="0"/>
    <n v="0"/>
    <n v="0"/>
    <n v="0"/>
    <n v="0"/>
    <n v="0"/>
    <n v="0"/>
    <n v="0"/>
    <n v="928.07"/>
    <n v="-229.45"/>
    <n v="97.73"/>
    <n v="183.92"/>
    <n v="0"/>
    <n v="34.29"/>
    <n v="238.95"/>
    <n v="0"/>
    <n v="685.82"/>
    <n v="34.29"/>
    <n v="37.409999999999997"/>
    <n v="1112.8900000000001"/>
    <n v="3638.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2.47"/>
    <n v="98.64"/>
    <n v="1101.6300000000001"/>
    <n v="59.78"/>
    <n v="151.83000000000001"/>
    <n v="857.71"/>
    <n v="148.69"/>
    <n v="113.19"/>
    <n v="78.650000000000006"/>
    <n v="331.35"/>
    <n v="137.25"/>
    <n v="0"/>
    <n v="740.86"/>
    <n v="-350.82"/>
    <n v="103.19"/>
    <n v="102.96"/>
    <n v="0"/>
    <n v="34.32"/>
    <n v="106.28"/>
    <n v="100.96"/>
    <n v="48.61"/>
    <n v="380.87"/>
    <n v="35.47"/>
    <n v="6.47"/>
    <x v="2"/>
    <x v="1"/>
    <s v="61100                   "/>
    <x v="10"/>
    <x v="10"/>
    <x v="19"/>
  </r>
  <r>
    <x v="2"/>
    <x v="2"/>
    <x v="466"/>
    <x v="466"/>
    <n v="168.76"/>
    <n v="111.58"/>
    <n v="1276.9000000000001"/>
    <n v="138.15"/>
    <n v="462.4"/>
    <n v="1150.45"/>
    <n v="686.27"/>
    <n v="1517.39"/>
    <n v="246.97"/>
    <n v="1757.06"/>
    <n v="797.31"/>
    <n v="794.29"/>
    <n v="1016.78"/>
    <n v="355.74"/>
    <n v="554.13"/>
    <n v="766.35"/>
    <n v="489.82"/>
    <n v="963.74"/>
    <n v="1314.72"/>
    <n v="627.78"/>
    <n v="1072.97"/>
    <n v="887.16"/>
    <n v="720.54"/>
    <n v="426.1"/>
    <n v="727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97"/>
    <n v="379.12"/>
    <n v="92.86"/>
    <n v="571.09"/>
    <n v="1495.18"/>
    <n v="228.34"/>
    <n v="1455.16"/>
    <n v="678.79"/>
    <n v="868.81"/>
    <n v="692.8"/>
    <n v="-170.64"/>
    <n v="288.93"/>
    <n v="473.58"/>
    <n v="393.16"/>
    <n v="846.27"/>
    <n v="3046.12"/>
    <n v="2531.64"/>
    <n v="-288.66000000000003"/>
    <n v="1371.76"/>
    <n v="246.14"/>
    <n v="742.19"/>
    <x v="2"/>
    <x v="1"/>
    <s v="61100                   "/>
    <x v="10"/>
    <x v="11"/>
    <x v="19"/>
  </r>
  <r>
    <x v="2"/>
    <x v="2"/>
    <x v="467"/>
    <x v="467"/>
    <n v="224.62"/>
    <n v="159"/>
    <n v="366.06"/>
    <n v="1174.18"/>
    <n v="1433.96"/>
    <n v="941.9"/>
    <n v="965.67"/>
    <n v="185.93"/>
    <n v="248.59"/>
    <n v="1190.5999999999999"/>
    <n v="398.57"/>
    <n v="76.819999999999993"/>
    <n v="173.31"/>
    <n v="107.72"/>
    <n v="175.77"/>
    <n v="134.06"/>
    <n v="144.83000000000001"/>
    <n v="625.61"/>
    <n v="158.30000000000001"/>
    <n v="356"/>
    <n v="925.38"/>
    <n v="953.33"/>
    <n v="136.6"/>
    <n v="804.19"/>
    <n v="1005.2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7.39"/>
    <n v="125.4"/>
    <n v="226.98"/>
    <n v="215.93"/>
    <n v="3.4"/>
    <n v="-52.86"/>
    <n v="31.64"/>
    <n v="123.46"/>
    <n v="213.8"/>
    <n v="2269.75"/>
    <n v="493.51"/>
    <n v="-87.01"/>
    <n v="2500.0300000000002"/>
    <n v="2811.24"/>
    <n v="2168.25"/>
    <n v="2750.24"/>
    <n v="2351.23"/>
    <n v="5900.6"/>
    <n v="2913.64"/>
    <n v="3102.74"/>
    <n v="3418.25"/>
    <n v="2555.86"/>
    <n v="3263.3"/>
    <n v="2507.6999999999998"/>
    <x v="2"/>
    <x v="1"/>
    <s v="61100                   "/>
    <x v="10"/>
    <x v="12"/>
    <x v="19"/>
  </r>
  <r>
    <x v="2"/>
    <x v="2"/>
    <x v="468"/>
    <x v="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0"/>
    <x v="13"/>
    <x v="19"/>
  </r>
  <r>
    <x v="2"/>
    <x v="2"/>
    <x v="469"/>
    <x v="469"/>
    <n v="0"/>
    <n v="254.36"/>
    <n v="0"/>
    <n v="0"/>
    <n v="9.3000000000000007"/>
    <n v="21.71"/>
    <n v="557.70000000000005"/>
    <n v="42.19"/>
    <n v="0"/>
    <n v="0.01"/>
    <n v="290.33999999999997"/>
    <n v="3.1"/>
    <n v="77.86"/>
    <n v="0"/>
    <n v="253.47"/>
    <n v="14.1"/>
    <n v="17.600000000000001"/>
    <n v="1376.64"/>
    <n v="556.29"/>
    <n v="235.93"/>
    <n v="141.96"/>
    <n v="-483.85"/>
    <n v="144.22999999999999"/>
    <n v="0"/>
    <n v="215.8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10.85"/>
    <n v="0"/>
    <n v="0"/>
    <n v="8.6"/>
    <n v="20.09"/>
    <n v="760.7"/>
    <n v="46.4"/>
    <n v="0"/>
    <n v="0"/>
    <n v="129.19"/>
    <n v="2.88"/>
    <n v="0"/>
    <n v="0"/>
    <n v="38.72"/>
    <n v="14.08"/>
    <n v="21.12"/>
    <n v="317.83"/>
    <n v="0"/>
    <n v="464.64"/>
    <n v="0"/>
    <n v="107.88"/>
    <n v="36.24"/>
    <n v="35.659999999999997"/>
    <x v="2"/>
    <x v="1"/>
    <s v="61100                   "/>
    <x v="10"/>
    <x v="14"/>
    <x v="19"/>
  </r>
  <r>
    <x v="2"/>
    <x v="2"/>
    <x v="470"/>
    <x v="470"/>
    <n v="1480.59"/>
    <n v="1241.52"/>
    <n v="618.5"/>
    <n v="15.95"/>
    <n v="323.74"/>
    <n v="947.39"/>
    <n v="16.03"/>
    <n v="-0.01"/>
    <n v="0"/>
    <n v="1024.1500000000001"/>
    <n v="542.83000000000004"/>
    <n v="837.22"/>
    <n v="1335.04"/>
    <n v="-322.67"/>
    <n v="72.64"/>
    <n v="1421.75"/>
    <n v="2826.99"/>
    <n v="1923.02"/>
    <n v="2818.08"/>
    <n v="2290.8000000000002"/>
    <n v="1672.12"/>
    <n v="1309.92"/>
    <n v="1185.3900000000001"/>
    <n v="1226.8399999999999"/>
    <n v="1581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43.2"/>
    <n v="1223.9100000000001"/>
    <n v="626.03"/>
    <n v="-47.13"/>
    <n v="269.62"/>
    <n v="938.23"/>
    <n v="12.16"/>
    <n v="0"/>
    <n v="0"/>
    <n v="1064.21"/>
    <n v="755.07"/>
    <n v="762.61"/>
    <n v="193.9"/>
    <n v="-168.97"/>
    <n v="-19.39"/>
    <n v="5.54"/>
    <n v="27.7"/>
    <n v="0"/>
    <n v="27.7"/>
    <n v="47.09"/>
    <n v="5.54"/>
    <n v="0"/>
    <n v="5.54"/>
    <n v="30.47"/>
    <x v="2"/>
    <x v="1"/>
    <s v="61100                   "/>
    <x v="10"/>
    <x v="15"/>
    <x v="19"/>
  </r>
  <r>
    <x v="2"/>
    <x v="2"/>
    <x v="471"/>
    <x v="471"/>
    <n v="0"/>
    <n v="0"/>
    <n v="0"/>
    <n v="0"/>
    <n v="0"/>
    <n v="0"/>
    <n v="0"/>
    <n v="0"/>
    <n v="0"/>
    <n v="0"/>
    <n v="0"/>
    <n v="0"/>
    <n v="179.17"/>
    <n v="424.52"/>
    <n v="-0.01"/>
    <n v="46.29"/>
    <n v="130.19"/>
    <n v="191.12"/>
    <n v="122.77"/>
    <n v="2.7"/>
    <n v="489.89"/>
    <n v="92.75"/>
    <n v="161.69"/>
    <n v="98.34"/>
    <n v="-1939.4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05.77"/>
    <n v="20.16"/>
    <n v="-17.82"/>
    <n v="-284.27"/>
    <n v="-33.82"/>
    <n v="-235.33"/>
    <n v="-293.11"/>
    <n v="-351.47"/>
    <n v="-252.71"/>
    <n v="-105.54"/>
    <n v="-122.32"/>
    <n v="-61.17"/>
    <n v="0"/>
    <n v="0"/>
    <n v="0"/>
    <n v="0"/>
    <n v="0"/>
    <n v="0"/>
    <n v="0"/>
    <n v="0"/>
    <n v="0"/>
    <n v="0"/>
    <n v="0"/>
    <n v="0"/>
    <x v="3"/>
    <x v="1"/>
    <s v="61100                   "/>
    <x v="10"/>
    <x v="16"/>
    <x v="19"/>
  </r>
  <r>
    <x v="2"/>
    <x v="2"/>
    <x v="471"/>
    <x v="471"/>
    <n v="573.02"/>
    <n v="645.9"/>
    <n v="561.37"/>
    <n v="121.66"/>
    <n v="207.27"/>
    <n v="147.78"/>
    <n v="144.16999999999999"/>
    <n v="204.49"/>
    <n v="149.59"/>
    <n v="259.42"/>
    <n v="224.35"/>
    <n v="72.08"/>
    <n v="127.95"/>
    <n v="89.21"/>
    <n v="209.92"/>
    <n v="602.71"/>
    <n v="517.20000000000005"/>
    <n v="483.82"/>
    <n v="329.37"/>
    <n v="151.33000000000001"/>
    <n v="151.32"/>
    <n v="54.81"/>
    <n v="222.8"/>
    <n v="145.93"/>
    <n v="59.4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2.67"/>
    <n v="393.55"/>
    <n v="393.8"/>
    <n v="181.82"/>
    <n v="309.77"/>
    <n v="215.63"/>
    <n v="208.93"/>
    <n v="236.61"/>
    <n v="219.28"/>
    <n v="378.43"/>
    <n v="277.95999999999998"/>
    <n v="92.64"/>
    <n v="141.52000000000001"/>
    <n v="13.48"/>
    <n v="12.24"/>
    <n v="3.37"/>
    <n v="135.19999999999999"/>
    <n v="184.1"/>
    <n v="17.23"/>
    <n v="235.33"/>
    <n v="8.33"/>
    <n v="219.88"/>
    <n v="124.48"/>
    <n v="223.02"/>
    <x v="2"/>
    <x v="1"/>
    <s v="61100                   "/>
    <x v="10"/>
    <x v="16"/>
    <x v="19"/>
  </r>
  <r>
    <x v="2"/>
    <x v="2"/>
    <x v="472"/>
    <x v="472"/>
    <n v="207.82"/>
    <n v="209.89"/>
    <n v="350.47"/>
    <n v="654.04999999999995"/>
    <n v="480.86"/>
    <n v="470.67"/>
    <n v="562.36"/>
    <n v="482.9"/>
    <n v="6.12"/>
    <n v="1008.59"/>
    <n v="340.27"/>
    <n v="405.47"/>
    <n v="656.1"/>
    <n v="38.72"/>
    <n v="67.239999999999995"/>
    <n v="450.3"/>
    <n v="484.93"/>
    <n v="403.44"/>
    <n v="311.75"/>
    <n v="330.08"/>
    <n v="574.59"/>
    <n v="246.54"/>
    <n v="291.37"/>
    <n v="201.72"/>
    <n v="319.8999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2"/>
    <n v="0"/>
    <n v="0"/>
    <n v="2.04"/>
    <n v="0"/>
    <n v="2.04"/>
    <n v="0"/>
    <n v="0"/>
    <n v="0"/>
    <n v="12.24"/>
    <n v="0"/>
    <n v="51"/>
    <x v="2"/>
    <x v="1"/>
    <s v="61100                   "/>
    <x v="10"/>
    <x v="17"/>
    <x v="19"/>
  </r>
  <r>
    <x v="2"/>
    <x v="2"/>
    <x v="473"/>
    <x v="4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.6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0"/>
    <x v="18"/>
    <x v="19"/>
  </r>
  <r>
    <x v="2"/>
    <x v="2"/>
    <x v="474"/>
    <x v="474"/>
    <n v="19351.599999999999"/>
    <n v="29978.66"/>
    <n v="27139.96"/>
    <n v="28394.86"/>
    <n v="24792.02"/>
    <n v="28732.2"/>
    <n v="25586.76"/>
    <n v="23176.41"/>
    <n v="28763.35"/>
    <n v="15388.51"/>
    <n v="20173.32"/>
    <n v="18233.98"/>
    <n v="21697.35"/>
    <n v="22310.63"/>
    <n v="22637.360000000001"/>
    <n v="29426.880000000001"/>
    <n v="20849.759999999998"/>
    <n v="25875.14"/>
    <n v="25273.200000000001"/>
    <n v="23776.41"/>
    <n v="29307.64"/>
    <n v="16270.59"/>
    <n v="18993.169999999998"/>
    <n v="21265.39"/>
    <n v="23909.4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645.79"/>
    <n v="33992.93"/>
    <n v="35623.980000000003"/>
    <n v="32919.89"/>
    <n v="36969.64"/>
    <n v="39274.769999999997"/>
    <n v="41992.51"/>
    <n v="33727.230000000003"/>
    <n v="50219.48"/>
    <n v="26194.58"/>
    <n v="28543.759999999998"/>
    <n v="27921.15"/>
    <n v="25232.31"/>
    <n v="26476.7"/>
    <n v="29651.41"/>
    <n v="32723.11"/>
    <n v="30057.88"/>
    <n v="33557.39"/>
    <n v="30890.880000000001"/>
    <n v="28051.279999999999"/>
    <n v="36807.33"/>
    <n v="19895.29"/>
    <n v="24611.25"/>
    <n v="22619.4"/>
    <x v="2"/>
    <x v="1"/>
    <s v="61100                   "/>
    <x v="11"/>
    <x v="3"/>
    <x v="25"/>
  </r>
  <r>
    <x v="2"/>
    <x v="2"/>
    <x v="475"/>
    <x v="475"/>
    <n v="54541.37"/>
    <n v="67022.41"/>
    <n v="62256.86"/>
    <n v="58682.65"/>
    <n v="58014.47"/>
    <n v="57858.23"/>
    <n v="63906.36"/>
    <n v="51520.07"/>
    <n v="58773.68"/>
    <n v="41068.9"/>
    <n v="38154.97"/>
    <n v="45209.49"/>
    <n v="54839.63"/>
    <n v="65656.08"/>
    <n v="63760.04"/>
    <n v="58489.82"/>
    <n v="53840.52"/>
    <n v="62656.41"/>
    <n v="62421.73"/>
    <n v="56169.71"/>
    <n v="72627.149999999994"/>
    <n v="38408.9"/>
    <n v="42030.85"/>
    <n v="45607.26"/>
    <n v="57961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3170.43"/>
    <n v="75570.95"/>
    <n v="78171.759999999995"/>
    <n v="71128.259999999995"/>
    <n v="70846.929999999993"/>
    <n v="70552.77"/>
    <n v="79788.52"/>
    <n v="65809.03"/>
    <n v="66855.149999999994"/>
    <n v="43465.72"/>
    <n v="54846.99"/>
    <n v="56169.760000000002"/>
    <n v="46842.67"/>
    <n v="58045.37"/>
    <n v="58986.03"/>
    <n v="56589.99"/>
    <n v="59776.24"/>
    <n v="63888.45"/>
    <n v="57641.47"/>
    <n v="49856.1"/>
    <n v="53146.33"/>
    <n v="39420.910000000003"/>
    <n v="35594.67"/>
    <n v="44183.67"/>
    <x v="2"/>
    <x v="1"/>
    <s v="61100                   "/>
    <x v="11"/>
    <x v="4"/>
    <x v="25"/>
  </r>
  <r>
    <x v="2"/>
    <x v="2"/>
    <x v="476"/>
    <x v="476"/>
    <n v="0.01"/>
    <n v="0.01"/>
    <n v="0"/>
    <n v="0"/>
    <n v="0"/>
    <n v="0"/>
    <n v="0.01"/>
    <n v="0"/>
    <n v="0"/>
    <n v="0"/>
    <n v="0"/>
    <n v="0"/>
    <n v="0"/>
    <n v="0"/>
    <n v="0"/>
    <n v="-0.01"/>
    <n v="711.02"/>
    <n v="-598.86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0"/>
    <x v="25"/>
  </r>
  <r>
    <x v="2"/>
    <x v="2"/>
    <x v="477"/>
    <x v="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5"/>
    <x v="25"/>
  </r>
  <r>
    <x v="2"/>
    <x v="2"/>
    <x v="478"/>
    <x v="478"/>
    <n v="0"/>
    <n v="0"/>
    <n v="0"/>
    <n v="0"/>
    <n v="0"/>
    <n v="0"/>
    <n v="0"/>
    <n v="0"/>
    <n v="0"/>
    <n v="0"/>
    <n v="0"/>
    <n v="123.31"/>
    <n v="0"/>
    <n v="0"/>
    <n v="0"/>
    <n v="0"/>
    <n v="0"/>
    <n v="0"/>
    <n v="0"/>
    <n v="73.180000000000007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6"/>
    <x v="25"/>
  </r>
  <r>
    <x v="2"/>
    <x v="2"/>
    <x v="479"/>
    <x v="479"/>
    <n v="1585.12"/>
    <n v="1588.02"/>
    <n v="1198.8"/>
    <n v="1319.81"/>
    <n v="4612.68"/>
    <n v="3711.41"/>
    <n v="1687.78"/>
    <n v="1696.71"/>
    <n v="1611.64"/>
    <n v="1601.35"/>
    <n v="2200.7800000000002"/>
    <n v="1816.54"/>
    <n v="1591.7"/>
    <n v="1501.78"/>
    <n v="643.14"/>
    <n v="851.66"/>
    <n v="4140.5"/>
    <n v="2617.23"/>
    <n v="687.14"/>
    <n v="1029.45"/>
    <n v="958.94"/>
    <n v="2764.68"/>
    <n v="2877.7"/>
    <n v="1062.56"/>
    <n v="1337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64.72"/>
    <n v="2714.05"/>
    <n v="2325.64"/>
    <n v="2691.86"/>
    <n v="2721.19"/>
    <n v="5033.92"/>
    <n v="3285.67"/>
    <n v="4066.74"/>
    <n v="4192.59"/>
    <n v="2917.18"/>
    <n v="3191.76"/>
    <n v="2855.07"/>
    <n v="2613.17"/>
    <n v="2223.83"/>
    <n v="2247.17"/>
    <n v="1408.77"/>
    <n v="6933.41"/>
    <n v="3140.53"/>
    <n v="4648.59"/>
    <n v="1296.68"/>
    <n v="3166.14"/>
    <n v="2667.59"/>
    <n v="1325.93"/>
    <n v="1712.06"/>
    <x v="2"/>
    <x v="1"/>
    <s v="61100                   "/>
    <x v="11"/>
    <x v="1"/>
    <x v="25"/>
  </r>
  <r>
    <x v="2"/>
    <x v="2"/>
    <x v="480"/>
    <x v="480"/>
    <n v="0"/>
    <n v="0"/>
    <n v="0"/>
    <n v="0"/>
    <n v="0"/>
    <n v="0"/>
    <n v="0"/>
    <n v="0"/>
    <n v="0"/>
    <n v="0"/>
    <n v="0"/>
    <n v="0"/>
    <n v="1.3"/>
    <n v="546.16999999999996"/>
    <n v="797.09"/>
    <n v="479.7"/>
    <n v="128"/>
    <n v="323.81"/>
    <n v="125.93"/>
    <n v="280.77"/>
    <n v="361.52"/>
    <n v="155.55000000000001"/>
    <n v="31.15"/>
    <n v="436.62"/>
    <n v="-3667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11"/>
    <x v="7"/>
    <x v="25"/>
  </r>
  <r>
    <x v="2"/>
    <x v="2"/>
    <x v="480"/>
    <x v="480"/>
    <n v="2845.19"/>
    <n v="1526.16"/>
    <n v="2038.1"/>
    <n v="2031.94"/>
    <n v="1461"/>
    <n v="1949.32"/>
    <n v="1577.26"/>
    <n v="948.46"/>
    <n v="3740.15"/>
    <n v="1246.96"/>
    <n v="1182.02"/>
    <n v="-0.02"/>
    <n v="31.54"/>
    <n v="-0.01"/>
    <n v="0"/>
    <n v="37.4"/>
    <n v="0"/>
    <n v="0"/>
    <n v="-0.01"/>
    <n v="0"/>
    <n v="0"/>
    <n v="0"/>
    <n v="0"/>
    <n v="0"/>
    <n v="353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129.79"/>
    <n v="3214.2"/>
    <n v="4274.3900000000003"/>
    <n v="4325.33"/>
    <n v="3567.18"/>
    <n v="5365.36"/>
    <n v="4175.8900000000003"/>
    <n v="5776.34"/>
    <n v="3718.55"/>
    <n v="3145.29"/>
    <n v="3232.45"/>
    <n v="2253.0300000000002"/>
    <n v="722.06"/>
    <n v="1547.8"/>
    <n v="794.76"/>
    <n v="962.63"/>
    <n v="3850.98"/>
    <n v="951.35"/>
    <n v="2815.88"/>
    <n v="3867.53"/>
    <n v="5389"/>
    <n v="2663.11"/>
    <n v="2693.04"/>
    <n v="5888.24"/>
    <x v="2"/>
    <x v="1"/>
    <s v="61100                   "/>
    <x v="11"/>
    <x v="7"/>
    <x v="25"/>
  </r>
  <r>
    <x v="2"/>
    <x v="2"/>
    <x v="481"/>
    <x v="481"/>
    <n v="6601.57"/>
    <n v="6534.54"/>
    <n v="6304.27"/>
    <n v="4347.3900000000003"/>
    <n v="6579.82"/>
    <n v="6261.71"/>
    <n v="7033.96"/>
    <n v="6022.01"/>
    <n v="13061.76"/>
    <n v="4198.2"/>
    <n v="3794.59"/>
    <n v="3915.81"/>
    <n v="6474.81"/>
    <n v="5531.81"/>
    <n v="6254.93"/>
    <n v="20778.830000000002"/>
    <n v="11355.31"/>
    <n v="12130.49"/>
    <n v="12476.18"/>
    <n v="13399.9"/>
    <n v="11375.72"/>
    <n v="12108.3"/>
    <n v="4354.66"/>
    <n v="16221"/>
    <n v="7258.4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176.5"/>
    <n v="23127.48"/>
    <n v="22598.400000000001"/>
    <n v="20964.75"/>
    <n v="21677.06"/>
    <n v="22799.919999999998"/>
    <n v="20993.17"/>
    <n v="23547.95"/>
    <n v="22595.27"/>
    <n v="22933.17"/>
    <n v="21674.16"/>
    <n v="19558.099999999999"/>
    <n v="7944.31"/>
    <n v="9799.5300000000007"/>
    <n v="9889.15"/>
    <n v="7219.22"/>
    <n v="10010.6"/>
    <n v="11774.88"/>
    <n v="6766.45"/>
    <n v="8825.56"/>
    <n v="9695.1299999999992"/>
    <n v="7150.97"/>
    <n v="6948.89"/>
    <n v="7349.57"/>
    <x v="2"/>
    <x v="1"/>
    <s v="61100                   "/>
    <x v="11"/>
    <x v="8"/>
    <x v="25"/>
  </r>
  <r>
    <x v="2"/>
    <x v="2"/>
    <x v="482"/>
    <x v="482"/>
    <n v="272.44"/>
    <n v="835.52"/>
    <n v="1326.3"/>
    <n v="1432.9"/>
    <n v="833.83"/>
    <n v="720.78"/>
    <n v="786.68"/>
    <n v="596"/>
    <n v="824.33"/>
    <n v="983.96"/>
    <n v="428.63"/>
    <n v="705.01"/>
    <n v="720.85"/>
    <n v="1316.1"/>
    <n v="744.43"/>
    <n v="736.06"/>
    <n v="1068.83"/>
    <n v="681.57"/>
    <n v="866.26"/>
    <n v="516.07000000000005"/>
    <n v="721.35"/>
    <n v="329.19"/>
    <n v="325.24"/>
    <n v="5406.82"/>
    <n v="1835.2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2.06"/>
    <n v="2418.34"/>
    <n v="3828.54"/>
    <n v="4989.83"/>
    <n v="3693.32"/>
    <n v="2527.77"/>
    <n v="2496.9899999999998"/>
    <n v="3327.02"/>
    <n v="1642.85"/>
    <n v="1716.76"/>
    <n v="1607.18"/>
    <n v="2475.7800000000002"/>
    <n v="1156.97"/>
    <n v="1750.03"/>
    <n v="1532.33"/>
    <n v="1104.31"/>
    <n v="2311.7600000000002"/>
    <n v="1141.0999999999999"/>
    <n v="1340.33"/>
    <n v="1142.6500000000001"/>
    <n v="957.37"/>
    <n v="1266.05"/>
    <n v="276.04000000000002"/>
    <n v="635.23"/>
    <x v="2"/>
    <x v="1"/>
    <s v="61100                   "/>
    <x v="11"/>
    <x v="9"/>
    <x v="25"/>
  </r>
  <r>
    <x v="2"/>
    <x v="2"/>
    <x v="483"/>
    <x v="483"/>
    <n v="693.45"/>
    <n v="700.55"/>
    <n v="332.82"/>
    <n v="82.2"/>
    <n v="193.14"/>
    <n v="81.239999999999995"/>
    <n v="341.54"/>
    <n v="21.45"/>
    <n v="265.11"/>
    <n v="185.14"/>
    <n v="75.13"/>
    <n v="34.93"/>
    <n v="0"/>
    <n v="46.01"/>
    <n v="0"/>
    <n v="77.599999999999994"/>
    <n v="0"/>
    <n v="0"/>
    <n v="-185.24"/>
    <n v="72.36"/>
    <n v="0"/>
    <n v="0"/>
    <n v="0"/>
    <n v="0"/>
    <n v="74.8199999999999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2.23"/>
    <n v="453.68"/>
    <n v="726.59"/>
    <n v="56.95"/>
    <n v="129.38"/>
    <n v="97.57"/>
    <n v="129.54"/>
    <n v="51.23"/>
    <n v="356.81"/>
    <n v="147.69"/>
    <n v="108.47"/>
    <n v="260.54000000000002"/>
    <n v="0"/>
    <n v="55.57"/>
    <n v="0"/>
    <n v="98.67"/>
    <n v="0"/>
    <n v="0"/>
    <n v="426.45"/>
    <n v="65.17"/>
    <n v="260.7"/>
    <n v="45.31"/>
    <n v="103.67"/>
    <n v="43.11"/>
    <x v="2"/>
    <x v="1"/>
    <s v="61100                   "/>
    <x v="11"/>
    <x v="10"/>
    <x v="25"/>
  </r>
  <r>
    <x v="2"/>
    <x v="2"/>
    <x v="484"/>
    <x v="484"/>
    <n v="0"/>
    <n v="0"/>
    <n v="253.4"/>
    <n v="787.89"/>
    <n v="1787.11"/>
    <n v="1965.31"/>
    <n v="2497.5500000000002"/>
    <n v="2871.14"/>
    <n v="2930.06"/>
    <n v="406.11"/>
    <n v="735.53"/>
    <n v="954.51"/>
    <n v="740.7"/>
    <n v="883.25"/>
    <n v="1407.79"/>
    <n v="950.76"/>
    <n v="1553.92"/>
    <n v="2796.21"/>
    <n v="3391.65"/>
    <n v="2258.61"/>
    <n v="3895.55"/>
    <n v="1145.6400000000001"/>
    <n v="1605.4"/>
    <n v="2155.09"/>
    <n v="2812.1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71.05"/>
    <n v="2049.29"/>
    <n v="2082.71"/>
    <n v="3483.51"/>
    <n v="4289.6099999999997"/>
    <n v="6138.66"/>
    <n v="7198.33"/>
    <n v="8260.76"/>
    <n v="3745.08"/>
    <n v="1829.98"/>
    <n v="3720.38"/>
    <n v="3508.94"/>
    <n v="2553.69"/>
    <n v="1985.64"/>
    <n v="3447.39"/>
    <n v="1249.82"/>
    <n v="3987.78"/>
    <n v="3849.86"/>
    <n v="6078.89"/>
    <n v="4322.17"/>
    <n v="5814.09"/>
    <n v="1183.46"/>
    <n v="3320.65"/>
    <n v="1533.02"/>
    <x v="2"/>
    <x v="1"/>
    <s v="61100                   "/>
    <x v="11"/>
    <x v="11"/>
    <x v="25"/>
  </r>
  <r>
    <x v="2"/>
    <x v="2"/>
    <x v="485"/>
    <x v="485"/>
    <n v="85.94"/>
    <n v="489.78"/>
    <n v="-30.15"/>
    <n v="30.87"/>
    <n v="77.44"/>
    <n v="38.729999999999997"/>
    <n v="0.01"/>
    <n v="85.71"/>
    <n v="0"/>
    <n v="2635.1"/>
    <n v="543.82000000000005"/>
    <n v="268.92"/>
    <n v="-181.73"/>
    <n v="283.83999999999997"/>
    <n v="214.21"/>
    <n v="103.84"/>
    <n v="253.17"/>
    <n v="259.62"/>
    <n v="175.54"/>
    <n v="230.42"/>
    <n v="74.47"/>
    <n v="155.76"/>
    <n v="207.69"/>
    <n v="655.95"/>
    <n v="155.7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.57"/>
    <n v="1556.31"/>
    <n v="274.43"/>
    <n v="231.91"/>
    <n v="23.57"/>
    <n v="231.91"/>
    <n v="47.14"/>
    <n v="773.64"/>
    <n v="-53.63"/>
    <n v="1223.3800000000001"/>
    <n v="2351.23"/>
    <n v="43.61"/>
    <n v="6317.23"/>
    <n v="6813.06"/>
    <n v="8580.69"/>
    <n v="7518.86"/>
    <n v="7303.07"/>
    <n v="7663.6"/>
    <n v="8274.18"/>
    <n v="4413.55"/>
    <n v="8047.92"/>
    <n v="10431.19"/>
    <n v="7555.37"/>
    <n v="5900.9"/>
    <x v="2"/>
    <x v="1"/>
    <s v="61100                   "/>
    <x v="11"/>
    <x v="12"/>
    <x v="25"/>
  </r>
  <r>
    <x v="2"/>
    <x v="2"/>
    <x v="486"/>
    <x v="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13"/>
    <x v="25"/>
  </r>
  <r>
    <x v="2"/>
    <x v="2"/>
    <x v="487"/>
    <x v="487"/>
    <n v="351.28"/>
    <n v="2779.75"/>
    <n v="3139.09"/>
    <n v="2180.17"/>
    <n v="5026.6000000000004"/>
    <n v="13389.52"/>
    <n v="14547.02"/>
    <n v="9552.1"/>
    <n v="17256.82"/>
    <n v="6924.85"/>
    <n v="8606.2199999999993"/>
    <n v="9305.59"/>
    <n v="9860.99"/>
    <n v="11255.5"/>
    <n v="17751.47"/>
    <n v="10193.16"/>
    <n v="10594.7"/>
    <n v="10693.94"/>
    <n v="11358.27"/>
    <n v="11768.22"/>
    <n v="16689.5"/>
    <n v="9378.0400000000009"/>
    <n v="10620.92"/>
    <n v="13177.02"/>
    <n v="10308.45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513.37"/>
    <n v="7856.53"/>
    <n v="6313.07"/>
    <n v="7102.17"/>
    <n v="5803.72"/>
    <n v="11047.67"/>
    <n v="1093.8599999999999"/>
    <n v="45722.99"/>
    <n v="16540.86"/>
    <n v="6250.38"/>
    <n v="10187.06"/>
    <n v="8901.73"/>
    <n v="10888.58"/>
    <n v="11637.63"/>
    <n v="20626.62"/>
    <n v="11611.84"/>
    <n v="12788.67"/>
    <n v="13669.69"/>
    <n v="13092.63"/>
    <n v="10486.38"/>
    <n v="19169.53"/>
    <n v="8239.09"/>
    <n v="10576.03"/>
    <n v="10934.7"/>
    <x v="2"/>
    <x v="1"/>
    <s v="61100                   "/>
    <x v="11"/>
    <x v="14"/>
    <x v="25"/>
  </r>
  <r>
    <x v="2"/>
    <x v="2"/>
    <x v="488"/>
    <x v="488"/>
    <n v="210.66"/>
    <n v="1133.1300000000001"/>
    <n v="63.53"/>
    <n v="0"/>
    <n v="743.79"/>
    <n v="-291.98"/>
    <n v="132.04"/>
    <n v="423.22"/>
    <n v="33.01"/>
    <n v="260.79000000000002"/>
    <n v="32.340000000000003"/>
    <n v="366.23"/>
    <n v="252.32"/>
    <n v="178.59"/>
    <n v="212.48"/>
    <n v="446.42"/>
    <n v="263.05"/>
    <n v="166.13"/>
    <n v="332.31"/>
    <n v="199.4"/>
    <n v="199.4"/>
    <n v="299.08999999999997"/>
    <n v="166.16"/>
    <n v="265.86"/>
    <n v="493.8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.13"/>
    <n v="153.03"/>
    <n v="221.93"/>
    <n v="340.66"/>
    <n v="204.97"/>
    <n v="173.11"/>
    <n v="120.19"/>
    <n v="346.23"/>
    <n v="0"/>
    <n v="198.44"/>
    <n v="0"/>
    <n v="331.04"/>
    <x v="2"/>
    <x v="1"/>
    <s v="61100                   "/>
    <x v="11"/>
    <x v="15"/>
    <x v="25"/>
  </r>
  <r>
    <x v="2"/>
    <x v="2"/>
    <x v="489"/>
    <x v="489"/>
    <n v="0"/>
    <n v="0"/>
    <n v="0"/>
    <n v="0"/>
    <n v="0"/>
    <n v="0"/>
    <n v="0"/>
    <n v="0"/>
    <n v="0"/>
    <n v="0"/>
    <n v="0"/>
    <n v="0"/>
    <n v="2420.7399999999998"/>
    <n v="915.12"/>
    <n v="628.74"/>
    <n v="1179.17"/>
    <n v="1153.19"/>
    <n v="589.61"/>
    <n v="926.18"/>
    <n v="919.27"/>
    <n v="1258.2"/>
    <n v="259.64999999999998"/>
    <n v="777.56"/>
    <n v="551.11"/>
    <n v="-11578.5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11"/>
    <x v="16"/>
    <x v="25"/>
  </r>
  <r>
    <x v="2"/>
    <x v="2"/>
    <x v="489"/>
    <x v="489"/>
    <n v="0"/>
    <n v="0"/>
    <n v="0"/>
    <n v="0"/>
    <n v="0"/>
    <n v="0"/>
    <n v="196.94"/>
    <n v="28.5"/>
    <n v="21.38"/>
    <n v="0"/>
    <n v="0"/>
    <n v="0"/>
    <n v="0"/>
    <n v="0"/>
    <n v="64.13"/>
    <n v="0"/>
    <n v="0"/>
    <n v="0"/>
    <n v="0"/>
    <n v="0"/>
    <n v="0"/>
    <n v="41.6"/>
    <n v="83.2"/>
    <n v="83.2"/>
    <n v="166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19.21"/>
    <n v="1634.44"/>
    <n v="3063.29"/>
    <n v="2291.61"/>
    <n v="1792.62"/>
    <n v="1950.92"/>
    <n v="3249.79"/>
    <n v="2189.29"/>
    <n v="1945.13"/>
    <n v="1488.55"/>
    <n v="1985.09"/>
    <n v="1679.59"/>
    <n v="2157.02"/>
    <n v="1317.67"/>
    <n v="1378.12"/>
    <n v="2032.87"/>
    <n v="1482"/>
    <n v="988.18"/>
    <n v="2236.11"/>
    <n v="2434.59"/>
    <n v="963.59"/>
    <n v="1905"/>
    <n v="1106.1300000000001"/>
    <n v="1042.67"/>
    <x v="2"/>
    <x v="1"/>
    <s v="61100                   "/>
    <x v="11"/>
    <x v="16"/>
    <x v="25"/>
  </r>
  <r>
    <x v="2"/>
    <x v="2"/>
    <x v="490"/>
    <x v="490"/>
    <n v="16.3"/>
    <n v="0"/>
    <n v="0"/>
    <n v="0"/>
    <n v="0"/>
    <n v="0"/>
    <n v="0"/>
    <n v="0"/>
    <n v="0"/>
    <n v="0"/>
    <n v="0"/>
    <n v="0"/>
    <n v="0"/>
    <n v="0"/>
    <n v="0"/>
    <n v="0"/>
    <n v="0"/>
    <n v="24.4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17"/>
    <x v="25"/>
  </r>
  <r>
    <x v="2"/>
    <x v="2"/>
    <x v="491"/>
    <x v="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1"/>
    <x v="18"/>
    <x v="25"/>
  </r>
  <r>
    <x v="2"/>
    <x v="2"/>
    <x v="492"/>
    <x v="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3"/>
    <x v="18"/>
  </r>
  <r>
    <x v="2"/>
    <x v="2"/>
    <x v="493"/>
    <x v="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4"/>
    <x v="18"/>
  </r>
  <r>
    <x v="2"/>
    <x v="2"/>
    <x v="494"/>
    <x v="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0"/>
    <x v="18"/>
  </r>
  <r>
    <x v="2"/>
    <x v="2"/>
    <x v="495"/>
    <x v="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5"/>
    <x v="18"/>
  </r>
  <r>
    <x v="2"/>
    <x v="2"/>
    <x v="496"/>
    <x v="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6"/>
    <x v="18"/>
  </r>
  <r>
    <x v="2"/>
    <x v="2"/>
    <x v="497"/>
    <x v="497"/>
    <n v="0"/>
    <n v="0"/>
    <n v="0"/>
    <n v="3417.54"/>
    <n v="673.02"/>
    <n v="0"/>
    <n v="2550.92"/>
    <n v="3318.6"/>
    <n v="0"/>
    <n v="0"/>
    <n v="639.47"/>
    <n v="4181.55"/>
    <n v="1308.49"/>
    <n v="0"/>
    <n v="0"/>
    <n v="0"/>
    <n v="0"/>
    <n v="0"/>
    <n v="0"/>
    <n v="5262.7"/>
    <n v="0"/>
    <n v="0"/>
    <n v="5276.66"/>
    <n v="0"/>
    <n v="3240.2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35.0700000000002"/>
    <n v="0"/>
    <n v="0"/>
    <n v="1267.54"/>
    <n v="1267.54"/>
    <n v="0"/>
    <n v="5070.1400000000003"/>
    <n v="0"/>
    <n v="0"/>
    <n v="2535.0700000000002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"/>
    <x v="18"/>
  </r>
  <r>
    <x v="2"/>
    <x v="2"/>
    <x v="498"/>
    <x v="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7"/>
    <x v="18"/>
  </r>
  <r>
    <x v="2"/>
    <x v="2"/>
    <x v="499"/>
    <x v="499"/>
    <n v="0"/>
    <n v="0"/>
    <n v="0"/>
    <n v="0"/>
    <n v="0"/>
    <n v="0"/>
    <n v="0"/>
    <n v="0"/>
    <n v="0"/>
    <n v="0"/>
    <n v="0"/>
    <n v="0"/>
    <n v="0"/>
    <n v="0"/>
    <n v="1909.26"/>
    <n v="0"/>
    <n v="0"/>
    <n v="0"/>
    <n v="1587.07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8"/>
    <x v="18"/>
  </r>
  <r>
    <x v="2"/>
    <x v="2"/>
    <x v="500"/>
    <x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9"/>
    <x v="18"/>
  </r>
  <r>
    <x v="2"/>
    <x v="2"/>
    <x v="501"/>
    <x v="501"/>
    <n v="558.71"/>
    <n v="0"/>
    <n v="0"/>
    <n v="0"/>
    <n v="0"/>
    <n v="0"/>
    <n v="1201.07"/>
    <n v="1284.73"/>
    <n v="0"/>
    <n v="0"/>
    <n v="643.15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0"/>
    <x v="18"/>
  </r>
  <r>
    <x v="2"/>
    <x v="2"/>
    <x v="502"/>
    <x v="502"/>
    <n v="0"/>
    <n v="0"/>
    <n v="0"/>
    <n v="0"/>
    <n v="0"/>
    <n v="4650.5600000000004"/>
    <n v="4681.9799999999996"/>
    <n v="0"/>
    <n v="0"/>
    <n v="0"/>
    <n v="0"/>
    <n v="0"/>
    <n v="0"/>
    <n v="0"/>
    <n v="0"/>
    <n v="0"/>
    <n v="0"/>
    <n v="0"/>
    <n v="0"/>
    <n v="3401.64"/>
    <n v="0"/>
    <n v="0"/>
    <n v="0"/>
    <n v="554.09"/>
    <n v="595.1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145.06"/>
    <n v="0"/>
    <n v="4290.1099999999997"/>
    <n v="0"/>
    <n v="0"/>
    <n v="2145.06"/>
    <n v="0"/>
    <n v="0"/>
    <n v="2145.06"/>
    <n v="0"/>
    <n v="0"/>
    <n v="0"/>
    <n v="0"/>
    <n v="0"/>
    <n v="2264.4"/>
    <n v="0"/>
    <n v="0"/>
    <n v="2264.4"/>
    <n v="0"/>
    <n v="0"/>
    <n v="1132.2"/>
    <n v="0"/>
    <x v="2"/>
    <x v="1"/>
    <s v="61100                   "/>
    <x v="12"/>
    <x v="11"/>
    <x v="18"/>
  </r>
  <r>
    <x v="2"/>
    <x v="2"/>
    <x v="503"/>
    <x v="503"/>
    <n v="47.22"/>
    <n v="0"/>
    <n v="606.28"/>
    <n v="0"/>
    <n v="1145.79"/>
    <n v="552.42999999999995"/>
    <n v="572.25"/>
    <n v="2274.54"/>
    <n v="0"/>
    <n v="0"/>
    <n v="0"/>
    <n v="633.15"/>
    <n v="633.15"/>
    <n v="0"/>
    <n v="0"/>
    <n v="0"/>
    <n v="0"/>
    <n v="0"/>
    <n v="0"/>
    <n v="2300.29"/>
    <n v="0"/>
    <n v="0"/>
    <n v="1150.1400000000001"/>
    <n v="1150.1400000000001"/>
    <n v="575.07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047.67"/>
    <n v="0"/>
    <n v="0"/>
    <n v="2047.67"/>
    <n v="0"/>
    <n v="2047.67"/>
    <n v="0"/>
    <n v="0"/>
    <n v="1023.83"/>
    <n v="0"/>
    <n v="0"/>
    <n v="0"/>
    <n v="1364.4"/>
    <n v="0"/>
    <n v="0"/>
    <n v="1364.4"/>
    <n v="0"/>
    <n v="0"/>
    <n v="1364.4"/>
    <n v="0"/>
    <n v="0"/>
    <n v="1364.4"/>
    <n v="0"/>
    <x v="2"/>
    <x v="1"/>
    <s v="61100                   "/>
    <x v="12"/>
    <x v="12"/>
    <x v="18"/>
  </r>
  <r>
    <x v="2"/>
    <x v="2"/>
    <x v="504"/>
    <x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3"/>
    <x v="18"/>
  </r>
  <r>
    <x v="2"/>
    <x v="2"/>
    <x v="505"/>
    <x v="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4"/>
    <x v="18"/>
  </r>
  <r>
    <x v="2"/>
    <x v="2"/>
    <x v="506"/>
    <x v="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5"/>
    <x v="18"/>
  </r>
  <r>
    <x v="2"/>
    <x v="2"/>
    <x v="507"/>
    <x v="5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6"/>
    <x v="18"/>
  </r>
  <r>
    <x v="2"/>
    <x v="2"/>
    <x v="508"/>
    <x v="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7"/>
    <x v="18"/>
  </r>
  <r>
    <x v="2"/>
    <x v="2"/>
    <x v="509"/>
    <x v="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2"/>
    <x v="18"/>
    <x v="18"/>
  </r>
  <r>
    <x v="2"/>
    <x v="2"/>
    <x v="510"/>
    <x v="510"/>
    <n v="2356.11"/>
    <n v="0"/>
    <n v="2356.41"/>
    <n v="0"/>
    <n v="2159.4699999999998"/>
    <n v="0"/>
    <n v="0"/>
    <n v="0"/>
    <n v="0"/>
    <n v="2240.25"/>
    <n v="0"/>
    <n v="0"/>
    <n v="0"/>
    <n v="0"/>
    <n v="0"/>
    <n v="0"/>
    <n v="0"/>
    <n v="2267.1999999999998"/>
    <n v="0"/>
    <n v="0"/>
    <n v="0"/>
    <n v="0"/>
    <n v="0"/>
    <n v="0"/>
    <n v="1189.9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283.8"/>
    <n v="0"/>
    <n v="1283.8"/>
    <n v="0"/>
    <n v="1283.8"/>
    <n v="0"/>
    <n v="1283.8"/>
    <n v="0"/>
    <n v="1283.8"/>
    <n v="0"/>
    <n v="0"/>
    <n v="0"/>
    <n v="2268"/>
    <n v="0"/>
    <n v="0"/>
    <n v="0"/>
    <n v="2268"/>
    <n v="0"/>
    <n v="0"/>
    <n v="0"/>
    <n v="2268"/>
    <n v="0"/>
    <n v="0"/>
    <x v="2"/>
    <x v="1"/>
    <s v="61100                   "/>
    <x v="13"/>
    <x v="3"/>
    <x v="18"/>
  </r>
  <r>
    <x v="2"/>
    <x v="2"/>
    <x v="511"/>
    <x v="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4"/>
    <x v="18"/>
  </r>
  <r>
    <x v="2"/>
    <x v="2"/>
    <x v="512"/>
    <x v="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0"/>
    <x v="18"/>
  </r>
  <r>
    <x v="2"/>
    <x v="2"/>
    <x v="513"/>
    <x v="5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5"/>
    <x v="18"/>
  </r>
  <r>
    <x v="2"/>
    <x v="2"/>
    <x v="514"/>
    <x v="5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6"/>
    <x v="18"/>
  </r>
  <r>
    <x v="2"/>
    <x v="2"/>
    <x v="515"/>
    <x v="5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"/>
    <x v="18"/>
  </r>
  <r>
    <x v="2"/>
    <x v="2"/>
    <x v="516"/>
    <x v="5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7"/>
    <x v="18"/>
  </r>
  <r>
    <x v="2"/>
    <x v="2"/>
    <x v="517"/>
    <x v="5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8"/>
    <x v="18"/>
  </r>
  <r>
    <x v="2"/>
    <x v="2"/>
    <x v="518"/>
    <x v="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9"/>
    <x v="18"/>
  </r>
  <r>
    <x v="2"/>
    <x v="2"/>
    <x v="519"/>
    <x v="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0"/>
    <x v="18"/>
  </r>
  <r>
    <x v="2"/>
    <x v="2"/>
    <x v="520"/>
    <x v="520"/>
    <n v="0"/>
    <n v="0"/>
    <n v="0"/>
    <n v="0"/>
    <n v="0"/>
    <n v="0"/>
    <n v="0"/>
    <n v="0"/>
    <n v="0"/>
    <n v="0"/>
    <n v="0"/>
    <n v="0"/>
    <n v="0"/>
    <n v="0"/>
    <n v="0"/>
    <n v="0"/>
    <n v="0"/>
    <n v="2114.42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80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1"/>
    <x v="18"/>
  </r>
  <r>
    <x v="2"/>
    <x v="2"/>
    <x v="521"/>
    <x v="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3.38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2"/>
    <x v="18"/>
  </r>
  <r>
    <x v="2"/>
    <x v="2"/>
    <x v="522"/>
    <x v="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3"/>
    <x v="18"/>
  </r>
  <r>
    <x v="2"/>
    <x v="2"/>
    <x v="523"/>
    <x v="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4"/>
    <x v="18"/>
  </r>
  <r>
    <x v="2"/>
    <x v="2"/>
    <x v="524"/>
    <x v="524"/>
    <n v="3883.43"/>
    <n v="0"/>
    <n v="3868.91"/>
    <n v="0"/>
    <n v="0"/>
    <n v="0"/>
    <n v="0"/>
    <n v="0"/>
    <n v="0"/>
    <n v="0"/>
    <n v="0"/>
    <n v="0"/>
    <n v="993.37"/>
    <n v="0"/>
    <n v="970.28"/>
    <n v="0"/>
    <n v="996.36"/>
    <n v="0"/>
    <n v="978.34"/>
    <n v="0"/>
    <n v="0"/>
    <n v="996.98"/>
    <n v="1081.3699999999999"/>
    <n v="0"/>
    <n v="996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378.58"/>
    <n v="0"/>
    <n v="2378.58"/>
    <n v="0"/>
    <n v="2378.58"/>
    <n v="0"/>
    <n v="2378.58"/>
    <n v="0"/>
    <n v="0"/>
    <n v="0"/>
    <n v="0"/>
    <n v="0"/>
    <n v="979.2"/>
    <n v="0"/>
    <n v="0"/>
    <n v="979.2"/>
    <n v="0"/>
    <n v="0"/>
    <n v="979.2"/>
    <n v="0"/>
    <n v="0"/>
    <n v="979.2"/>
    <n v="0"/>
    <x v="2"/>
    <x v="1"/>
    <s v="61100                   "/>
    <x v="13"/>
    <x v="15"/>
    <x v="18"/>
  </r>
  <r>
    <x v="2"/>
    <x v="2"/>
    <x v="525"/>
    <x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6"/>
    <x v="18"/>
  </r>
  <r>
    <x v="2"/>
    <x v="2"/>
    <x v="526"/>
    <x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7"/>
    <x v="18"/>
  </r>
  <r>
    <x v="2"/>
    <x v="2"/>
    <x v="527"/>
    <x v="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3"/>
    <x v="18"/>
    <x v="18"/>
  </r>
  <r>
    <x v="2"/>
    <x v="2"/>
    <x v="528"/>
    <x v="528"/>
    <n v="0"/>
    <n v="3776.95"/>
    <n v="0"/>
    <n v="1866"/>
    <n v="0"/>
    <n v="1674.77"/>
    <n v="2934.01"/>
    <n v="1749.65"/>
    <n v="0"/>
    <n v="0"/>
    <n v="0"/>
    <n v="0"/>
    <n v="0"/>
    <n v="3896.87"/>
    <n v="0"/>
    <n v="0"/>
    <n v="1181.6199999999999"/>
    <n v="1416.82"/>
    <n v="0"/>
    <n v="1676.33"/>
    <n v="1155.5"/>
    <n v="751.3"/>
    <n v="594.95000000000005"/>
    <n v="0"/>
    <n v="3388.7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293.35"/>
    <n v="0"/>
    <n v="5499.62"/>
    <n v="0"/>
    <n v="0"/>
    <n v="6873.83"/>
    <n v="0"/>
    <n v="0"/>
    <n v="3436.91"/>
    <n v="0"/>
    <n v="0"/>
    <n v="0"/>
    <n v="4603.68"/>
    <n v="0"/>
    <n v="0"/>
    <n v="1195.2"/>
    <n v="1638.72"/>
    <n v="2902.68"/>
    <n v="1734.84"/>
    <n v="0"/>
    <n v="0"/>
    <n v="0"/>
    <n v="567"/>
    <x v="2"/>
    <x v="1"/>
    <s v="61100                   "/>
    <x v="14"/>
    <x v="3"/>
    <x v="18"/>
  </r>
  <r>
    <x v="2"/>
    <x v="2"/>
    <x v="529"/>
    <x v="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4"/>
    <x v="18"/>
  </r>
  <r>
    <x v="2"/>
    <x v="2"/>
    <x v="530"/>
    <x v="530"/>
    <n v="0"/>
    <n v="0"/>
    <n v="0"/>
    <n v="0"/>
    <n v="0"/>
    <n v="0"/>
    <n v="0"/>
    <n v="0"/>
    <n v="0"/>
    <n v="0"/>
    <n v="0"/>
    <n v="0"/>
    <n v="0"/>
    <n v="1550.83"/>
    <n v="0"/>
    <n v="0"/>
    <n v="0"/>
    <n v="0"/>
    <n v="0"/>
    <n v="0"/>
    <n v="0"/>
    <n v="0"/>
    <n v="1873.0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8"/>
    <n v="0"/>
    <n v="0"/>
    <n v="0"/>
    <n v="0"/>
    <n v="0"/>
    <n v="0"/>
    <n v="0"/>
    <n v="0"/>
    <n v="0"/>
    <n v="0"/>
    <x v="2"/>
    <x v="1"/>
    <s v="61100                   "/>
    <x v="14"/>
    <x v="0"/>
    <x v="18"/>
  </r>
  <r>
    <x v="2"/>
    <x v="2"/>
    <x v="531"/>
    <x v="5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5"/>
    <x v="18"/>
  </r>
  <r>
    <x v="2"/>
    <x v="2"/>
    <x v="532"/>
    <x v="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6"/>
    <x v="18"/>
  </r>
  <r>
    <x v="2"/>
    <x v="2"/>
    <x v="533"/>
    <x v="533"/>
    <n v="0"/>
    <n v="1309.19"/>
    <n v="0"/>
    <n v="0"/>
    <n v="0"/>
    <n v="673.35"/>
    <n v="639.47"/>
    <n v="0"/>
    <n v="0"/>
    <n v="0"/>
    <n v="0"/>
    <n v="0"/>
    <n v="0"/>
    <n v="550.53"/>
    <n v="0"/>
    <n v="0"/>
    <n v="0"/>
    <n v="544.6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367.87"/>
    <n v="0"/>
    <n v="0"/>
    <n v="0"/>
    <n v="0"/>
    <n v="1367.87"/>
    <n v="0"/>
    <n v="0"/>
    <n v="0"/>
    <n v="0"/>
    <n v="0"/>
    <n v="0"/>
    <n v="545.4"/>
    <n v="0"/>
    <n v="0"/>
    <n v="0"/>
    <n v="0"/>
    <n v="0"/>
    <n v="545.4"/>
    <n v="0"/>
    <n v="0"/>
    <n v="0"/>
    <n v="0"/>
    <x v="2"/>
    <x v="1"/>
    <s v="61100                   "/>
    <x v="14"/>
    <x v="1"/>
    <x v="18"/>
  </r>
  <r>
    <x v="2"/>
    <x v="2"/>
    <x v="534"/>
    <x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7"/>
    <x v="18"/>
  </r>
  <r>
    <x v="2"/>
    <x v="2"/>
    <x v="535"/>
    <x v="535"/>
    <n v="0"/>
    <n v="0"/>
    <n v="0"/>
    <n v="545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194"/>
    <n v="466.17"/>
    <n v="1645.5"/>
    <n v="0"/>
    <n v="0"/>
    <n v="2111.67"/>
    <n v="0"/>
    <n v="0"/>
    <n v="1097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8"/>
    <x v="18"/>
  </r>
  <r>
    <x v="2"/>
    <x v="2"/>
    <x v="536"/>
    <x v="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9"/>
    <x v="18"/>
  </r>
  <r>
    <x v="2"/>
    <x v="2"/>
    <x v="537"/>
    <x v="537"/>
    <n v="0"/>
    <n v="164.4"/>
    <n v="0"/>
    <n v="0"/>
    <n v="123.3"/>
    <n v="120.44"/>
    <n v="240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0"/>
    <x v="18"/>
  </r>
  <r>
    <x v="2"/>
    <x v="2"/>
    <x v="538"/>
    <x v="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9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1"/>
    <x v="18"/>
  </r>
  <r>
    <x v="2"/>
    <x v="2"/>
    <x v="539"/>
    <x v="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2"/>
    <x v="18"/>
  </r>
  <r>
    <x v="2"/>
    <x v="2"/>
    <x v="540"/>
    <x v="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3"/>
    <x v="18"/>
  </r>
  <r>
    <x v="2"/>
    <x v="2"/>
    <x v="541"/>
    <x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4"/>
    <x v="18"/>
  </r>
  <r>
    <x v="2"/>
    <x v="2"/>
    <x v="542"/>
    <x v="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5"/>
    <x v="18"/>
  </r>
  <r>
    <x v="2"/>
    <x v="2"/>
    <x v="543"/>
    <x v="543"/>
    <n v="0"/>
    <n v="0"/>
    <n v="0"/>
    <n v="0"/>
    <n v="0"/>
    <n v="0"/>
    <n v="0"/>
    <n v="0"/>
    <n v="0"/>
    <n v="0"/>
    <n v="0"/>
    <n v="0"/>
    <n v="0"/>
    <n v="418.12"/>
    <n v="0"/>
    <n v="0"/>
    <n v="381.85"/>
    <n v="42.1"/>
    <n v="0"/>
    <n v="0"/>
    <n v="1527.41"/>
    <n v="0"/>
    <n v="381.85"/>
    <n v="0"/>
    <n v="-2751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14"/>
    <x v="16"/>
    <x v="18"/>
  </r>
  <r>
    <x v="2"/>
    <x v="2"/>
    <x v="543"/>
    <x v="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6"/>
    <x v="18"/>
  </r>
  <r>
    <x v="2"/>
    <x v="2"/>
    <x v="544"/>
    <x v="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7"/>
    <x v="18"/>
  </r>
  <r>
    <x v="2"/>
    <x v="2"/>
    <x v="545"/>
    <x v="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4"/>
    <x v="18"/>
    <x v="18"/>
  </r>
  <r>
    <x v="2"/>
    <x v="2"/>
    <x v="546"/>
    <x v="546"/>
    <n v="3355.3"/>
    <n v="0"/>
    <n v="1315.25"/>
    <n v="701.83"/>
    <n v="1308.77"/>
    <n v="1914.33"/>
    <n v="1865.29"/>
    <n v="1908.88"/>
    <n v="1850.57"/>
    <n v="2471.27"/>
    <n v="1866.52"/>
    <n v="2454.1999999999998"/>
    <n v="3050.08"/>
    <n v="1193.0999999999999"/>
    <n v="0"/>
    <n v="0"/>
    <n v="0"/>
    <n v="0"/>
    <n v="3048.54"/>
    <n v="1769.59"/>
    <n v="1259.51"/>
    <n v="0"/>
    <n v="2500.62"/>
    <n v="629.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08.82"/>
    <n v="1813.23"/>
    <n v="1208.82"/>
    <n v="3022.05"/>
    <n v="0"/>
    <n v="2417.64"/>
    <n v="2417.64"/>
    <n v="3626.47"/>
    <n v="0"/>
    <n v="2417.64"/>
    <n v="1208.82"/>
    <n v="1208.82"/>
    <n v="3089.28"/>
    <n v="1209.5999999999999"/>
    <n v="1209.5999999999999"/>
    <n v="0"/>
    <n v="0"/>
    <n v="0"/>
    <n v="1879.68"/>
    <n v="1879.68"/>
    <n v="1847.04"/>
    <n v="2484.48"/>
    <n v="1879.68"/>
    <n v="2484.48"/>
    <x v="2"/>
    <x v="1"/>
    <s v="61100                   "/>
    <x v="15"/>
    <x v="3"/>
    <x v="18"/>
  </r>
  <r>
    <x v="2"/>
    <x v="2"/>
    <x v="547"/>
    <x v="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4"/>
    <x v="18"/>
  </r>
  <r>
    <x v="2"/>
    <x v="2"/>
    <x v="548"/>
    <x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0"/>
    <x v="18"/>
  </r>
  <r>
    <x v="2"/>
    <x v="2"/>
    <x v="549"/>
    <x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5"/>
    <x v="18"/>
  </r>
  <r>
    <x v="2"/>
    <x v="2"/>
    <x v="550"/>
    <x v="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6"/>
    <x v="18"/>
  </r>
  <r>
    <x v="2"/>
    <x v="2"/>
    <x v="551"/>
    <x v="5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"/>
    <x v="18"/>
  </r>
  <r>
    <x v="2"/>
    <x v="2"/>
    <x v="552"/>
    <x v="5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7"/>
    <x v="18"/>
  </r>
  <r>
    <x v="2"/>
    <x v="2"/>
    <x v="553"/>
    <x v="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8"/>
    <x v="18"/>
  </r>
  <r>
    <x v="2"/>
    <x v="2"/>
    <x v="554"/>
    <x v="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9"/>
    <x v="18"/>
  </r>
  <r>
    <x v="2"/>
    <x v="2"/>
    <x v="555"/>
    <x v="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0"/>
    <x v="18"/>
  </r>
  <r>
    <x v="2"/>
    <x v="2"/>
    <x v="556"/>
    <x v="5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40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1"/>
    <x v="18"/>
  </r>
  <r>
    <x v="2"/>
    <x v="2"/>
    <x v="557"/>
    <x v="557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2"/>
    <x v="18"/>
  </r>
  <r>
    <x v="2"/>
    <x v="2"/>
    <x v="558"/>
    <x v="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3"/>
    <x v="18"/>
  </r>
  <r>
    <x v="2"/>
    <x v="2"/>
    <x v="559"/>
    <x v="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4"/>
    <x v="18"/>
  </r>
  <r>
    <x v="2"/>
    <x v="2"/>
    <x v="560"/>
    <x v="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5"/>
    <x v="18"/>
  </r>
  <r>
    <x v="2"/>
    <x v="2"/>
    <x v="561"/>
    <x v="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6"/>
    <x v="18"/>
  </r>
  <r>
    <x v="2"/>
    <x v="2"/>
    <x v="562"/>
    <x v="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7"/>
    <x v="18"/>
  </r>
  <r>
    <x v="2"/>
    <x v="2"/>
    <x v="563"/>
    <x v="5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5"/>
    <x v="18"/>
    <x v="18"/>
  </r>
  <r>
    <x v="2"/>
    <x v="2"/>
    <x v="564"/>
    <x v="564"/>
    <n v="221.4"/>
    <n v="201.31"/>
    <n v="424.73"/>
    <n v="361.39"/>
    <n v="454.39"/>
    <n v="192.38"/>
    <n v="186.84"/>
    <n v="131.75"/>
    <n v="257.95"/>
    <n v="59.11"/>
    <n v="138.13999999999999"/>
    <n v="259.89"/>
    <n v="179.27"/>
    <n v="266.8"/>
    <n v="250.89"/>
    <n v="336.3"/>
    <n v="314.45999999999998"/>
    <n v="311.75"/>
    <n v="326.70999999999998"/>
    <n v="140.78"/>
    <n v="91.49"/>
    <n v="62.74"/>
    <n v="122.65"/>
    <n v="49.78"/>
    <n v="128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71.37"/>
    <n v="284.2"/>
    <n v="366.98"/>
    <n v="434.59"/>
    <n v="337.41"/>
    <n v="446.65"/>
    <n v="375.3"/>
    <n v="141.83000000000001"/>
    <n v="117.65"/>
    <n v="24.96"/>
    <n v="83.85"/>
    <n v="148.94999999999999"/>
    <n v="263.18"/>
    <n v="359.96"/>
    <n v="321.66000000000003"/>
    <n v="419.14"/>
    <n v="331.12"/>
    <n v="379.32"/>
    <n v="235.83"/>
    <n v="207.37"/>
    <n v="316.92"/>
    <n v="165.19"/>
    <n v="216.24"/>
    <n v="250.77"/>
    <x v="2"/>
    <x v="1"/>
    <s v="61100                   "/>
    <x v="16"/>
    <x v="3"/>
    <x v="24"/>
  </r>
  <r>
    <x v="2"/>
    <x v="2"/>
    <x v="565"/>
    <x v="565"/>
    <n v="0"/>
    <n v="4.88"/>
    <n v="0"/>
    <n v="23.87"/>
    <n v="19.2"/>
    <n v="3.58"/>
    <n v="6.71"/>
    <n v="13.88"/>
    <n v="6.71"/>
    <n v="0"/>
    <n v="3.58"/>
    <n v="0"/>
    <n v="52.83"/>
    <n v="17.45"/>
    <n v="10.75"/>
    <n v="3.58"/>
    <n v="17"/>
    <n v="20.13"/>
    <n v="25.11"/>
    <n v="19.510000000000002"/>
    <n v="2.79"/>
    <n v="0"/>
    <n v="4.03"/>
    <n v="0"/>
    <n v="7.1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.55"/>
    <n v="0"/>
    <n v="25.99"/>
    <n v="19.68"/>
    <n v="3.53"/>
    <n v="7.06"/>
    <n v="14.12"/>
    <n v="7.06"/>
    <n v="0"/>
    <n v="3.53"/>
    <n v="0"/>
    <n v="0"/>
    <n v="0"/>
    <n v="0"/>
    <n v="0"/>
    <n v="0"/>
    <n v="0"/>
    <n v="0"/>
    <n v="0"/>
    <n v="0"/>
    <n v="0"/>
    <n v="0"/>
    <n v="0"/>
    <x v="2"/>
    <x v="1"/>
    <s v="61100                   "/>
    <x v="16"/>
    <x v="4"/>
    <x v="24"/>
  </r>
  <r>
    <x v="2"/>
    <x v="2"/>
    <x v="566"/>
    <x v="566"/>
    <n v="0"/>
    <n v="-0.01"/>
    <n v="-0.03"/>
    <n v="-0.04"/>
    <n v="0.02"/>
    <n v="0.01"/>
    <n v="15.86"/>
    <n v="16.190000000000001"/>
    <n v="18.329999999999998"/>
    <n v="15.78"/>
    <n v="26.3"/>
    <n v="39.21"/>
    <n v="63.07"/>
    <n v="25.64"/>
    <n v="33.46"/>
    <n v="13.71"/>
    <n v="43.08"/>
    <n v="36.619999999999997"/>
    <n v="50.18"/>
    <n v="20.36"/>
    <n v="2.15"/>
    <n v="11.77"/>
    <n v="17.57"/>
    <n v="0"/>
    <n v="20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1.48"/>
    <n v="19.510000000000002"/>
    <n v="0"/>
    <n v="14.76"/>
    <n v="11.48"/>
    <n v="9.67"/>
    <n v="9.67"/>
    <n v="11.48"/>
    <n v="9.84"/>
    <n v="15.7"/>
    <n v="24.61"/>
    <n v="55.68"/>
    <n v="23.88"/>
    <n v="31.8"/>
    <n v="18.22"/>
    <n v="41.42"/>
    <n v="36.1"/>
    <n v="13.58"/>
    <n v="18.559999999999999"/>
    <n v="16.07"/>
    <n v="16.07"/>
    <n v="23.2"/>
    <n v="34.29"/>
    <x v="2"/>
    <x v="1"/>
    <s v="61100                   "/>
    <x v="16"/>
    <x v="0"/>
    <x v="24"/>
  </r>
  <r>
    <x v="2"/>
    <x v="2"/>
    <x v="567"/>
    <x v="567"/>
    <n v="0"/>
    <n v="0"/>
    <n v="0"/>
    <n v="0"/>
    <n v="0"/>
    <n v="0"/>
    <n v="0"/>
    <n v="0"/>
    <n v="0"/>
    <n v="0"/>
    <n v="0"/>
    <n v="0"/>
    <n v="0"/>
    <n v="0"/>
    <n v="20.399999999999999"/>
    <n v="0"/>
    <n v="6.53"/>
    <n v="6.53"/>
    <n v="0"/>
    <n v="0"/>
    <n v="0"/>
    <n v="0"/>
    <n v="6.5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17"/>
    <n v="37.17"/>
    <n v="37.17"/>
    <n v="37.17"/>
    <n v="37.17"/>
    <n v="37.17"/>
    <n v="37.17"/>
    <n v="37.17"/>
    <n v="37.17"/>
    <n v="37.17"/>
    <n v="37.17"/>
    <n v="37.17"/>
    <x v="2"/>
    <x v="1"/>
    <s v="61100                   "/>
    <x v="16"/>
    <x v="5"/>
    <x v="24"/>
  </r>
  <r>
    <x v="2"/>
    <x v="2"/>
    <x v="568"/>
    <x v="568"/>
    <n v="0"/>
    <n v="0"/>
    <n v="0"/>
    <n v="0"/>
    <n v="0"/>
    <n v="0"/>
    <n v="6.23"/>
    <n v="0"/>
    <n v="0"/>
    <n v="0"/>
    <n v="0"/>
    <n v="0"/>
    <n v="0"/>
    <n v="0"/>
    <n v="6.23"/>
    <n v="12.4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6"/>
    <x v="6"/>
    <x v="24"/>
  </r>
  <r>
    <x v="2"/>
    <x v="2"/>
    <x v="569"/>
    <x v="569"/>
    <n v="-0.04"/>
    <n v="-0.03"/>
    <n v="-0.03"/>
    <n v="-0.12"/>
    <n v="-4.4800000000000004"/>
    <n v="0.1"/>
    <n v="378.31"/>
    <n v="131.80000000000001"/>
    <n v="204.77"/>
    <n v="96.34"/>
    <n v="177.62"/>
    <n v="233.44"/>
    <n v="238.48"/>
    <n v="300.92"/>
    <n v="387.92"/>
    <n v="345.38"/>
    <n v="503.43"/>
    <n v="459.81"/>
    <n v="270.95999999999998"/>
    <n v="100.4"/>
    <n v="108.35"/>
    <n v="93.3"/>
    <n v="174.16"/>
    <n v="171.62"/>
    <n v="282.3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2.21"/>
    <n v="80.02"/>
    <n v="106.59"/>
    <n v="166.52"/>
    <n v="197.48"/>
    <n v="137.05000000000001"/>
    <n v="156.99"/>
    <n v="46.11"/>
    <n v="89.96"/>
    <n v="40.82"/>
    <n v="61.53"/>
    <n v="93.29"/>
    <n v="262.89999999999998"/>
    <n v="240.09"/>
    <n v="359.95"/>
    <n v="291.42"/>
    <n v="401.29"/>
    <n v="420.7"/>
    <n v="284.7"/>
    <n v="217.55"/>
    <n v="231.37"/>
    <n v="160.79"/>
    <n v="248.85"/>
    <n v="232.09"/>
    <x v="2"/>
    <x v="1"/>
    <s v="61100                   "/>
    <x v="16"/>
    <x v="1"/>
    <x v="24"/>
  </r>
  <r>
    <x v="2"/>
    <x v="2"/>
    <x v="570"/>
    <x v="570"/>
    <n v="0"/>
    <n v="0"/>
    <n v="-0.01"/>
    <n v="-0.01"/>
    <n v="0.05"/>
    <n v="0.01"/>
    <n v="133.11000000000001"/>
    <n v="27.88"/>
    <n v="33.5"/>
    <n v="11.24"/>
    <n v="0"/>
    <n v="50.58"/>
    <n v="185.43"/>
    <n v="309.67"/>
    <n v="178.37"/>
    <n v="356.27"/>
    <n v="648.44000000000005"/>
    <n v="498.25"/>
    <n v="675.1"/>
    <n v="262.04000000000002"/>
    <n v="190.47"/>
    <n v="172.7"/>
    <n v="421.54"/>
    <n v="139.81"/>
    <n v="170.1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.67"/>
    <n v="42.72"/>
    <n v="54.98"/>
    <n v="33.43"/>
    <n v="60.11"/>
    <n v="16.07"/>
    <n v="31.08"/>
    <n v="6.14"/>
    <n v="0"/>
    <n v="0"/>
    <n v="0"/>
    <n v="12.96"/>
    <n v="22.09"/>
    <n v="22.09"/>
    <n v="22.09"/>
    <n v="22.09"/>
    <n v="33.22"/>
    <n v="33.22"/>
    <n v="33.22"/>
    <n v="22.09"/>
    <n v="22.09"/>
    <n v="22.09"/>
    <n v="33.22"/>
    <n v="22.09"/>
    <x v="2"/>
    <x v="1"/>
    <s v="61100                   "/>
    <x v="16"/>
    <x v="7"/>
    <x v="24"/>
  </r>
  <r>
    <x v="2"/>
    <x v="2"/>
    <x v="571"/>
    <x v="571"/>
    <n v="0"/>
    <n v="-0.14000000000000001"/>
    <n v="0.04"/>
    <n v="0.12"/>
    <n v="0.06"/>
    <n v="0.08"/>
    <n v="984.6"/>
    <n v="246.04"/>
    <n v="462.77"/>
    <n v="111.23"/>
    <n v="248.92"/>
    <n v="644.11"/>
    <n v="512.88"/>
    <n v="437.92"/>
    <n v="620.72"/>
    <n v="700.75"/>
    <n v="1094.5"/>
    <n v="1017.88"/>
    <n v="2558.75"/>
    <n v="545.74"/>
    <n v="537.47"/>
    <n v="383.09"/>
    <n v="1055.28"/>
    <n v="847.54"/>
    <n v="795.7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4.4"/>
    <n v="389.77"/>
    <n v="340.36"/>
    <n v="319.35000000000002"/>
    <n v="390.51"/>
    <n v="266.62"/>
    <n v="362.18"/>
    <n v="95.67"/>
    <n v="163.91"/>
    <n v="43.46"/>
    <n v="84.31"/>
    <n v="232.21"/>
    <n v="569.03"/>
    <n v="585.33000000000004"/>
    <n v="621.85"/>
    <n v="697.95"/>
    <n v="727.57"/>
    <n v="679.04"/>
    <n v="691.83"/>
    <n v="527.04999999999995"/>
    <n v="527.54"/>
    <n v="508.8"/>
    <n v="572.32000000000005"/>
    <n v="652.16999999999996"/>
    <x v="2"/>
    <x v="1"/>
    <s v="61100                   "/>
    <x v="16"/>
    <x v="8"/>
    <x v="24"/>
  </r>
  <r>
    <x v="2"/>
    <x v="2"/>
    <x v="572"/>
    <x v="572"/>
    <n v="0"/>
    <n v="0.21"/>
    <n v="0.1"/>
    <n v="0.41"/>
    <n v="0.02"/>
    <n v="-0.03"/>
    <n v="160.97"/>
    <n v="98.7"/>
    <n v="142.97"/>
    <n v="63.98"/>
    <n v="182.15"/>
    <n v="184.98"/>
    <n v="328.79"/>
    <n v="315.02999999999997"/>
    <n v="331.38"/>
    <n v="410.3"/>
    <n v="479.45"/>
    <n v="367.18"/>
    <n v="421.23"/>
    <n v="98.85"/>
    <n v="73.45"/>
    <n v="111.39"/>
    <n v="184.28"/>
    <n v="161.41999999999999"/>
    <n v="345.4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6.24"/>
    <n v="147.12"/>
    <n v="119.9"/>
    <n v="128.16999999999999"/>
    <n v="119.42"/>
    <n v="0"/>
    <n v="40.03"/>
    <n v="27.77"/>
    <n v="33.85"/>
    <n v="17.170000000000002"/>
    <n v="40.94"/>
    <n v="45.57"/>
    <n v="219.32"/>
    <n v="219.32"/>
    <n v="219.32"/>
    <n v="219.32"/>
    <n v="219.32"/>
    <n v="219.32"/>
    <n v="215.05"/>
    <n v="227.31"/>
    <n v="245.7"/>
    <n v="215.05"/>
    <n v="202.79"/>
    <n v="202.79"/>
    <x v="2"/>
    <x v="1"/>
    <s v="61100                   "/>
    <x v="16"/>
    <x v="9"/>
    <x v="24"/>
  </r>
  <r>
    <x v="2"/>
    <x v="2"/>
    <x v="573"/>
    <x v="573"/>
    <n v="-7.0000000000000007E-2"/>
    <n v="0"/>
    <n v="-0.1"/>
    <n v="-7.0000000000000007E-2"/>
    <n v="0.19"/>
    <n v="0.04"/>
    <n v="229.77"/>
    <n v="101.64"/>
    <n v="23.45"/>
    <n v="21.69"/>
    <n v="83.58"/>
    <n v="47.17"/>
    <n v="210.92"/>
    <n v="207.96"/>
    <n v="153.01"/>
    <n v="28.08"/>
    <n v="63.84"/>
    <n v="77.989999999999995"/>
    <n v="66.739999999999995"/>
    <n v="46.79"/>
    <n v="62.4"/>
    <n v="9.35"/>
    <n v="37.409999999999997"/>
    <n v="28.06"/>
    <n v="358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4.22"/>
    <n v="33.950000000000003"/>
    <n v="44.86"/>
    <n v="72.98"/>
    <n v="99.44"/>
    <n v="38.020000000000003"/>
    <n v="68.239999999999995"/>
    <n v="28.09"/>
    <n v="49.23"/>
    <n v="9.25"/>
    <n v="22.09"/>
    <n v="12.26"/>
    <n v="0"/>
    <n v="0"/>
    <n v="0"/>
    <n v="0"/>
    <n v="0"/>
    <n v="0"/>
    <n v="0"/>
    <n v="0"/>
    <n v="0"/>
    <n v="0"/>
    <n v="0"/>
    <n v="0"/>
    <x v="2"/>
    <x v="1"/>
    <s v="61100                   "/>
    <x v="16"/>
    <x v="10"/>
    <x v="24"/>
  </r>
  <r>
    <x v="2"/>
    <x v="2"/>
    <x v="574"/>
    <x v="574"/>
    <n v="0"/>
    <n v="0"/>
    <n v="0"/>
    <n v="0"/>
    <n v="-0.12"/>
    <n v="-0.06"/>
    <n v="25.02"/>
    <n v="92.25"/>
    <n v="24.63"/>
    <n v="10.26"/>
    <n v="45.54"/>
    <n v="43.59"/>
    <n v="128.26"/>
    <n v="182.17"/>
    <n v="61.18"/>
    <n v="257.77999999999997"/>
    <n v="132.22999999999999"/>
    <n v="153.19"/>
    <n v="115.57"/>
    <n v="61.95"/>
    <n v="27.03"/>
    <n v="9.6"/>
    <n v="43.25"/>
    <n v="44.2"/>
    <n v="182.5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64.73"/>
    <n v="31.84"/>
    <n v="15.56"/>
    <n v="58.45"/>
    <n v="22.25"/>
    <n v="5.73"/>
    <n v="27.45"/>
    <n v="27.16"/>
    <n v="75.48"/>
    <n v="75.48"/>
    <n v="91.35"/>
    <n v="91.35"/>
    <n v="85.35"/>
    <n v="85.35"/>
    <n v="132.96"/>
    <n v="177.28"/>
    <n v="72.19"/>
    <n v="75.48"/>
    <n v="68.900000000000006"/>
    <n v="68.900000000000006"/>
    <x v="2"/>
    <x v="1"/>
    <s v="61100                   "/>
    <x v="16"/>
    <x v="11"/>
    <x v="24"/>
  </r>
  <r>
    <x v="2"/>
    <x v="2"/>
    <x v="575"/>
    <x v="575"/>
    <n v="0.01"/>
    <n v="0.37"/>
    <n v="0.17"/>
    <n v="0.21"/>
    <n v="0.36"/>
    <n v="0.3"/>
    <n v="3296.11"/>
    <n v="1496.31"/>
    <n v="1163.8499999999999"/>
    <n v="535.38"/>
    <n v="906.65"/>
    <n v="1278.33"/>
    <n v="1101.01"/>
    <n v="1612.74"/>
    <n v="1422.2"/>
    <n v="1720.11"/>
    <n v="2163.7600000000002"/>
    <n v="1264.23"/>
    <n v="1324.83"/>
    <n v="473.16"/>
    <n v="496.31"/>
    <n v="475.94"/>
    <n v="829.9"/>
    <n v="804.19"/>
    <n v="1049.4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03.36"/>
    <n v="0.01"/>
    <n v="1224.29"/>
    <n v="1149.6500000000001"/>
    <n v="1620.96"/>
    <n v="1201.8800000000001"/>
    <n v="1189.75"/>
    <n v="568.54"/>
    <n v="422.45"/>
    <n v="296.5"/>
    <n v="348.99"/>
    <n v="400.61"/>
    <n v="1525.17"/>
    <n v="1535.99"/>
    <n v="1541"/>
    <n v="1560.06"/>
    <n v="1564.04"/>
    <n v="1556.21"/>
    <n v="1560.54"/>
    <n v="1573.57"/>
    <n v="1633.91"/>
    <n v="1930.38"/>
    <n v="1521.72"/>
    <n v="1538.37"/>
    <x v="2"/>
    <x v="1"/>
    <s v="61100                   "/>
    <x v="16"/>
    <x v="12"/>
    <x v="24"/>
  </r>
  <r>
    <x v="2"/>
    <x v="2"/>
    <x v="576"/>
    <x v="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7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6"/>
    <x v="13"/>
    <x v="24"/>
  </r>
  <r>
    <x v="2"/>
    <x v="2"/>
    <x v="577"/>
    <x v="577"/>
    <n v="0"/>
    <n v="0"/>
    <n v="0"/>
    <n v="0"/>
    <n v="-0.02"/>
    <n v="0"/>
    <n v="15.52"/>
    <n v="0"/>
    <n v="0"/>
    <n v="6.2"/>
    <n v="0"/>
    <n v="0"/>
    <n v="0"/>
    <n v="3.1"/>
    <n v="49.25"/>
    <n v="123.15"/>
    <n v="228.74"/>
    <n v="101.97"/>
    <n v="80.94"/>
    <n v="66.86"/>
    <n v="0"/>
    <n v="12.97"/>
    <n v="21.1"/>
    <n v="14.06"/>
    <n v="21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.99"/>
    <n v="13.87"/>
    <n v="0.99"/>
    <n v="4.95"/>
    <n v="0"/>
    <n v="0"/>
    <n v="1.98"/>
    <n v="0"/>
    <n v="0"/>
    <n v="42.24"/>
    <n v="45.26"/>
    <n v="42.24"/>
    <n v="45.26"/>
    <n v="42.24"/>
    <n v="42.24"/>
    <n v="42.24"/>
    <n v="42.24"/>
    <n v="57.34"/>
    <n v="52.8"/>
    <n v="42.24"/>
    <n v="48.28"/>
    <x v="2"/>
    <x v="1"/>
    <s v="61100                   "/>
    <x v="16"/>
    <x v="14"/>
    <x v="24"/>
  </r>
  <r>
    <x v="2"/>
    <x v="2"/>
    <x v="578"/>
    <x v="578"/>
    <n v="0"/>
    <n v="0"/>
    <n v="0"/>
    <n v="0"/>
    <n v="0.01"/>
    <n v="0"/>
    <n v="5.32"/>
    <n v="13.66"/>
    <n v="5.41"/>
    <n v="0"/>
    <n v="0"/>
    <n v="5.41"/>
    <n v="2.68"/>
    <n v="5.52"/>
    <n v="8.1199999999999992"/>
    <n v="21.92"/>
    <n v="65.44"/>
    <n v="2.77"/>
    <n v="21.98"/>
    <n v="13.8"/>
    <n v="19.39"/>
    <n v="0"/>
    <n v="2.77"/>
    <n v="5.54"/>
    <n v="47.5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.08"/>
    <n v="3.66"/>
    <n v="4.5999999999999996"/>
    <n v="3.66"/>
    <n v="2.2999999999999998"/>
    <n v="2.44"/>
    <n v="6.1"/>
    <n v="2.44"/>
    <n v="0"/>
    <n v="2.72"/>
    <n v="2.2999999999999998"/>
    <n v="5.54"/>
    <n v="5.54"/>
    <n v="5.54"/>
    <n v="8.31"/>
    <n v="5.54"/>
    <n v="5.54"/>
    <n v="5.54"/>
    <n v="5.54"/>
    <n v="8.31"/>
    <n v="8.31"/>
    <n v="8.31"/>
    <n v="8.31"/>
    <x v="2"/>
    <x v="1"/>
    <s v="61100                   "/>
    <x v="16"/>
    <x v="15"/>
    <x v="24"/>
  </r>
  <r>
    <x v="2"/>
    <x v="2"/>
    <x v="579"/>
    <x v="579"/>
    <n v="0"/>
    <n v="0.01"/>
    <n v="0"/>
    <n v="0"/>
    <n v="-0.01"/>
    <n v="0"/>
    <n v="0"/>
    <n v="0"/>
    <n v="0"/>
    <n v="0"/>
    <n v="0"/>
    <n v="0"/>
    <n v="37.81"/>
    <n v="43.2"/>
    <n v="70.14"/>
    <n v="32.4"/>
    <n v="43.2"/>
    <n v="5.41"/>
    <n v="5.4"/>
    <n v="10.8"/>
    <n v="11.58"/>
    <n v="0"/>
    <n v="34.72"/>
    <n v="17.36"/>
    <n v="23.1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"/>
    <n v="21.6"/>
    <n v="21.6"/>
    <n v="21.6"/>
    <n v="21.6"/>
    <n v="21.6"/>
    <n v="21.6"/>
    <n v="21.6"/>
    <n v="21.6"/>
    <n v="21.6"/>
    <n v="21.6"/>
    <n v="21.6"/>
    <x v="2"/>
    <x v="1"/>
    <s v="61100                   "/>
    <x v="16"/>
    <x v="16"/>
    <x v="24"/>
  </r>
  <r>
    <x v="2"/>
    <x v="2"/>
    <x v="580"/>
    <x v="580"/>
    <n v="0.03"/>
    <n v="7.0000000000000007E-2"/>
    <n v="0.08"/>
    <n v="0.13"/>
    <n v="0.15"/>
    <n v="0.05"/>
    <n v="34.68"/>
    <n v="32.64"/>
    <n v="24.48"/>
    <n v="8.16"/>
    <n v="16.32"/>
    <n v="91.69"/>
    <n v="67.31"/>
    <n v="0.16"/>
    <n v="110.13"/>
    <n v="159.12"/>
    <n v="71.400000000000006"/>
    <n v="75.48"/>
    <n v="46.92"/>
    <n v="28.55"/>
    <n v="22.42"/>
    <n v="16.3"/>
    <n v="26.49"/>
    <n v="24.45"/>
    <n v="87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44"/>
    <n v="73.44"/>
    <n v="73.44"/>
    <n v="73.44"/>
    <n v="69.36"/>
    <n v="69.36"/>
    <n v="69.36"/>
    <n v="69.36"/>
    <n v="73.44"/>
    <n v="73.44"/>
    <n v="73.44"/>
    <n v="73.44"/>
    <x v="2"/>
    <x v="1"/>
    <s v="61100                   "/>
    <x v="16"/>
    <x v="17"/>
    <x v="24"/>
  </r>
  <r>
    <x v="2"/>
    <x v="2"/>
    <x v="581"/>
    <x v="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6"/>
    <x v="18"/>
    <x v="24"/>
  </r>
  <r>
    <x v="2"/>
    <x v="2"/>
    <x v="582"/>
    <x v="582"/>
    <n v="94203.9"/>
    <n v="138059.49"/>
    <n v="105750.19"/>
    <n v="76095.98"/>
    <n v="141824.84"/>
    <n v="135260.17000000001"/>
    <n v="71428.97"/>
    <n v="68520.88"/>
    <n v="105261.41"/>
    <n v="60541.279999999999"/>
    <n v="71315.02"/>
    <n v="33544.620000000003"/>
    <n v="114685.21"/>
    <n v="67334.84"/>
    <n v="77232.570000000007"/>
    <n v="102683.57"/>
    <n v="110775.6"/>
    <n v="63534.19"/>
    <n v="94611.1"/>
    <n v="121479.48"/>
    <n v="62895.49"/>
    <n v="103252.97"/>
    <n v="59337.35"/>
    <n v="46796.72"/>
    <n v="110966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3255.039999999994"/>
    <n v="102339.75"/>
    <n v="82721.69"/>
    <n v="88777.48"/>
    <n v="84878.92"/>
    <n v="108025.1"/>
    <n v="134949.32999999999"/>
    <n v="131199.69"/>
    <n v="130137.09"/>
    <n v="74058.61"/>
    <n v="72450.78"/>
    <n v="95751.19"/>
    <n v="120273"/>
    <n v="75590.399999999994"/>
    <n v="84047.4"/>
    <n v="70064.52"/>
    <n v="124922.52"/>
    <n v="89149.32"/>
    <n v="92126.399999999994"/>
    <n v="73069.919999999998"/>
    <n v="79103.520000000004"/>
    <n v="56941.2"/>
    <n v="53326.8"/>
    <n v="52830"/>
    <x v="2"/>
    <x v="1"/>
    <s v="61100                   "/>
    <x v="17"/>
    <x v="3"/>
    <x v="26"/>
  </r>
  <r>
    <x v="2"/>
    <x v="2"/>
    <x v="583"/>
    <x v="583"/>
    <n v="0"/>
    <n v="0"/>
    <n v="0"/>
    <n v="0"/>
    <n v="0"/>
    <n v="0"/>
    <n v="0"/>
    <n v="0"/>
    <n v="0"/>
    <n v="0"/>
    <n v="0"/>
    <n v="0"/>
    <n v="0"/>
    <n v="0"/>
    <n v="0"/>
    <n v="8554.2099999999991"/>
    <n v="0"/>
    <n v="0"/>
    <n v="0"/>
    <n v="0"/>
    <n v="0"/>
    <n v="0"/>
    <n v="0"/>
    <n v="120.0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4"/>
    <x v="26"/>
  </r>
  <r>
    <x v="2"/>
    <x v="2"/>
    <x v="584"/>
    <x v="584"/>
    <n v="17751.77"/>
    <n v="7865.11"/>
    <n v="6064.68"/>
    <n v="5053.8999999999996"/>
    <n v="5053.8999999999996"/>
    <n v="21562.16"/>
    <n v="15091.95"/>
    <n v="8489.2099999999991"/>
    <n v="7033.16"/>
    <n v="12155.13"/>
    <n v="18047.169999999998"/>
    <n v="14766.74"/>
    <n v="17742.63"/>
    <n v="9948.0400000000009"/>
    <n v="7299.73"/>
    <n v="0"/>
    <n v="872.95"/>
    <n v="24933.18"/>
    <n v="9350.24"/>
    <n v="16028.28"/>
    <n v="2671.38"/>
    <n v="5342.76"/>
    <n v="19068.59"/>
    <n v="11383.37"/>
    <n v="7588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6903.88"/>
    <n v="12256.21"/>
    <n v="7174.37"/>
    <n v="17935.919999999998"/>
    <n v="7174.37"/>
    <n v="8967.9599999999991"/>
    <n v="17935.919999999998"/>
    <n v="8967.9599999999991"/>
    <n v="8967.9599999999991"/>
    <n v="6277.57"/>
    <n v="7174.37"/>
    <n v="10761.55"/>
    <n v="13932"/>
    <n v="12384"/>
    <n v="12384"/>
    <n v="4644"/>
    <n v="0"/>
    <n v="8964"/>
    <n v="8964"/>
    <n v="8964"/>
    <n v="8964"/>
    <n v="8964"/>
    <n v="5378.4"/>
    <n v="0"/>
    <x v="2"/>
    <x v="1"/>
    <s v="61100                   "/>
    <x v="17"/>
    <x v="0"/>
    <x v="26"/>
  </r>
  <r>
    <x v="2"/>
    <x v="2"/>
    <x v="585"/>
    <x v="585"/>
    <n v="0"/>
    <n v="0"/>
    <n v="0"/>
    <n v="0"/>
    <n v="0"/>
    <n v="0"/>
    <n v="0"/>
    <n v="0"/>
    <n v="6207.5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5"/>
    <x v="26"/>
  </r>
  <r>
    <x v="2"/>
    <x v="2"/>
    <x v="586"/>
    <x v="586"/>
    <n v="0"/>
    <n v="1813.34"/>
    <n v="0"/>
    <n v="0"/>
    <n v="0"/>
    <n v="731.83"/>
    <n v="0"/>
    <n v="0"/>
    <n v="0"/>
    <n v="0"/>
    <n v="365.92"/>
    <n v="365.92"/>
    <n v="365.92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6"/>
    <x v="26"/>
  </r>
  <r>
    <x v="2"/>
    <x v="2"/>
    <x v="587"/>
    <x v="587"/>
    <n v="28002.16"/>
    <n v="43638.49"/>
    <n v="25162.49"/>
    <n v="21629.96"/>
    <n v="51661.41"/>
    <n v="18681.669999999998"/>
    <n v="28653.78"/>
    <n v="10598.37"/>
    <n v="22298.36"/>
    <n v="32823.25"/>
    <n v="35410.11"/>
    <n v="8410.15"/>
    <n v="37726.28"/>
    <n v="17893.240000000002"/>
    <n v="24951.75"/>
    <n v="17379.41"/>
    <n v="35567.949999999997"/>
    <n v="-8267.57"/>
    <n v="24714.41"/>
    <n v="33278.57"/>
    <n v="8618.01"/>
    <n v="27929.87"/>
    <n v="11411.7"/>
    <n v="10120.370000000001"/>
    <n v="35770.33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124.99"/>
    <n v="32516.98"/>
    <n v="26114.14"/>
    <n v="22202.13"/>
    <n v="32600.1"/>
    <n v="34773.440000000002"/>
    <n v="41728.129999999997"/>
    <n v="38250.78"/>
    <n v="33904.1"/>
    <n v="20212.060000000001"/>
    <n v="13040.04"/>
    <n v="15648.05"/>
    <n v="17094.599999999999"/>
    <n v="18036"/>
    <n v="15989.4"/>
    <n v="12866.4"/>
    <n v="11502"/>
    <n v="23061.599999999999"/>
    <n v="33343.199999999997"/>
    <n v="33285.599999999999"/>
    <n v="11444.4"/>
    <n v="8946"/>
    <n v="8946"/>
    <n v="12808.8"/>
    <x v="2"/>
    <x v="1"/>
    <s v="61100                   "/>
    <x v="17"/>
    <x v="1"/>
    <x v="26"/>
  </r>
  <r>
    <x v="2"/>
    <x v="2"/>
    <x v="588"/>
    <x v="5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17"/>
    <x v="7"/>
    <x v="26"/>
  </r>
  <r>
    <x v="2"/>
    <x v="2"/>
    <x v="588"/>
    <x v="588"/>
    <n v="11694.69"/>
    <n v="46623.25"/>
    <n v="21760.35"/>
    <n v="29013.8"/>
    <n v="33717.72"/>
    <n v="19336.5"/>
    <n v="21914.7"/>
    <n v="25003.46"/>
    <n v="40939.699999999997"/>
    <n v="2376.81"/>
    <n v="19736.18"/>
    <n v="-0.02"/>
    <n v="16096.03"/>
    <n v="28168.080000000002"/>
    <n v="24144.05"/>
    <n v="49345.37"/>
    <n v="7454.66"/>
    <n v="19879.11"/>
    <n v="21742.39"/>
    <n v="34993.800000000003"/>
    <n v="20232.189999999999"/>
    <n v="14182.75"/>
    <n v="19855.849999999999"/>
    <n v="11346.2"/>
    <n v="25528.8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432.2999999999993"/>
    <n v="11318.76"/>
    <n v="16978.14"/>
    <n v="15091.68"/>
    <n v="16978.14"/>
    <n v="11318.76"/>
    <n v="13205.22"/>
    <n v="13205.22"/>
    <n v="10375.530000000001"/>
    <n v="6602.61"/>
    <n v="13205.22"/>
    <n v="9432.2999999999993"/>
    <n v="18700"/>
    <n v="52509.599999999999"/>
    <n v="28274.400000000001"/>
    <n v="52509.599999999999"/>
    <n v="28274.400000000001"/>
    <n v="26928"/>
    <n v="28274.400000000001"/>
    <n v="29845.200000000001"/>
    <n v="28274.400000000001"/>
    <n v="28274.400000000001"/>
    <n v="28274.400000000001"/>
    <n v="20196"/>
    <x v="2"/>
    <x v="1"/>
    <s v="61100                   "/>
    <x v="17"/>
    <x v="7"/>
    <x v="26"/>
  </r>
  <r>
    <x v="2"/>
    <x v="2"/>
    <x v="589"/>
    <x v="589"/>
    <n v="71908.97"/>
    <n v="78548"/>
    <n v="86188.54"/>
    <n v="50047.55"/>
    <n v="78751.399999999994"/>
    <n v="83621.97"/>
    <n v="37883.199999999997"/>
    <n v="70628.399999999994"/>
    <n v="32694.400000000001"/>
    <n v="27986.67"/>
    <n v="46599.17"/>
    <n v="38877"/>
    <n v="80177.98"/>
    <n v="51391.839999999997"/>
    <n v="33249.269999999997"/>
    <n v="58230.52"/>
    <n v="60206.47"/>
    <n v="47850.01"/>
    <n v="46805.18"/>
    <n v="73183.100000000006"/>
    <n v="58873.14"/>
    <n v="54826.17"/>
    <n v="27635.55"/>
    <n v="54498.99"/>
    <n v="91070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9139.039999999994"/>
    <n v="102123.72"/>
    <n v="67939.75"/>
    <n v="63131.23"/>
    <n v="67228.22"/>
    <n v="96089.86"/>
    <n v="84418.33"/>
    <n v="95676.64"/>
    <n v="60923.17"/>
    <n v="31262.13"/>
    <n v="53024.69"/>
    <n v="46815.16"/>
    <n v="77333.759999999995"/>
    <n v="94628.160000000003"/>
    <n v="76624.800000000003"/>
    <n v="49580.4"/>
    <n v="68970.720000000001"/>
    <n v="73825.2"/>
    <n v="53823.360000000001"/>
    <n v="67998.960000000006"/>
    <n v="68403.600000000006"/>
    <n v="34947.120000000003"/>
    <n v="30702.36"/>
    <n v="27273.48"/>
    <x v="2"/>
    <x v="1"/>
    <s v="61100                   "/>
    <x v="17"/>
    <x v="8"/>
    <x v="26"/>
  </r>
  <r>
    <x v="2"/>
    <x v="2"/>
    <x v="590"/>
    <x v="590"/>
    <n v="20994.94"/>
    <n v="18176.78"/>
    <n v="22836.16"/>
    <n v="25890.76"/>
    <n v="28768.79"/>
    <n v="18680.16"/>
    <n v="808.5"/>
    <n v="4629.24"/>
    <n v="6349.38"/>
    <n v="6022.76"/>
    <n v="5197.43"/>
    <n v="2321.23"/>
    <n v="32472.720000000001"/>
    <n v="7803.44"/>
    <n v="19105.580000000002"/>
    <n v="22744.67"/>
    <n v="4429.1499999999996"/>
    <n v="9360.2199999999993"/>
    <n v="2759.65"/>
    <n v="9487.48"/>
    <n v="3458.6"/>
    <n v="23345.58"/>
    <n v="12026.32"/>
    <n v="12687.45"/>
    <n v="16981.50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656.78"/>
    <n v="11921.11"/>
    <n v="12442.08"/>
    <n v="11689.87"/>
    <n v="10185.450000000001"/>
    <n v="11458.63"/>
    <n v="12731.81"/>
    <n v="11458.63"/>
    <n v="7639.09"/>
    <n v="5092.72"/>
    <n v="6365.91"/>
    <n v="8912.27"/>
    <n v="36573.599999999999"/>
    <n v="24804"/>
    <n v="30201.599999999999"/>
    <n v="30201.599999999999"/>
    <n v="22120.799999999999"/>
    <n v="21985.200000000001"/>
    <n v="12904.8"/>
    <n v="8559"/>
    <n v="7902"/>
    <n v="38169"/>
    <n v="4478.3999999999996"/>
    <n v="4478.3999999999996"/>
    <x v="2"/>
    <x v="1"/>
    <s v="61100                   "/>
    <x v="17"/>
    <x v="9"/>
    <x v="26"/>
  </r>
  <r>
    <x v="2"/>
    <x v="2"/>
    <x v="591"/>
    <x v="591"/>
    <n v="11243.71"/>
    <n v="657.62"/>
    <n v="1315.24"/>
    <n v="2630.49"/>
    <n v="21043.9"/>
    <n v="16538.14"/>
    <n v="7136.2"/>
    <n v="1387.86"/>
    <n v="29068.05"/>
    <n v="6868.91"/>
    <n v="1755.9"/>
    <n v="598.53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0"/>
    <x v="26"/>
  </r>
  <r>
    <x v="2"/>
    <x v="2"/>
    <x v="592"/>
    <x v="592"/>
    <n v="0"/>
    <n v="0"/>
    <n v="0"/>
    <n v="0"/>
    <n v="13951.66"/>
    <n v="8802.56"/>
    <n v="41970.85"/>
    <n v="23474.28"/>
    <n v="0"/>
    <n v="0"/>
    <n v="1593.57"/>
    <n v="612.91"/>
    <n v="1225.83"/>
    <n v="21483.71"/>
    <n v="4612.7299999999996"/>
    <n v="3532.19"/>
    <n v="4324.5200000000004"/>
    <n v="15794.5"/>
    <n v="6704.21"/>
    <n v="1189.83"/>
    <n v="0"/>
    <n v="0"/>
    <n v="595.11"/>
    <n v="2380.429999999999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333.7099999999991"/>
    <n v="11667.14"/>
    <n v="14000.57"/>
    <n v="18667.419999999998"/>
    <n v="11667.14"/>
    <n v="18667.419999999998"/>
    <n v="30334.560000000001"/>
    <n v="26880.78"/>
    <n v="16333.99"/>
    <n v="4666.8599999999997"/>
    <n v="4666.8599999999997"/>
    <n v="7000.28"/>
    <n v="2376"/>
    <n v="1782"/>
    <n v="5940"/>
    <n v="2376"/>
    <n v="2376"/>
    <n v="9504"/>
    <n v="9504"/>
    <n v="3564"/>
    <n v="2376"/>
    <n v="2376"/>
    <n v="2970"/>
    <n v="2376"/>
    <x v="2"/>
    <x v="1"/>
    <s v="61100                   "/>
    <x v="17"/>
    <x v="11"/>
    <x v="26"/>
  </r>
  <r>
    <x v="2"/>
    <x v="2"/>
    <x v="593"/>
    <x v="593"/>
    <n v="4851.34"/>
    <n v="24240.78"/>
    <n v="14548.96"/>
    <n v="32082.13"/>
    <n v="14016.53"/>
    <n v="32977.480000000003"/>
    <n v="9083.58"/>
    <n v="8300.4699999999993"/>
    <n v="27294.47"/>
    <n v="5399.84"/>
    <n v="24819.13"/>
    <n v="6853.03"/>
    <n v="6622.81"/>
    <n v="17160.91"/>
    <n v="21395.08"/>
    <n v="30916.38"/>
    <n v="20785.830000000002"/>
    <n v="26109.86"/>
    <n v="16337.56"/>
    <n v="31076.07"/>
    <n v="38707.53"/>
    <n v="4600.58"/>
    <n v="4600.58"/>
    <n v="10355.709999999999"/>
    <n v="13801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031.37"/>
    <n v="24547.35"/>
    <n v="16364.9"/>
    <n v="40958.199999999997"/>
    <n v="24256.34"/>
    <n v="33776.58"/>
    <n v="13637.41"/>
    <n v="24890.07"/>
    <n v="16364.9"/>
    <n v="13637.41"/>
    <n v="9546.19"/>
    <n v="9546.19"/>
    <n v="10187.52"/>
    <n v="15281.28"/>
    <n v="15381.28"/>
    <n v="14007.84"/>
    <n v="24807.84"/>
    <n v="27651.84"/>
    <n v="28115.68"/>
    <n v="27560.880000000001"/>
    <n v="10187.52"/>
    <n v="10187.52"/>
    <n v="10187.52"/>
    <n v="10187.52"/>
    <x v="2"/>
    <x v="1"/>
    <s v="61100                   "/>
    <x v="17"/>
    <x v="12"/>
    <x v="26"/>
  </r>
  <r>
    <x v="2"/>
    <x v="2"/>
    <x v="594"/>
    <x v="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0"/>
    <n v="12240"/>
    <n v="19150"/>
    <n v="12870"/>
    <n v="12870"/>
    <n v="19150"/>
    <n v="19656"/>
    <n v="26856"/>
    <n v="12870"/>
    <n v="12870"/>
    <n v="12870"/>
    <n v="5400"/>
    <x v="2"/>
    <x v="1"/>
    <s v="61100                   "/>
    <x v="17"/>
    <x v="13"/>
    <x v="26"/>
  </r>
  <r>
    <x v="2"/>
    <x v="2"/>
    <x v="595"/>
    <x v="595"/>
    <n v="0"/>
    <n v="0"/>
    <n v="0"/>
    <n v="0"/>
    <n v="0"/>
    <n v="0"/>
    <n v="0"/>
    <n v="0"/>
    <n v="0"/>
    <n v="0"/>
    <n v="0"/>
    <n v="0"/>
    <n v="0"/>
    <n v="0"/>
    <n v="0"/>
    <n v="0"/>
    <n v="0"/>
    <n v="572.72"/>
    <n v="0"/>
    <n v="0"/>
    <n v="0"/>
    <n v="8963.299999999999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41250"/>
    <n v="41250"/>
    <n v="41250"/>
    <n v="4125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4"/>
    <x v="26"/>
  </r>
  <r>
    <x v="2"/>
    <x v="2"/>
    <x v="596"/>
    <x v="596"/>
    <n v="17989.25"/>
    <n v="12544.48"/>
    <n v="13911.75"/>
    <n v="21850.04"/>
    <n v="25282.37"/>
    <n v="16694.46"/>
    <n v="0"/>
    <n v="2710.59"/>
    <n v="4906.24"/>
    <n v="14202.74"/>
    <n v="13258.2"/>
    <n v="2492.4499999999998"/>
    <n v="2990.94"/>
    <n v="1993.96"/>
    <n v="498.49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964.91"/>
    <n v="8541.35"/>
    <n v="3203.01"/>
    <n v="3203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5"/>
    <x v="26"/>
  </r>
  <r>
    <x v="2"/>
    <x v="2"/>
    <x v="597"/>
    <x v="597"/>
    <n v="0"/>
    <n v="4780.53"/>
    <n v="-154.21"/>
    <n v="0"/>
    <n v="616.84"/>
    <n v="9847.4"/>
    <n v="0"/>
    <n v="0"/>
    <n v="0"/>
    <n v="0"/>
    <n v="0"/>
    <n v="21231.08"/>
    <n v="0"/>
    <n v="0"/>
    <n v="0"/>
    <n v="0"/>
    <n v="0"/>
    <n v="0"/>
    <n v="0"/>
    <n v="173.61"/>
    <n v="0"/>
    <n v="4991.8599999999997"/>
    <n v="623.98"/>
    <n v="1247.97"/>
    <n v="1871.9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6"/>
    <x v="26"/>
  </r>
  <r>
    <x v="2"/>
    <x v="2"/>
    <x v="598"/>
    <x v="598"/>
    <n v="0"/>
    <n v="0"/>
    <n v="0"/>
    <n v="0"/>
    <n v="0"/>
    <n v="0"/>
    <n v="0"/>
    <n v="0"/>
    <n v="0"/>
    <n v="0"/>
    <n v="0"/>
    <n v="0"/>
    <n v="0"/>
    <n v="148.74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7"/>
    <x v="26"/>
  </r>
  <r>
    <x v="2"/>
    <x v="2"/>
    <x v="599"/>
    <x v="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7"/>
    <x v="18"/>
    <x v="26"/>
  </r>
  <r>
    <x v="2"/>
    <x v="2"/>
    <x v="600"/>
    <x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3"/>
    <x v="18"/>
  </r>
  <r>
    <x v="2"/>
    <x v="2"/>
    <x v="601"/>
    <x v="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4"/>
    <x v="18"/>
  </r>
  <r>
    <x v="2"/>
    <x v="2"/>
    <x v="602"/>
    <x v="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0"/>
    <x v="18"/>
  </r>
  <r>
    <x v="2"/>
    <x v="2"/>
    <x v="603"/>
    <x v="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5"/>
    <x v="18"/>
  </r>
  <r>
    <x v="2"/>
    <x v="2"/>
    <x v="604"/>
    <x v="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6"/>
    <x v="18"/>
  </r>
  <r>
    <x v="2"/>
    <x v="2"/>
    <x v="605"/>
    <x v="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"/>
    <x v="18"/>
  </r>
  <r>
    <x v="2"/>
    <x v="2"/>
    <x v="606"/>
    <x v="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7"/>
    <x v="18"/>
  </r>
  <r>
    <x v="2"/>
    <x v="2"/>
    <x v="607"/>
    <x v="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8"/>
    <x v="18"/>
  </r>
  <r>
    <x v="2"/>
    <x v="2"/>
    <x v="608"/>
    <x v="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9"/>
    <x v="18"/>
  </r>
  <r>
    <x v="2"/>
    <x v="2"/>
    <x v="609"/>
    <x v="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0"/>
    <x v="18"/>
  </r>
  <r>
    <x v="2"/>
    <x v="2"/>
    <x v="610"/>
    <x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200.3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1"/>
    <x v="18"/>
  </r>
  <r>
    <x v="2"/>
    <x v="2"/>
    <x v="611"/>
    <x v="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2"/>
    <x v="18"/>
  </r>
  <r>
    <x v="2"/>
    <x v="2"/>
    <x v="612"/>
    <x v="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3"/>
    <x v="18"/>
  </r>
  <r>
    <x v="2"/>
    <x v="2"/>
    <x v="613"/>
    <x v="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4"/>
    <x v="18"/>
  </r>
  <r>
    <x v="2"/>
    <x v="2"/>
    <x v="614"/>
    <x v="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5"/>
    <x v="18"/>
  </r>
  <r>
    <x v="2"/>
    <x v="2"/>
    <x v="615"/>
    <x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6"/>
    <x v="18"/>
  </r>
  <r>
    <x v="2"/>
    <x v="2"/>
    <x v="616"/>
    <x v="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7"/>
    <x v="18"/>
  </r>
  <r>
    <x v="2"/>
    <x v="2"/>
    <x v="617"/>
    <x v="6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8"/>
    <x v="18"/>
    <x v="18"/>
  </r>
  <r>
    <x v="2"/>
    <x v="2"/>
    <x v="618"/>
    <x v="618"/>
    <n v="0"/>
    <n v="0"/>
    <n v="0"/>
    <n v="0"/>
    <n v="0"/>
    <n v="0"/>
    <n v="0"/>
    <n v="0"/>
    <n v="0"/>
    <n v="2808.6"/>
    <n v="0"/>
    <n v="0"/>
    <n v="0"/>
    <n v="0"/>
    <n v="0"/>
    <n v="0"/>
    <n v="0"/>
    <n v="0"/>
    <n v="0"/>
    <n v="0"/>
    <n v="0"/>
    <n v="3264.7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999.54"/>
    <n v="0"/>
    <n v="0"/>
    <n v="0"/>
    <n v="1999.54"/>
    <n v="0"/>
    <n v="0"/>
    <n v="0"/>
    <n v="0"/>
    <n v="0"/>
    <n v="0"/>
    <n v="0"/>
    <n v="0"/>
    <n v="0"/>
    <n v="0"/>
    <n v="0"/>
    <n v="0"/>
    <n v="0"/>
    <n v="0"/>
    <n v="3007.8"/>
    <n v="0"/>
    <n v="0"/>
    <x v="2"/>
    <x v="1"/>
    <s v="61100                   "/>
    <x v="19"/>
    <x v="3"/>
    <x v="18"/>
  </r>
  <r>
    <x v="2"/>
    <x v="2"/>
    <x v="619"/>
    <x v="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4"/>
    <x v="18"/>
  </r>
  <r>
    <x v="2"/>
    <x v="2"/>
    <x v="620"/>
    <x v="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0"/>
    <x v="18"/>
  </r>
  <r>
    <x v="2"/>
    <x v="2"/>
    <x v="621"/>
    <x v="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5"/>
    <x v="18"/>
  </r>
  <r>
    <x v="2"/>
    <x v="2"/>
    <x v="622"/>
    <x v="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6"/>
    <x v="18"/>
  </r>
  <r>
    <x v="2"/>
    <x v="2"/>
    <x v="623"/>
    <x v="623"/>
    <n v="0"/>
    <n v="0"/>
    <n v="0"/>
    <n v="0"/>
    <n v="0"/>
    <n v="337.27"/>
    <n v="0"/>
    <n v="0"/>
    <n v="0"/>
    <n v="0"/>
    <n v="0"/>
    <n v="0"/>
    <n v="0"/>
    <n v="0"/>
    <n v="0"/>
    <n v="0"/>
    <n v="448.92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"/>
    <x v="18"/>
  </r>
  <r>
    <x v="2"/>
    <x v="2"/>
    <x v="624"/>
    <x v="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7"/>
    <x v="18"/>
  </r>
  <r>
    <x v="2"/>
    <x v="2"/>
    <x v="625"/>
    <x v="625"/>
    <n v="18184.72"/>
    <n v="9159.34"/>
    <n v="8775.26"/>
    <n v="17429.72"/>
    <n v="2740.81"/>
    <n v="223.51"/>
    <n v="0"/>
    <n v="13796.18"/>
    <n v="6056.58"/>
    <n v="540.22"/>
    <n v="8699.07"/>
    <n v="17399.16"/>
    <n v="0"/>
    <n v="0"/>
    <n v="0"/>
    <n v="0"/>
    <n v="0"/>
    <n v="0"/>
    <n v="20579.740000000002"/>
    <n v="2858.99"/>
    <n v="0"/>
    <n v="0"/>
    <n v="0"/>
    <n v="0"/>
    <n v="11024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8718"/>
    <n v="0"/>
    <n v="0"/>
    <n v="0"/>
    <n v="8718"/>
    <n v="0"/>
    <n v="0"/>
    <n v="0"/>
    <n v="8718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8"/>
    <x v="18"/>
  </r>
  <r>
    <x v="2"/>
    <x v="2"/>
    <x v="626"/>
    <x v="626"/>
    <n v="0"/>
    <n v="0"/>
    <n v="0"/>
    <n v="0"/>
    <n v="1189.8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9"/>
    <x v="18"/>
  </r>
  <r>
    <x v="2"/>
    <x v="2"/>
    <x v="627"/>
    <x v="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0"/>
    <x v="18"/>
  </r>
  <r>
    <x v="2"/>
    <x v="2"/>
    <x v="628"/>
    <x v="628"/>
    <n v="0"/>
    <n v="0"/>
    <n v="0"/>
    <n v="0"/>
    <n v="0"/>
    <n v="0"/>
    <n v="0"/>
    <n v="0"/>
    <n v="0"/>
    <n v="205.4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1"/>
    <x v="18"/>
  </r>
  <r>
    <x v="2"/>
    <x v="2"/>
    <x v="629"/>
    <x v="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2"/>
    <x v="18"/>
  </r>
  <r>
    <x v="2"/>
    <x v="2"/>
    <x v="630"/>
    <x v="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3"/>
    <x v="18"/>
  </r>
  <r>
    <x v="2"/>
    <x v="2"/>
    <x v="631"/>
    <x v="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4"/>
    <x v="18"/>
  </r>
  <r>
    <x v="2"/>
    <x v="2"/>
    <x v="632"/>
    <x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5"/>
    <x v="18"/>
  </r>
  <r>
    <x v="2"/>
    <x v="2"/>
    <x v="633"/>
    <x v="6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6"/>
    <x v="18"/>
  </r>
  <r>
    <x v="2"/>
    <x v="2"/>
    <x v="634"/>
    <x v="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7"/>
    <x v="18"/>
  </r>
  <r>
    <x v="2"/>
    <x v="2"/>
    <x v="635"/>
    <x v="6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19"/>
    <x v="18"/>
    <x v="18"/>
  </r>
  <r>
    <x v="2"/>
    <x v="2"/>
    <x v="636"/>
    <x v="636"/>
    <n v="1827.49"/>
    <n v="2341.59"/>
    <n v="2177.2399999999998"/>
    <n v="2271.5300000000002"/>
    <n v="2873.9"/>
    <n v="1970.47"/>
    <n v="2741.77"/>
    <n v="1371.13"/>
    <n v="1807.66"/>
    <n v="756.89"/>
    <n v="813.29"/>
    <n v="1839.81"/>
    <n v="1330.6"/>
    <n v="1857.21"/>
    <n v="1729.39"/>
    <n v="2385.5100000000002"/>
    <n v="2503.8200000000002"/>
    <n v="2415.0300000000002"/>
    <n v="1714.75"/>
    <n v="1495.99"/>
    <n v="1672.1"/>
    <n v="925.15"/>
    <n v="1279.51"/>
    <n v="2145.77"/>
    <n v="1740.1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48.98"/>
    <n v="2749.46"/>
    <n v="2434.0500000000002"/>
    <n v="2153.87"/>
    <n v="3616.74"/>
    <n v="1558.99"/>
    <n v="2670.88"/>
    <n v="1670.87"/>
    <n v="2299.79"/>
    <n v="895.92"/>
    <n v="-796"/>
    <n v="2173.02"/>
    <n v="2711.63"/>
    <n v="1441.7"/>
    <n v="1729.56"/>
    <n v="804.38"/>
    <n v="864.82"/>
    <n v="1454.16"/>
    <n v="1497.64"/>
    <n v="2010.48"/>
    <n v="1957.77"/>
    <n v="2566.4499999999998"/>
    <n v="2645.38"/>
    <n v="2868.11"/>
    <x v="2"/>
    <x v="1"/>
    <s v="61100                   "/>
    <x v="20"/>
    <x v="3"/>
    <x v="24"/>
  </r>
  <r>
    <x v="2"/>
    <x v="2"/>
    <x v="637"/>
    <x v="637"/>
    <n v="43.24"/>
    <n v="83.89"/>
    <n v="487.04"/>
    <n v="263.89"/>
    <n v="448.86"/>
    <n v="62.42"/>
    <n v="148.13999999999999"/>
    <n v="70.680000000000007"/>
    <n v="409.57"/>
    <n v="20.12"/>
    <n v="232.15"/>
    <n v="457.33"/>
    <n v="255.13"/>
    <n v="400.82"/>
    <n v="161.69999999999999"/>
    <n v="258.37"/>
    <n v="99.32"/>
    <n v="775.4"/>
    <n v="209.35"/>
    <n v="73.13"/>
    <n v="493.13"/>
    <n v="31.67"/>
    <n v="316.42"/>
    <n v="127.29"/>
    <n v="1651.6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.93"/>
    <n v="84.73"/>
    <n v="521.29"/>
    <n v="272.8"/>
    <n v="456.98"/>
    <n v="77.59"/>
    <n v="157.6"/>
    <n v="83.46"/>
    <n v="448.84"/>
    <n v="23.85"/>
    <n v="215.8"/>
    <n v="454.28"/>
    <n v="139.1"/>
    <n v="68.87"/>
    <n v="407.75"/>
    <n v="19.649999999999999"/>
    <n v="191.66"/>
    <n v="458.39"/>
    <n v="254.92"/>
    <n v="442.93"/>
    <n v="163.25"/>
    <n v="282"/>
    <n v="123.63"/>
    <n v="867.27"/>
    <x v="2"/>
    <x v="1"/>
    <s v="61100                   "/>
    <x v="20"/>
    <x v="4"/>
    <x v="24"/>
  </r>
  <r>
    <x v="2"/>
    <x v="2"/>
    <x v="638"/>
    <x v="638"/>
    <n v="51.95"/>
    <n v="103.77"/>
    <n v="123.91"/>
    <n v="212.23"/>
    <n v="119.29"/>
    <n v="132.08000000000001"/>
    <n v="93.5"/>
    <n v="37.25"/>
    <n v="50.28"/>
    <n v="31.88"/>
    <n v="44.3"/>
    <n v="58.01"/>
    <n v="49.31"/>
    <n v="98.49"/>
    <n v="55.72"/>
    <n v="92.83"/>
    <n v="125.77"/>
    <n v="107.2"/>
    <n v="69.040000000000006"/>
    <n v="40.630000000000003"/>
    <n v="51.73"/>
    <n v="48.91"/>
    <n v="23.54"/>
    <n v="35.32"/>
    <n v="37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4.33"/>
    <n v="104.98"/>
    <n v="114.41"/>
    <n v="150.93"/>
    <n v="118.52"/>
    <n v="145.61000000000001"/>
    <n v="113.82"/>
    <n v="46.68"/>
    <n v="60.74"/>
    <n v="40.64"/>
    <n v="55.4"/>
    <n v="74.13"/>
    <n v="81.03"/>
    <n v="32.479999999999997"/>
    <n v="44.59"/>
    <n v="28.52"/>
    <n v="38.590000000000003"/>
    <n v="51.38"/>
    <n v="55.34"/>
    <n v="92.91"/>
    <n v="52.85"/>
    <n v="88.16"/>
    <n v="130.15"/>
    <n v="105.36"/>
    <x v="2"/>
    <x v="1"/>
    <s v="61100                   "/>
    <x v="20"/>
    <x v="0"/>
    <x v="24"/>
  </r>
  <r>
    <x v="2"/>
    <x v="2"/>
    <x v="639"/>
    <x v="639"/>
    <n v="0"/>
    <n v="0"/>
    <n v="0"/>
    <n v="0"/>
    <n v="0"/>
    <n v="0"/>
    <n v="0"/>
    <n v="0"/>
    <n v="0"/>
    <n v="0"/>
    <n v="0"/>
    <n v="0"/>
    <n v="0"/>
    <n v="0"/>
    <n v="0"/>
    <n v="39.979999999999997"/>
    <n v="39.99"/>
    <n v="50.2"/>
    <n v="13.06"/>
    <n v="23.26"/>
    <n v="23.26"/>
    <n v="29.78"/>
    <n v="0"/>
    <n v="50.1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37"/>
    <n v="40.11"/>
    <n v="56.88"/>
    <n v="56.88"/>
    <x v="2"/>
    <x v="1"/>
    <s v="61100                   "/>
    <x v="20"/>
    <x v="5"/>
    <x v="24"/>
  </r>
  <r>
    <x v="2"/>
    <x v="2"/>
    <x v="640"/>
    <x v="640"/>
    <n v="0"/>
    <n v="6.23"/>
    <n v="0"/>
    <n v="12.46"/>
    <n v="18.690000000000001"/>
    <n v="43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7.8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8.34"/>
    <n v="0"/>
    <n v="8.34"/>
    <n v="16.68"/>
    <n v="5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0"/>
    <x v="6"/>
    <x v="24"/>
  </r>
  <r>
    <x v="2"/>
    <x v="2"/>
    <x v="641"/>
    <x v="641"/>
    <n v="695.29"/>
    <n v="1031.96"/>
    <n v="817"/>
    <n v="1395.87"/>
    <n v="2217.12"/>
    <n v="1914.92"/>
    <n v="731.11"/>
    <n v="543.39"/>
    <n v="274.66000000000003"/>
    <n v="293.04000000000002"/>
    <n v="575.32000000000005"/>
    <n v="436.09"/>
    <n v="434.21"/>
    <n v="670.9"/>
    <n v="871.98"/>
    <n v="1172.6199999999999"/>
    <n v="857.61"/>
    <n v="1587.05"/>
    <n v="1035.57"/>
    <n v="602.48"/>
    <n v="876.1"/>
    <n v="319.69"/>
    <n v="896.67"/>
    <n v="674.01"/>
    <n v="754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5.98"/>
    <n v="1010.77"/>
    <n v="718.04"/>
    <n v="1478.59"/>
    <n v="2025.73"/>
    <n v="1842.06"/>
    <n v="953.06"/>
    <n v="656.08"/>
    <n v="362.18"/>
    <n v="340.92"/>
    <n v="806.06"/>
    <n v="554.08000000000004"/>
    <n v="1163.82"/>
    <n v="705.32"/>
    <n v="344.92"/>
    <n v="457.41"/>
    <n v="493.69"/>
    <n v="736.66"/>
    <n v="758.94"/>
    <n v="1490.67"/>
    <n v="1577.82"/>
    <n v="1813.13"/>
    <n v="2104.91"/>
    <n v="1997.61"/>
    <x v="2"/>
    <x v="1"/>
    <s v="61100                   "/>
    <x v="20"/>
    <x v="1"/>
    <x v="24"/>
  </r>
  <r>
    <x v="2"/>
    <x v="2"/>
    <x v="642"/>
    <x v="642"/>
    <n v="0"/>
    <n v="0"/>
    <n v="0"/>
    <n v="0"/>
    <n v="0"/>
    <n v="0"/>
    <n v="0"/>
    <n v="0"/>
    <n v="0"/>
    <n v="0"/>
    <n v="0"/>
    <n v="0"/>
    <n v="888.65"/>
    <n v="1056.1600000000001"/>
    <n v="0"/>
    <n v="1269.3699999999999"/>
    <n v="1651.4"/>
    <n v="0"/>
    <n v="5385.63"/>
    <n v="1119.8"/>
    <n v="1245.26"/>
    <n v="861.23"/>
    <n v="772.35"/>
    <n v="743.58"/>
    <n v="-14993.4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69.51"/>
    <n v="853.64"/>
    <n v="1485.09"/>
    <n v="1811.86"/>
    <n v="2639.5"/>
    <n v="1990.93"/>
    <n v="1518.37"/>
    <n v="2536.46"/>
    <n v="1045.6300000000001"/>
    <n v="558.1"/>
    <n v="498.14"/>
    <n v="868.55"/>
    <n v="1322.77"/>
    <n v="2404.1"/>
    <n v="2715.05"/>
    <n v="3849.28"/>
    <n v="4396.25"/>
    <n v="4534.66"/>
    <n v="2156.12"/>
    <n v="2653.13"/>
    <n v="1621.21"/>
    <n v="1423.38"/>
    <n v="1716.77"/>
    <n v="2145.4499999999998"/>
    <x v="3"/>
    <x v="1"/>
    <s v="61100                   "/>
    <x v="20"/>
    <x v="7"/>
    <x v="24"/>
  </r>
  <r>
    <x v="2"/>
    <x v="2"/>
    <x v="642"/>
    <x v="642"/>
    <n v="558.48"/>
    <n v="762.1"/>
    <n v="638.64"/>
    <n v="734.71"/>
    <n v="508.29"/>
    <n v="647.72"/>
    <n v="-38.43"/>
    <n v="524.98"/>
    <n v="370.19"/>
    <n v="0.01"/>
    <n v="202.63"/>
    <n v="-152.38999999999999"/>
    <n v="232.07"/>
    <n v="62.05"/>
    <n v="39.5"/>
    <n v="230.29"/>
    <n v="326.33"/>
    <n v="162.54"/>
    <n v="57.06"/>
    <n v="150.69"/>
    <n v="555.62"/>
    <n v="0"/>
    <n v="321.89999999999998"/>
    <n v="-0.01"/>
    <n v="303.6499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05.89"/>
    <n v="737.24"/>
    <n v="709.56"/>
    <n v="658.8"/>
    <n v="322.95"/>
    <n v="669.26"/>
    <n v="57.34"/>
    <n v="656.7"/>
    <n v="437.79"/>
    <n v="0"/>
    <n v="251.84"/>
    <n v="-207.73"/>
    <n v="5.62"/>
    <n v="11.24"/>
    <n v="0"/>
    <n v="0"/>
    <n v="5.62"/>
    <n v="0"/>
    <n v="5.62"/>
    <n v="5.62"/>
    <n v="5.62"/>
    <n v="50.58"/>
    <n v="28.1"/>
    <n v="22.48"/>
    <x v="2"/>
    <x v="1"/>
    <s v="61100                   "/>
    <x v="20"/>
    <x v="7"/>
    <x v="24"/>
  </r>
  <r>
    <x v="2"/>
    <x v="2"/>
    <x v="643"/>
    <x v="643"/>
    <n v="1272.29"/>
    <n v="1990.12"/>
    <n v="2688.2"/>
    <n v="2552.15"/>
    <n v="2851.56"/>
    <n v="3317.3"/>
    <n v="1827.39"/>
    <n v="1292.8"/>
    <n v="1955.63"/>
    <n v="476.36"/>
    <n v="327.29000000000002"/>
    <n v="1174.67"/>
    <n v="1270.99"/>
    <n v="1781.66"/>
    <n v="1492.79"/>
    <n v="1622.11"/>
    <n v="2500.2600000000002"/>
    <n v="1554.13"/>
    <n v="1575.12"/>
    <n v="1059.75"/>
    <n v="1751.48"/>
    <n v="1093.83"/>
    <n v="768.74"/>
    <n v="1082.51"/>
    <n v="1955.2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31.8900000000001"/>
    <n v="1677.81"/>
    <n v="2375.0700000000002"/>
    <n v="2353.25"/>
    <n v="2476.44"/>
    <n v="3083.32"/>
    <n v="2703.18"/>
    <n v="1854.19"/>
    <n v="2333.5700000000002"/>
    <n v="685.33"/>
    <n v="474.04"/>
    <n v="1229.44"/>
    <n v="2199.42"/>
    <n v="1545.42"/>
    <n v="2244.5700000000002"/>
    <n v="619.64"/>
    <n v="590.45000000000005"/>
    <n v="1360.15"/>
    <n v="1535.78"/>
    <n v="2134.25"/>
    <n v="1787.52"/>
    <n v="1914.97"/>
    <n v="2660.84"/>
    <n v="1969.58"/>
    <x v="2"/>
    <x v="1"/>
    <s v="61100                   "/>
    <x v="20"/>
    <x v="8"/>
    <x v="24"/>
  </r>
  <r>
    <x v="2"/>
    <x v="2"/>
    <x v="644"/>
    <x v="644"/>
    <n v="1100.54"/>
    <n v="2244.75"/>
    <n v="1395.84"/>
    <n v="1405.09"/>
    <n v="1748.2"/>
    <n v="816.42"/>
    <n v="336.62"/>
    <n v="428.03"/>
    <n v="486.66"/>
    <n v="188.13"/>
    <n v="308.08999999999997"/>
    <n v="272.43"/>
    <n v="708.1"/>
    <n v="1395.31"/>
    <n v="674.02"/>
    <n v="1299.3399999999999"/>
    <n v="1212.4000000000001"/>
    <n v="1452.69"/>
    <n v="680.42"/>
    <n v="685.95"/>
    <n v="849.24"/>
    <n v="504.32"/>
    <n v="1385.84"/>
    <n v="2446.2199999999998"/>
    <n v="2733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73.75"/>
    <n v="2520.75"/>
    <n v="1333"/>
    <n v="1382.45"/>
    <n v="1485.35"/>
    <n v="1035.93"/>
    <n v="464.59"/>
    <n v="572.4"/>
    <n v="605.79999999999995"/>
    <n v="230.29"/>
    <n v="320.73"/>
    <n v="327.7"/>
    <n v="612.29999999999995"/>
    <n v="743.31"/>
    <n v="815.08"/>
    <n v="512.08000000000004"/>
    <n v="629.92999999999995"/>
    <n v="265.14"/>
    <n v="553.55999999999995"/>
    <n v="1131.33"/>
    <n v="588.64"/>
    <n v="862.81"/>
    <n v="825.29"/>
    <n v="1200.76"/>
    <x v="2"/>
    <x v="1"/>
    <s v="61100                   "/>
    <x v="20"/>
    <x v="9"/>
    <x v="24"/>
  </r>
  <r>
    <x v="2"/>
    <x v="2"/>
    <x v="645"/>
    <x v="645"/>
    <n v="364.93"/>
    <n v="254.69"/>
    <n v="313.14"/>
    <n v="561.96"/>
    <n v="1129.96"/>
    <n v="366.72"/>
    <n v="298.07"/>
    <n v="152.35"/>
    <n v="279.02999999999997"/>
    <n v="136.78"/>
    <n v="116.02"/>
    <n v="142.4"/>
    <n v="349.22"/>
    <n v="852.67"/>
    <n v="272.22000000000003"/>
    <n v="91.12"/>
    <n v="142.44"/>
    <n v="199.69"/>
    <n v="202.52"/>
    <n v="90.48"/>
    <n v="308.64999999999998"/>
    <n v="134.05000000000001"/>
    <n v="399.02"/>
    <n v="1034.96"/>
    <n v="1465.1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1.86"/>
    <n v="185.61"/>
    <n v="171.21"/>
    <n v="455.99"/>
    <n v="1024.6500000000001"/>
    <n v="347.41"/>
    <n v="462.4"/>
    <n v="232"/>
    <n v="585.62"/>
    <n v="215.98"/>
    <n v="161.94"/>
    <n v="194.85"/>
    <n v="216.96"/>
    <n v="77.97"/>
    <n v="176.28"/>
    <n v="88.14"/>
    <n v="64.41"/>
    <n v="88.14"/>
    <n v="179.67"/>
    <n v="145.77000000000001"/>
    <n v="37.29"/>
    <n v="10.17"/>
    <n v="0"/>
    <n v="0"/>
    <x v="2"/>
    <x v="1"/>
    <s v="61100                   "/>
    <x v="20"/>
    <x v="10"/>
    <x v="24"/>
  </r>
  <r>
    <x v="2"/>
    <x v="2"/>
    <x v="646"/>
    <x v="646"/>
    <n v="0"/>
    <n v="0"/>
    <n v="0"/>
    <n v="29.21"/>
    <n v="301.74"/>
    <n v="901.51"/>
    <n v="334.57"/>
    <n v="317.66000000000003"/>
    <n v="252.42"/>
    <n v="60.71"/>
    <n v="70.930000000000007"/>
    <n v="83.04"/>
    <n v="121.36"/>
    <n v="655.28"/>
    <n v="229.22"/>
    <n v="594.6"/>
    <n v="-67.849999999999994"/>
    <n v="338.3"/>
    <n v="286.3"/>
    <n v="1219.0899999999999"/>
    <n v="118"/>
    <n v="154.63999999999999"/>
    <n v="131.05000000000001"/>
    <n v="96.96"/>
    <n v="552.32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8.88"/>
    <n v="224.91"/>
    <n v="995.78"/>
    <n v="389.72"/>
    <n v="326.52999999999997"/>
    <n v="234.51"/>
    <n v="51.7"/>
    <n v="86.56"/>
    <n v="83.76"/>
    <n v="336.05"/>
    <n v="326.64999999999998"/>
    <n v="256.43"/>
    <n v="94.18"/>
    <n v="184.75"/>
    <n v="157.94999999999999"/>
    <n v="173.97"/>
    <n v="335.49"/>
    <n v="313.27"/>
    <n v="636.78"/>
    <n v="371.66"/>
    <n v="359.23"/>
    <x v="2"/>
    <x v="1"/>
    <s v="61100                   "/>
    <x v="20"/>
    <x v="11"/>
    <x v="24"/>
  </r>
  <r>
    <x v="2"/>
    <x v="2"/>
    <x v="647"/>
    <x v="647"/>
    <n v="5114.6099999999997"/>
    <n v="6601.09"/>
    <n v="8157.14"/>
    <n v="7950.84"/>
    <n v="8468.1299999999992"/>
    <n v="7563.6"/>
    <n v="4473.21"/>
    <n v="2834.84"/>
    <n v="2022.15"/>
    <n v="3096.06"/>
    <n v="1436.38"/>
    <n v="1909.86"/>
    <n v="3346.85"/>
    <n v="4052.68"/>
    <n v="4149"/>
    <n v="4714.1499999999996"/>
    <n v="6652.97"/>
    <n v="5208.4399999999996"/>
    <n v="4868.3500000000004"/>
    <n v="3271.62"/>
    <n v="17403.7"/>
    <n v="4176.3599999999997"/>
    <n v="3964.34"/>
    <n v="3676.81"/>
    <n v="5047.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85.42"/>
    <n v="18266.11"/>
    <n v="5444.66"/>
    <n v="3751.34"/>
    <n v="3466.36"/>
    <n v="3650.07"/>
    <n v="5554.15"/>
    <n v="3562.78"/>
    <n v="3135.82"/>
    <n v="3732.72"/>
    <n v="1949.55"/>
    <n v="3000"/>
    <n v="5333.58"/>
    <n v="3201.7"/>
    <n v="2392.98"/>
    <n v="3695.9"/>
    <n v="2386.88"/>
    <n v="2502.25"/>
    <n v="3850.49"/>
    <n v="4753.32"/>
    <n v="4998.4799999999996"/>
    <n v="5820.12"/>
    <n v="7998.2"/>
    <n v="6206.14"/>
    <x v="2"/>
    <x v="1"/>
    <s v="61100                   "/>
    <x v="20"/>
    <x v="12"/>
    <x v="24"/>
  </r>
  <r>
    <x v="2"/>
    <x v="2"/>
    <x v="648"/>
    <x v="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149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0"/>
    <x v="13"/>
    <x v="24"/>
  </r>
  <r>
    <x v="2"/>
    <x v="2"/>
    <x v="649"/>
    <x v="649"/>
    <n v="0"/>
    <n v="0"/>
    <n v="-7.0000000000000007E-2"/>
    <n v="931.3"/>
    <n v="80.62"/>
    <n v="646.66999999999996"/>
    <n v="229.75"/>
    <n v="1059.3"/>
    <n v="1512.76"/>
    <n v="274.45"/>
    <n v="157.93"/>
    <n v="3073.56"/>
    <n v="22308.98"/>
    <n v="-235.11"/>
    <n v="151.27000000000001"/>
    <n v="-20741"/>
    <n v="351.99"/>
    <n v="356"/>
    <n v="169.31"/>
    <n v="130.21"/>
    <n v="1145.19"/>
    <n v="148.21"/>
    <n v="27.23"/>
    <n v="17.579999999999998"/>
    <n v="1607.7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953.76"/>
    <n v="43.52"/>
    <n v="712.96"/>
    <n v="215.92"/>
    <n v="1140.97"/>
    <n v="1654.64"/>
    <n v="211.7"/>
    <n v="-131.28"/>
    <n v="3403.07"/>
    <n v="270.58"/>
    <n v="1096.2"/>
    <n v="1554.2"/>
    <n v="312.62"/>
    <n v="105.48"/>
    <n v="3109.32"/>
    <n v="430.8"/>
    <n v="42.64"/>
    <n v="187.96"/>
    <n v="1229.24"/>
    <n v="430.84"/>
    <n v="349.88"/>
    <x v="2"/>
    <x v="1"/>
    <s v="61100                   "/>
    <x v="20"/>
    <x v="14"/>
    <x v="24"/>
  </r>
  <r>
    <x v="2"/>
    <x v="2"/>
    <x v="650"/>
    <x v="650"/>
    <n v="127.42"/>
    <n v="-368.37"/>
    <n v="79.349999999999994"/>
    <n v="132.79"/>
    <n v="190.88"/>
    <n v="200.56"/>
    <n v="117.49"/>
    <n v="27.02"/>
    <n v="30.04"/>
    <n v="35.700000000000003"/>
    <n v="5.42"/>
    <n v="32.22"/>
    <n v="24.36"/>
    <n v="65.8"/>
    <n v="43.77"/>
    <n v="101.75"/>
    <n v="219.76"/>
    <n v="273.91000000000003"/>
    <n v="220.39"/>
    <n v="223.63"/>
    <n v="392.04"/>
    <n v="41.54"/>
    <n v="60.93"/>
    <n v="174.47"/>
    <n v="1173.8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4.71"/>
    <n v="18.27"/>
    <n v="80.78"/>
    <n v="-68.7"/>
    <n v="202.07"/>
    <n v="179.25"/>
    <n v="45.02"/>
    <n v="21.76"/>
    <n v="32.590000000000003"/>
    <n v="40.72"/>
    <n v="-36.29"/>
    <n v="-31.32"/>
    <n v="108.03"/>
    <n v="13.85"/>
    <n v="24.93"/>
    <n v="36.01"/>
    <n v="2.77"/>
    <n v="8.31"/>
    <n v="8.31"/>
    <n v="52.63"/>
    <n v="30.47"/>
    <n v="113.57"/>
    <n v="171.74"/>
    <n v="163.43"/>
    <x v="2"/>
    <x v="1"/>
    <s v="61100                   "/>
    <x v="20"/>
    <x v="15"/>
    <x v="24"/>
  </r>
  <r>
    <x v="2"/>
    <x v="2"/>
    <x v="651"/>
    <x v="651"/>
    <n v="0"/>
    <n v="0"/>
    <n v="0"/>
    <n v="0"/>
    <n v="0"/>
    <n v="0"/>
    <n v="0"/>
    <n v="0"/>
    <n v="0"/>
    <n v="0"/>
    <n v="0"/>
    <n v="0"/>
    <n v="863.03"/>
    <n v="548.84"/>
    <n v="1975.63"/>
    <n v="2144.4"/>
    <n v="1043.8"/>
    <n v="3191.56"/>
    <n v="-3096.72"/>
    <n v="878.85"/>
    <n v="655.08000000000004"/>
    <n v="222.17"/>
    <n v="208.13"/>
    <n v="698.86"/>
    <n v="-9333.62999999999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97.03"/>
    <n v="577.24"/>
    <n v="845.51"/>
    <n v="1225.04"/>
    <n v="1111.94"/>
    <n v="811.12"/>
    <n v="724.13"/>
    <n v="542.16999999999996"/>
    <n v="960.73"/>
    <n v="234.36"/>
    <n v="92.26"/>
    <n v="723.61"/>
    <n v="728.86"/>
    <n v="664.32"/>
    <n v="785.26"/>
    <n v="1893.34"/>
    <n v="1737.37"/>
    <n v="1725.93"/>
    <n v="822.08"/>
    <n v="682.86"/>
    <n v="1384.51"/>
    <n v="488.25"/>
    <n v="560.63"/>
    <n v="1212.55"/>
    <x v="3"/>
    <x v="1"/>
    <s v="61100                   "/>
    <x v="20"/>
    <x v="16"/>
    <x v="24"/>
  </r>
  <r>
    <x v="2"/>
    <x v="2"/>
    <x v="651"/>
    <x v="651"/>
    <n v="166.36"/>
    <n v="118.99"/>
    <n v="39.130000000000003"/>
    <n v="21.6"/>
    <n v="807.78"/>
    <n v="21.6"/>
    <n v="0.01"/>
    <n v="0"/>
    <n v="8.0299999999999994"/>
    <n v="399.94"/>
    <n v="16.22"/>
    <n v="10.81"/>
    <n v="64.83"/>
    <n v="97.2"/>
    <n v="86.48"/>
    <n v="97.22"/>
    <n v="141.06"/>
    <n v="59.45"/>
    <n v="21.6"/>
    <n v="43.24"/>
    <n v="183.29"/>
    <n v="145.11000000000001"/>
    <n v="228.1"/>
    <n v="92.59"/>
    <n v="132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8.89"/>
    <n v="145.43"/>
    <n v="62.17"/>
    <n v="-100.48"/>
    <n v="948.81"/>
    <n v="0"/>
    <n v="0"/>
    <n v="-29.81"/>
    <n v="26.66"/>
    <n v="326.83999999999997"/>
    <n v="18.010000000000002"/>
    <n v="22.26"/>
    <n v="0"/>
    <n v="0"/>
    <n v="12.52"/>
    <n v="399.6"/>
    <n v="16.2"/>
    <n v="10.8"/>
    <n v="64.8"/>
    <n v="97.2"/>
    <n v="86.4"/>
    <n v="97.2"/>
    <n v="140.4"/>
    <n v="59.4"/>
    <x v="2"/>
    <x v="1"/>
    <s v="61100                   "/>
    <x v="20"/>
    <x v="16"/>
    <x v="24"/>
  </r>
  <r>
    <x v="2"/>
    <x v="2"/>
    <x v="652"/>
    <x v="652"/>
    <n v="472.88"/>
    <n v="405.61"/>
    <n v="554.37"/>
    <n v="584.98"/>
    <n v="856.03"/>
    <n v="417.88"/>
    <n v="305.77"/>
    <n v="142.72"/>
    <n v="171.21"/>
    <n v="46.9"/>
    <n v="24.47"/>
    <n v="238.56"/>
    <n v="260.97000000000003"/>
    <n v="760.36"/>
    <n v="415.88"/>
    <n v="572.82000000000005"/>
    <n v="254.86"/>
    <n v="279.26"/>
    <n v="260.97000000000003"/>
    <n v="216.03"/>
    <n v="230.3"/>
    <n v="144.66999999999999"/>
    <n v="323.97000000000003"/>
    <n v="315.82"/>
    <n v="305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42.80000000000001"/>
    <n v="171.36"/>
    <n v="46.92"/>
    <n v="134.63999999999999"/>
    <n v="240.72"/>
    <n v="261.12"/>
    <n v="760.92"/>
    <n v="416.16"/>
    <n v="573.24"/>
    <n v="255"/>
    <n v="281.52"/>
    <x v="2"/>
    <x v="1"/>
    <s v="61100                   "/>
    <x v="20"/>
    <x v="17"/>
    <x v="24"/>
  </r>
  <r>
    <x v="2"/>
    <x v="2"/>
    <x v="653"/>
    <x v="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183.7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0"/>
    <x v="18"/>
    <x v="24"/>
  </r>
  <r>
    <x v="2"/>
    <x v="2"/>
    <x v="654"/>
    <x v="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1"/>
    <x v="8"/>
    <x v="27"/>
  </r>
  <r>
    <x v="2"/>
    <x v="2"/>
    <x v="655"/>
    <x v="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6.8"/>
    <n v="0"/>
    <n v="0"/>
    <n v="0"/>
    <n v="1576.8"/>
    <n v="0"/>
    <n v="0"/>
    <n v="0"/>
    <n v="1576.8"/>
    <n v="0"/>
    <n v="0"/>
    <n v="1506.6"/>
    <x v="2"/>
    <x v="1"/>
    <s v="61100                   "/>
    <x v="21"/>
    <x v="18"/>
    <x v="13"/>
  </r>
  <r>
    <x v="2"/>
    <x v="2"/>
    <x v="656"/>
    <x v="656"/>
    <n v="0"/>
    <n v="0"/>
    <n v="0"/>
    <n v="0"/>
    <n v="0"/>
    <n v="0"/>
    <n v="0"/>
    <n v="375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3"/>
    <x v="18"/>
  </r>
  <r>
    <x v="2"/>
    <x v="2"/>
    <x v="657"/>
    <x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4"/>
    <x v="18"/>
  </r>
  <r>
    <x v="2"/>
    <x v="2"/>
    <x v="658"/>
    <x v="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0"/>
    <x v="18"/>
  </r>
  <r>
    <x v="2"/>
    <x v="2"/>
    <x v="659"/>
    <x v="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5"/>
    <x v="18"/>
  </r>
  <r>
    <x v="2"/>
    <x v="2"/>
    <x v="660"/>
    <x v="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6"/>
    <x v="18"/>
  </r>
  <r>
    <x v="2"/>
    <x v="2"/>
    <x v="661"/>
    <x v="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"/>
    <x v="18"/>
  </r>
  <r>
    <x v="2"/>
    <x v="2"/>
    <x v="662"/>
    <x v="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7"/>
    <x v="18"/>
  </r>
  <r>
    <x v="2"/>
    <x v="2"/>
    <x v="663"/>
    <x v="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8"/>
    <x v="18"/>
  </r>
  <r>
    <x v="2"/>
    <x v="2"/>
    <x v="664"/>
    <x v="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9"/>
    <x v="18"/>
  </r>
  <r>
    <x v="2"/>
    <x v="2"/>
    <x v="665"/>
    <x v="665"/>
    <n v="0"/>
    <n v="0"/>
    <n v="0"/>
    <n v="0"/>
    <n v="0"/>
    <n v="3224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0"/>
    <x v="18"/>
  </r>
  <r>
    <x v="2"/>
    <x v="2"/>
    <x v="666"/>
    <x v="666"/>
    <n v="0"/>
    <n v="0"/>
    <n v="0"/>
    <n v="0"/>
    <n v="0"/>
    <n v="9301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1"/>
    <x v="18"/>
  </r>
  <r>
    <x v="2"/>
    <x v="2"/>
    <x v="667"/>
    <x v="667"/>
    <n v="1322.16"/>
    <n v="0"/>
    <n v="0"/>
    <n v="0"/>
    <n v="1145.79"/>
    <n v="2704.83"/>
    <n v="0"/>
    <n v="0"/>
    <n v="0"/>
    <n v="1137.27"/>
    <n v="0"/>
    <n v="0"/>
    <n v="0"/>
    <n v="0"/>
    <n v="1266.29"/>
    <n v="0"/>
    <n v="1273.54"/>
    <n v="1273.54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456.47"/>
    <n v="0"/>
    <n v="0"/>
    <n v="1456.47"/>
    <n v="0"/>
    <n v="0"/>
    <n v="2912.95"/>
    <n v="0"/>
    <n v="0"/>
    <n v="1456.47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2"/>
    <x v="18"/>
  </r>
  <r>
    <x v="2"/>
    <x v="2"/>
    <x v="668"/>
    <x v="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3"/>
    <x v="18"/>
  </r>
  <r>
    <x v="2"/>
    <x v="2"/>
    <x v="669"/>
    <x v="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4"/>
    <x v="18"/>
  </r>
  <r>
    <x v="2"/>
    <x v="2"/>
    <x v="670"/>
    <x v="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5"/>
    <x v="18"/>
  </r>
  <r>
    <x v="2"/>
    <x v="2"/>
    <x v="671"/>
    <x v="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6"/>
    <x v="18"/>
  </r>
  <r>
    <x v="2"/>
    <x v="2"/>
    <x v="672"/>
    <x v="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7"/>
    <x v="18"/>
  </r>
  <r>
    <x v="2"/>
    <x v="2"/>
    <x v="673"/>
    <x v="6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2"/>
    <x v="18"/>
    <x v="18"/>
  </r>
  <r>
    <x v="2"/>
    <x v="2"/>
    <x v="674"/>
    <x v="674"/>
    <n v="169.18"/>
    <n v="50.96"/>
    <n v="128.78"/>
    <n v="0"/>
    <n v="96.29"/>
    <n v="21.08"/>
    <n v="10.68"/>
    <n v="12.77"/>
    <n v="66.540000000000006"/>
    <n v="28.55"/>
    <n v="22.22"/>
    <n v="95.17"/>
    <n v="3.43"/>
    <n v="35.840000000000003"/>
    <n v="48.05"/>
    <n v="85.8"/>
    <n v="160.22999999999999"/>
    <n v="0"/>
    <n v="-0.01"/>
    <n v="36.76"/>
    <n v="6.37"/>
    <n v="5.84"/>
    <n v="121.25"/>
    <n v="149.34"/>
    <n v="133.4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3.62"/>
    <n v="75.81"/>
    <n v="153.55000000000001"/>
    <n v="-15.76"/>
    <n v="91.89"/>
    <n v="20.36"/>
    <n v="1.9"/>
    <n v="20.39"/>
    <n v="108.87"/>
    <n v="17.100000000000001"/>
    <n v="6.47"/>
    <n v="72.040000000000006"/>
    <n v="450"/>
    <n v="100.8"/>
    <n v="122.85"/>
    <n v="0"/>
    <n v="0"/>
    <n v="0"/>
    <n v="0"/>
    <n v="0"/>
    <n v="358.5"/>
    <n v="0"/>
    <n v="0"/>
    <n v="0"/>
    <x v="2"/>
    <x v="1"/>
    <s v="61100                   "/>
    <x v="23"/>
    <x v="3"/>
    <x v="19"/>
  </r>
  <r>
    <x v="2"/>
    <x v="2"/>
    <x v="675"/>
    <x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4"/>
    <x v="19"/>
  </r>
  <r>
    <x v="2"/>
    <x v="2"/>
    <x v="676"/>
    <x v="676"/>
    <n v="0"/>
    <n v="0"/>
    <n v="0"/>
    <n v="0"/>
    <n v="0"/>
    <n v="0"/>
    <n v="164.83"/>
    <n v="5.55"/>
    <n v="0"/>
    <n v="0"/>
    <n v="0"/>
    <n v="0"/>
    <n v="0"/>
    <n v="0"/>
    <n v="0"/>
    <n v="2.2400000000000002"/>
    <n v="0"/>
    <n v="0"/>
    <n v="0"/>
    <n v="0"/>
    <n v="0"/>
    <n v="0"/>
    <n v="0"/>
    <n v="0"/>
    <n v="6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.62"/>
    <n v="6.17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0"/>
    <x v="19"/>
  </r>
  <r>
    <x v="2"/>
    <x v="2"/>
    <x v="677"/>
    <x v="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1.0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"/>
    <n v="0"/>
    <n v="0"/>
    <x v="2"/>
    <x v="1"/>
    <s v="61100                   "/>
    <x v="23"/>
    <x v="5"/>
    <x v="19"/>
  </r>
  <r>
    <x v="2"/>
    <x v="2"/>
    <x v="678"/>
    <x v="6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6"/>
    <x v="19"/>
  </r>
  <r>
    <x v="2"/>
    <x v="2"/>
    <x v="679"/>
    <x v="679"/>
    <n v="13.39"/>
    <n v="123.24"/>
    <n v="0"/>
    <n v="213.8"/>
    <n v="0"/>
    <n v="194.19"/>
    <n v="3.33"/>
    <n v="10.11"/>
    <n v="14.84"/>
    <n v="96.44"/>
    <n v="159.72"/>
    <n v="55.75"/>
    <n v="17.48"/>
    <n v="10.51"/>
    <n v="26.79"/>
    <n v="7.04"/>
    <n v="0"/>
    <n v="0"/>
    <n v="0"/>
    <n v="0"/>
    <n v="13.6"/>
    <n v="86.05"/>
    <n v="0"/>
    <n v="258.02"/>
    <n v="3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.75"/>
    <n v="112.65"/>
    <n v="0"/>
    <n v="184.51"/>
    <n v="0"/>
    <n v="205.66"/>
    <n v="3.22"/>
    <n v="9.65"/>
    <n v="20.62"/>
    <n v="101.33"/>
    <n v="172.01"/>
    <n v="54.1"/>
    <n v="261.75"/>
    <n v="0"/>
    <n v="120.75"/>
    <n v="0"/>
    <n v="0"/>
    <n v="0"/>
    <n v="0"/>
    <n v="0"/>
    <n v="0"/>
    <n v="0"/>
    <n v="139.30000000000001"/>
    <n v="121.45"/>
    <x v="2"/>
    <x v="1"/>
    <s v="61100                   "/>
    <x v="23"/>
    <x v="1"/>
    <x v="19"/>
  </r>
  <r>
    <x v="2"/>
    <x v="2"/>
    <x v="680"/>
    <x v="680"/>
    <n v="0"/>
    <n v="0"/>
    <n v="0"/>
    <n v="0"/>
    <n v="3.81"/>
    <n v="0"/>
    <n v="0"/>
    <n v="0"/>
    <n v="0"/>
    <n v="0"/>
    <n v="0"/>
    <n v="0"/>
    <n v="0"/>
    <n v="0"/>
    <n v="59.56"/>
    <n v="73.75"/>
    <n v="0"/>
    <n v="0"/>
    <n v="0"/>
    <n v="0"/>
    <n v="2.84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7"/>
    <x v="19"/>
  </r>
  <r>
    <x v="2"/>
    <x v="2"/>
    <x v="681"/>
    <x v="681"/>
    <n v="101.37"/>
    <n v="99.96"/>
    <n v="106.78"/>
    <n v="145.24"/>
    <n v="3.07"/>
    <n v="105.74"/>
    <n v="217.18"/>
    <n v="168.33"/>
    <n v="11.8"/>
    <n v="190.06"/>
    <n v="3"/>
    <n v="85.25"/>
    <n v="30.88"/>
    <n v="187.4"/>
    <n v="8.4700000000000006"/>
    <n v="17.18"/>
    <n v="193.87"/>
    <n v="0"/>
    <n v="-0.01"/>
    <n v="192.91"/>
    <n v="201.75"/>
    <n v="9.31"/>
    <n v="125.38"/>
    <n v="176.98"/>
    <n v="180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5.510000000000005"/>
    <n v="106"/>
    <n v="112.35"/>
    <n v="136.63"/>
    <n v="2.88"/>
    <n v="108.12"/>
    <n v="214.37"/>
    <n v="144.91"/>
    <n v="9.94"/>
    <n v="208.4"/>
    <n v="2.88"/>
    <n v="140.53"/>
    <n v="105"/>
    <n v="133.35"/>
    <n v="112.35"/>
    <n v="135.44999999999999"/>
    <n v="134.05000000000001"/>
    <n v="146.65"/>
    <n v="163.1"/>
    <n v="121.45"/>
    <n v="81.2"/>
    <n v="101.15"/>
    <n v="282"/>
    <n v="0"/>
    <x v="2"/>
    <x v="1"/>
    <s v="61100                   "/>
    <x v="23"/>
    <x v="8"/>
    <x v="19"/>
  </r>
  <r>
    <x v="2"/>
    <x v="2"/>
    <x v="682"/>
    <x v="682"/>
    <n v="12.67"/>
    <n v="18.510000000000002"/>
    <n v="3.29"/>
    <n v="71.56"/>
    <n v="0"/>
    <n v="19.989999999999998"/>
    <n v="2.83"/>
    <n v="22.17"/>
    <n v="275.99"/>
    <n v="0"/>
    <n v="98.57"/>
    <n v="6.13"/>
    <n v="0"/>
    <n v="3.41"/>
    <n v="9.56"/>
    <n v="0"/>
    <n v="4.2699999999999996"/>
    <n v="0"/>
    <n v="0"/>
    <n v="2.94"/>
    <n v="32.43"/>
    <n v="144.34"/>
    <n v="18.13"/>
    <n v="49.19"/>
    <n v="32.3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.52"/>
    <n v="24.19"/>
    <n v="4.84"/>
    <n v="93.41"/>
    <n v="0"/>
    <n v="33.869999999999997"/>
    <n v="4.84"/>
    <n v="33.880000000000003"/>
    <n v="217.77"/>
    <n v="0"/>
    <n v="105.36"/>
    <n v="9.67"/>
    <n v="240.36"/>
    <n v="240.36"/>
    <n v="0"/>
    <n v="0"/>
    <n v="240.36"/>
    <n v="240.36"/>
    <n v="240.36"/>
    <n v="240.36"/>
    <n v="0"/>
    <n v="0"/>
    <n v="0"/>
    <n v="0"/>
    <x v="2"/>
    <x v="1"/>
    <s v="61100                   "/>
    <x v="23"/>
    <x v="9"/>
    <x v="19"/>
  </r>
  <r>
    <x v="2"/>
    <x v="2"/>
    <x v="683"/>
    <x v="683"/>
    <n v="5.82"/>
    <n v="0"/>
    <n v="0"/>
    <n v="0"/>
    <n v="186.01"/>
    <n v="0"/>
    <n v="0"/>
    <n v="84.97"/>
    <n v="26.96"/>
    <n v="0"/>
    <n v="0"/>
    <n v="0"/>
    <n v="154.08000000000001"/>
    <n v="30.58"/>
    <n v="80.849999999999994"/>
    <n v="9.36"/>
    <n v="0"/>
    <n v="0.01"/>
    <n v="-0.01"/>
    <n v="0"/>
    <n v="3.12"/>
    <n v="3.12"/>
    <n v="0"/>
    <n v="62.35"/>
    <n v="15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.35"/>
    <n v="0"/>
    <n v="0"/>
    <n v="0"/>
    <n v="0"/>
    <n v="0"/>
    <n v="0"/>
    <n v="0"/>
    <n v="25.08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0"/>
    <x v="19"/>
  </r>
  <r>
    <x v="2"/>
    <x v="2"/>
    <x v="684"/>
    <x v="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82.92"/>
    <n v="0"/>
    <n v="0"/>
    <n v="80.77"/>
    <n v="6.24"/>
    <n v="0"/>
    <n v="6.47"/>
    <n v="0"/>
    <n v="0"/>
    <n v="0"/>
    <n v="115.15"/>
    <n v="0"/>
    <n v="0"/>
    <n v="0"/>
    <n v="0"/>
    <n v="0"/>
    <n v="0"/>
    <n v="0"/>
    <n v="0"/>
    <n v="0"/>
    <x v="2"/>
    <x v="1"/>
    <s v="61100                   "/>
    <x v="23"/>
    <x v="11"/>
    <x v="19"/>
  </r>
  <r>
    <x v="2"/>
    <x v="2"/>
    <x v="685"/>
    <x v="685"/>
    <n v="78.77"/>
    <n v="13.34"/>
    <n v="251.52"/>
    <n v="25.08"/>
    <n v="4.45"/>
    <n v="4.45"/>
    <n v="0"/>
    <n v="230.12"/>
    <n v="21.48"/>
    <n v="4.45"/>
    <n v="99.52"/>
    <n v="232.06"/>
    <n v="170.89"/>
    <n v="127.04"/>
    <n v="223.94"/>
    <n v="117.06"/>
    <n v="32.35"/>
    <n v="0"/>
    <n v="0.01"/>
    <n v="123.82"/>
    <n v="12.93"/>
    <n v="64.67"/>
    <n v="131.49"/>
    <n v="30.85"/>
    <n v="186.5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.04"/>
    <n v="9.08"/>
    <n v="331.2"/>
    <n v="23.53"/>
    <n v="3.13"/>
    <n v="14.11"/>
    <n v="0"/>
    <n v="219.34"/>
    <n v="21.53"/>
    <n v="3.13"/>
    <n v="66.540000000000006"/>
    <n v="200.03"/>
    <n v="376.5"/>
    <n v="375.75"/>
    <n v="0"/>
    <n v="0"/>
    <n v="0"/>
    <n v="0"/>
    <n v="0"/>
    <n v="247.5"/>
    <n v="170.45"/>
    <n v="112.35"/>
    <n v="303"/>
    <n v="151.55000000000001"/>
    <x v="2"/>
    <x v="1"/>
    <s v="61100                   "/>
    <x v="23"/>
    <x v="12"/>
    <x v="19"/>
  </r>
  <r>
    <x v="2"/>
    <x v="2"/>
    <x v="686"/>
    <x v="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3"/>
    <x v="19"/>
  </r>
  <r>
    <x v="2"/>
    <x v="2"/>
    <x v="687"/>
    <x v="687"/>
    <n v="0"/>
    <n v="0"/>
    <n v="0"/>
    <n v="0"/>
    <n v="0"/>
    <n v="0"/>
    <n v="0"/>
    <n v="0"/>
    <n v="0"/>
    <n v="0"/>
    <n v="0"/>
    <n v="0"/>
    <n v="0"/>
    <n v="0"/>
    <n v="3.52"/>
    <n v="109"/>
    <n v="0"/>
    <n v="0"/>
    <n v="0"/>
    <n v="0"/>
    <n v="0"/>
    <n v="0"/>
    <n v="3.52"/>
    <n v="10.55"/>
    <n v="3.5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4"/>
    <x v="19"/>
  </r>
  <r>
    <x v="2"/>
    <x v="2"/>
    <x v="688"/>
    <x v="688"/>
    <n v="0"/>
    <n v="0"/>
    <n v="2.64"/>
    <n v="0"/>
    <n v="0"/>
    <n v="0"/>
    <n v="0"/>
    <n v="0"/>
    <n v="0"/>
    <n v="0"/>
    <n v="0"/>
    <n v="5.41"/>
    <n v="0"/>
    <n v="0"/>
    <n v="0"/>
    <n v="0"/>
    <n v="8.2200000000000006"/>
    <n v="0"/>
    <n v="0"/>
    <n v="0"/>
    <n v="2.77"/>
    <n v="0"/>
    <n v="0"/>
    <n v="0"/>
    <n v="5.5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5"/>
    <x v="19"/>
  </r>
  <r>
    <x v="2"/>
    <x v="2"/>
    <x v="689"/>
    <x v="689"/>
    <n v="0"/>
    <n v="0"/>
    <n v="0"/>
    <n v="0"/>
    <n v="0"/>
    <n v="0"/>
    <n v="81.95"/>
    <n v="0"/>
    <n v="0"/>
    <n v="0"/>
    <n v="0"/>
    <n v="0"/>
    <n v="0"/>
    <n v="0"/>
    <n v="0"/>
    <n v="0"/>
    <n v="16.059999999999999"/>
    <n v="0"/>
    <n v="0"/>
    <n v="0"/>
    <n v="11.58"/>
    <n v="5.79"/>
    <n v="0"/>
    <n v="5.7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59"/>
    <n v="0"/>
    <n v="0"/>
    <n v="0"/>
    <n v="0"/>
    <n v="0"/>
    <n v="0"/>
    <n v="0"/>
    <n v="122.85"/>
    <n v="0"/>
    <n v="0"/>
    <n v="112.35"/>
    <n v="124.6"/>
    <n v="0"/>
    <n v="0"/>
    <n v="130.9"/>
    <n v="0"/>
    <n v="0"/>
    <x v="2"/>
    <x v="1"/>
    <s v="61100                   "/>
    <x v="23"/>
    <x v="16"/>
    <x v="19"/>
  </r>
  <r>
    <x v="2"/>
    <x v="2"/>
    <x v="690"/>
    <x v="690"/>
    <n v="0"/>
    <n v="0"/>
    <n v="0"/>
    <n v="0"/>
    <n v="0"/>
    <n v="2.04"/>
    <n v="0"/>
    <n v="0"/>
    <n v="0"/>
    <n v="0"/>
    <n v="0"/>
    <n v="0"/>
    <n v="0"/>
    <n v="0"/>
    <n v="4.08"/>
    <n v="6.12"/>
    <n v="12.2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7"/>
    <x v="19"/>
  </r>
  <r>
    <x v="2"/>
    <x v="2"/>
    <x v="691"/>
    <x v="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3"/>
    <x v="18"/>
    <x v="19"/>
  </r>
  <r>
    <x v="2"/>
    <x v="2"/>
    <x v="692"/>
    <x v="692"/>
    <n v="1878.2"/>
    <n v="18.38"/>
    <n v="469.49"/>
    <n v="1222.8399999999999"/>
    <n v="40.9"/>
    <n v="11.11"/>
    <n v="-92.11"/>
    <n v="-37.74"/>
    <n v="209.1"/>
    <n v="13.37"/>
    <n v="1100.4100000000001"/>
    <n v="0"/>
    <n v="1902.32"/>
    <n v="182.81"/>
    <n v="33.61"/>
    <n v="2.89"/>
    <n v="-171.42"/>
    <n v="131.63999999999999"/>
    <n v="93.95"/>
    <n v="35.58"/>
    <n v="131.30000000000001"/>
    <n v="12.22"/>
    <n v="4.78"/>
    <n v="14.04"/>
    <n v="141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75.85"/>
    <n v="18.27"/>
    <n v="554.48"/>
    <n v="1140.82"/>
    <n v="35.44"/>
    <n v="8.7200000000000006"/>
    <n v="-86.04"/>
    <n v="-44.61"/>
    <n v="208.29"/>
    <n v="11.9"/>
    <n v="910.83"/>
    <n v="0"/>
    <n v="813.16"/>
    <n v="180.76"/>
    <n v="64.819999999999993"/>
    <n v="54.28"/>
    <n v="54.28"/>
    <n v="101.71"/>
    <n v="54.28"/>
    <n v="54.28"/>
    <n v="68.13"/>
    <n v="123.66"/>
    <n v="123.6"/>
    <n v="120.28"/>
    <x v="2"/>
    <x v="1"/>
    <s v="61100                   "/>
    <x v="24"/>
    <x v="3"/>
    <x v="19"/>
  </r>
  <r>
    <x v="2"/>
    <x v="2"/>
    <x v="693"/>
    <x v="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4"/>
    <x v="19"/>
  </r>
  <r>
    <x v="2"/>
    <x v="2"/>
    <x v="694"/>
    <x v="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0"/>
    <x v="19"/>
  </r>
  <r>
    <x v="2"/>
    <x v="2"/>
    <x v="695"/>
    <x v="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5"/>
    <x v="19"/>
  </r>
  <r>
    <x v="2"/>
    <x v="2"/>
    <x v="696"/>
    <x v="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6"/>
    <x v="19"/>
  </r>
  <r>
    <x v="2"/>
    <x v="2"/>
    <x v="697"/>
    <x v="697"/>
    <n v="744.59"/>
    <n v="295.97000000000003"/>
    <n v="0"/>
    <n v="42.82"/>
    <n v="29.06"/>
    <n v="0"/>
    <n v="-46.61"/>
    <n v="-12.8"/>
    <n v="0"/>
    <n v="6.83"/>
    <n v="1416.57"/>
    <n v="34.72"/>
    <n v="13.89"/>
    <n v="1295.3399999999999"/>
    <n v="21.64"/>
    <n v="10.71"/>
    <n v="10.59"/>
    <n v="0"/>
    <n v="0"/>
    <n v="0"/>
    <n v="-27.56"/>
    <n v="0"/>
    <n v="2275.5300000000002"/>
    <n v="29.86"/>
    <n v="-127.7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4.89"/>
    <n v="267.24"/>
    <n v="0"/>
    <n v="44.35"/>
    <n v="29.06"/>
    <n v="0"/>
    <n v="-44.54"/>
    <n v="-11.7"/>
    <n v="0"/>
    <n v="6.87"/>
    <n v="1508.01"/>
    <n v="36.96"/>
    <n v="49.67"/>
    <n v="42.73"/>
    <n v="42.73"/>
    <n v="42.73"/>
    <n v="42.73"/>
    <n v="42.73"/>
    <n v="42.73"/>
    <n v="42.73"/>
    <n v="42.73"/>
    <n v="42.73"/>
    <n v="42.73"/>
    <n v="42.73"/>
    <x v="2"/>
    <x v="1"/>
    <s v="61100                   "/>
    <x v="24"/>
    <x v="1"/>
    <x v="19"/>
  </r>
  <r>
    <x v="2"/>
    <x v="2"/>
    <x v="698"/>
    <x v="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7"/>
    <x v="19"/>
  </r>
  <r>
    <x v="2"/>
    <x v="2"/>
    <x v="699"/>
    <x v="699"/>
    <n v="0"/>
    <n v="0"/>
    <n v="0"/>
    <n v="555.14"/>
    <n v="0"/>
    <n v="0"/>
    <n v="779.21"/>
    <n v="506.17"/>
    <n v="-35.07"/>
    <n v="-29.5"/>
    <n v="1160.7"/>
    <n v="11.8"/>
    <n v="604.26"/>
    <n v="0"/>
    <n v="7.29"/>
    <n v="0"/>
    <n v="-5.65"/>
    <n v="95.27"/>
    <n v="185.23"/>
    <n v="0"/>
    <n v="46.85"/>
    <n v="42.34"/>
    <n v="7.06"/>
    <n v="74.45"/>
    <n v="2098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729.55"/>
    <n v="0"/>
    <n v="0"/>
    <n v="0"/>
    <n v="666.65"/>
    <n v="-47.62"/>
    <n v="-39.68"/>
    <n v="1639.55"/>
    <n v="0"/>
    <n v="116.14"/>
    <n v="116.14"/>
    <n v="116.14"/>
    <n v="116.14"/>
    <n v="116.14"/>
    <n v="116.14"/>
    <n v="116.14"/>
    <n v="118.99"/>
    <n v="116.14"/>
    <n v="118.99"/>
    <n v="118.99"/>
    <n v="123.65"/>
    <x v="2"/>
    <x v="1"/>
    <s v="61100                   "/>
    <x v="24"/>
    <x v="8"/>
    <x v="19"/>
  </r>
  <r>
    <x v="2"/>
    <x v="2"/>
    <x v="700"/>
    <x v="700"/>
    <n v="0"/>
    <n v="18.399999999999999"/>
    <n v="0"/>
    <n v="0"/>
    <n v="0"/>
    <n v="10.220000000000001"/>
    <n v="0"/>
    <n v="6.13"/>
    <n v="12.26"/>
    <n v="0"/>
    <n v="0"/>
    <n v="0"/>
    <n v="6.13"/>
    <n v="0"/>
    <n v="0"/>
    <n v="0"/>
    <n v="0"/>
    <n v="0"/>
    <n v="55.16"/>
    <n v="0"/>
    <n v="22.91"/>
    <n v="0"/>
    <n v="0"/>
    <n v="65.87"/>
    <n v="90.6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7.02"/>
    <n v="0"/>
    <n v="0"/>
    <n v="0"/>
    <n v="12.63"/>
    <n v="0"/>
    <n v="5.67"/>
    <n v="11.69"/>
    <n v="0"/>
    <n v="0"/>
    <n v="0"/>
    <n v="19.239999999999998"/>
    <n v="19.239999999999998"/>
    <n v="19.239999999999998"/>
    <n v="19.239999999999998"/>
    <n v="19.239999999999998"/>
    <n v="19.239999999999998"/>
    <n v="19.239999999999998"/>
    <n v="19.239999999999998"/>
    <n v="19.239999999999998"/>
    <n v="19.239999999999998"/>
    <n v="19.239999999999998"/>
    <n v="19.239999999999998"/>
    <x v="2"/>
    <x v="1"/>
    <s v="61100                   "/>
    <x v="24"/>
    <x v="9"/>
    <x v="19"/>
  </r>
  <r>
    <x v="2"/>
    <x v="2"/>
    <x v="701"/>
    <x v="701"/>
    <n v="0"/>
    <n v="0"/>
    <n v="0"/>
    <n v="0"/>
    <n v="0"/>
    <n v="0"/>
    <n v="0"/>
    <n v="0"/>
    <n v="2.91"/>
    <n v="0"/>
    <n v="3.35"/>
    <n v="0"/>
    <n v="0"/>
    <n v="37.409999999999997"/>
    <n v="0"/>
    <n v="0"/>
    <n v="0"/>
    <n v="6.23"/>
    <n v="5.83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4"/>
    <n v="0"/>
    <n v="0"/>
    <n v="0"/>
    <n v="0"/>
    <n v="0"/>
    <n v="0"/>
    <n v="3.12"/>
    <n v="0"/>
    <n v="3.35"/>
    <n v="0"/>
    <x v="2"/>
    <x v="1"/>
    <s v="61100                   "/>
    <x v="24"/>
    <x v="10"/>
    <x v="19"/>
  </r>
  <r>
    <x v="2"/>
    <x v="2"/>
    <x v="702"/>
    <x v="702"/>
    <n v="0"/>
    <n v="0"/>
    <n v="0"/>
    <n v="0"/>
    <n v="0"/>
    <n v="0"/>
    <n v="0"/>
    <n v="0"/>
    <n v="0"/>
    <n v="0"/>
    <n v="6.45"/>
    <n v="0"/>
    <n v="0"/>
    <n v="0"/>
    <n v="0"/>
    <n v="0"/>
    <n v="0"/>
    <n v="0"/>
    <n v="0"/>
    <n v="3.29"/>
    <n v="18.89999999999999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7"/>
    <n v="6.47"/>
    <n v="6.47"/>
    <n v="6.47"/>
    <n v="6.47"/>
    <n v="6.47"/>
    <n v="6.47"/>
    <n v="6.47"/>
    <n v="6.47"/>
    <n v="6.47"/>
    <n v="6.47"/>
    <n v="6.47"/>
    <x v="2"/>
    <x v="1"/>
    <s v="61100                   "/>
    <x v="24"/>
    <x v="11"/>
    <x v="19"/>
  </r>
  <r>
    <x v="2"/>
    <x v="2"/>
    <x v="703"/>
    <x v="703"/>
    <n v="0"/>
    <n v="14.61"/>
    <n v="0"/>
    <n v="0"/>
    <n v="0"/>
    <n v="0"/>
    <n v="0"/>
    <n v="4.87"/>
    <n v="40.22"/>
    <n v="5.01"/>
    <n v="6.79"/>
    <n v="0"/>
    <n v="4.87"/>
    <n v="0"/>
    <n v="0"/>
    <n v="0"/>
    <n v="29.26"/>
    <n v="102.98"/>
    <n v="97.01"/>
    <n v="19.010000000000002"/>
    <n v="58.12"/>
    <n v="0"/>
    <n v="0"/>
    <n v="38.450000000000003"/>
    <n v="30.8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9.27"/>
    <n v="0"/>
    <n v="0"/>
    <n v="0"/>
    <n v="0"/>
    <n v="0"/>
    <n v="0"/>
    <n v="48.89"/>
    <n v="4.74"/>
    <n v="8.6"/>
    <n v="0"/>
    <n v="115.83"/>
    <n v="115.83"/>
    <n v="115.83"/>
    <n v="115.83"/>
    <n v="115.83"/>
    <n v="115.83"/>
    <n v="115.83"/>
    <n v="115.83"/>
    <n v="115.83"/>
    <n v="115.83"/>
    <n v="115.83"/>
    <n v="115.83"/>
    <x v="2"/>
    <x v="1"/>
    <s v="61100                   "/>
    <x v="24"/>
    <x v="12"/>
    <x v="19"/>
  </r>
  <r>
    <x v="2"/>
    <x v="2"/>
    <x v="704"/>
    <x v="7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13"/>
    <x v="19"/>
  </r>
  <r>
    <x v="2"/>
    <x v="2"/>
    <x v="705"/>
    <x v="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3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14"/>
    <x v="19"/>
  </r>
  <r>
    <x v="2"/>
    <x v="2"/>
    <x v="706"/>
    <x v="706"/>
    <n v="0"/>
    <n v="0"/>
    <n v="0"/>
    <n v="0"/>
    <n v="0"/>
    <n v="0"/>
    <n v="0"/>
    <n v="0"/>
    <n v="0"/>
    <n v="0"/>
    <n v="0"/>
    <n v="0"/>
    <n v="0"/>
    <n v="0"/>
    <n v="0"/>
    <n v="0"/>
    <n v="0"/>
    <n v="52.62"/>
    <n v="0"/>
    <n v="0"/>
    <n v="16.62"/>
    <n v="0"/>
    <n v="99.7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7"/>
    <n v="2.77"/>
    <n v="2.77"/>
    <n v="2.77"/>
    <n v="2.77"/>
    <n v="2.77"/>
    <n v="2.77"/>
    <n v="2.77"/>
    <n v="2.77"/>
    <n v="2.77"/>
    <n v="2.77"/>
    <n v="2.77"/>
    <x v="2"/>
    <x v="1"/>
    <s v="61100                   "/>
    <x v="24"/>
    <x v="15"/>
    <x v="19"/>
  </r>
  <r>
    <x v="2"/>
    <x v="2"/>
    <x v="707"/>
    <x v="7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"/>
    <n v="0"/>
    <n v="0"/>
    <n v="8.1"/>
    <n v="-108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00                   "/>
    <x v="24"/>
    <x v="16"/>
    <x v="19"/>
  </r>
  <r>
    <x v="2"/>
    <x v="2"/>
    <x v="707"/>
    <x v="7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2"/>
    <n v="19.62"/>
    <n v="19.62"/>
    <n v="19.62"/>
    <n v="19.62"/>
    <n v="19.62"/>
    <n v="19.62"/>
    <n v="19.62"/>
    <n v="19.62"/>
    <n v="19.62"/>
    <n v="19.62"/>
    <n v="19.62"/>
    <x v="2"/>
    <x v="1"/>
    <s v="61100                   "/>
    <x v="24"/>
    <x v="16"/>
    <x v="19"/>
  </r>
  <r>
    <x v="2"/>
    <x v="2"/>
    <x v="708"/>
    <x v="7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17"/>
    <x v="19"/>
  </r>
  <r>
    <x v="2"/>
    <x v="2"/>
    <x v="709"/>
    <x v="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00                   "/>
    <x v="24"/>
    <x v="18"/>
    <x v="19"/>
  </r>
  <r>
    <x v="2"/>
    <x v="2"/>
    <x v="710"/>
    <x v="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60                   "/>
    <x v="27"/>
    <x v="2"/>
    <x v="28"/>
  </r>
  <r>
    <x v="2"/>
    <x v="2"/>
    <x v="711"/>
    <x v="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80                   "/>
    <x v="25"/>
    <x v="2"/>
    <x v="29"/>
  </r>
  <r>
    <x v="2"/>
    <x v="2"/>
    <x v="712"/>
    <x v="7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3"/>
    <x v="2"/>
    <x v="19"/>
  </r>
  <r>
    <x v="2"/>
    <x v="2"/>
    <x v="713"/>
    <x v="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10"/>
    <x v="2"/>
    <x v="19"/>
  </r>
  <r>
    <x v="2"/>
    <x v="2"/>
    <x v="714"/>
    <x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11"/>
    <x v="2"/>
    <x v="25"/>
  </r>
  <r>
    <x v="2"/>
    <x v="2"/>
    <x v="715"/>
    <x v="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16"/>
    <x v="2"/>
    <x v="24"/>
  </r>
  <r>
    <x v="2"/>
    <x v="2"/>
    <x v="716"/>
    <x v="716"/>
    <n v="0"/>
    <n v="0"/>
    <n v="0"/>
    <n v="0"/>
    <n v="0"/>
    <n v="0"/>
    <n v="0"/>
    <n v="0"/>
    <n v="0"/>
    <n v="0"/>
    <n v="0"/>
    <n v="0"/>
    <n v="39.119999999999997"/>
    <n v="20.13"/>
    <n v="31.54"/>
    <n v="77.56"/>
    <n v="110.76"/>
    <n v="120.01"/>
    <n v="78.14"/>
    <n v="144.82"/>
    <n v="66.489999999999995"/>
    <n v="47.44"/>
    <n v="26.48"/>
    <n v="33.130000000000003"/>
    <n v="-795.6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.97"/>
    <n v="64.930000000000007"/>
    <n v="91.1"/>
    <n v="416.2"/>
    <n v="185.7"/>
    <n v="28.02"/>
    <n v="137.86000000000001"/>
    <n v="135.4"/>
    <n v="33.549999999999997"/>
    <n v="14.99"/>
    <n v="25.88"/>
    <n v="14.99"/>
    <n v="32.78"/>
    <n v="50"/>
    <n v="50"/>
    <n v="75"/>
    <n v="100"/>
    <n v="102.08"/>
    <n v="100"/>
    <n v="55.7"/>
    <n v="50"/>
    <n v="25"/>
    <n v="25"/>
    <n v="25"/>
    <x v="3"/>
    <x v="1"/>
    <s v="61200                   "/>
    <x v="20"/>
    <x v="2"/>
    <x v="24"/>
  </r>
  <r>
    <x v="2"/>
    <x v="2"/>
    <x v="716"/>
    <x v="716"/>
    <n v="280.51"/>
    <n v="795.21"/>
    <n v="1112.67"/>
    <n v="1508.42"/>
    <n v="1313.86"/>
    <n v="1464.88"/>
    <n v="2295.14"/>
    <n v="733.32"/>
    <n v="768.91"/>
    <n v="664.04"/>
    <n v="311.36"/>
    <n v="393.93"/>
    <n v="2052.86"/>
    <n v="749.39"/>
    <n v="1851.84"/>
    <n v="2069.64"/>
    <n v="935.41"/>
    <n v="1101.58"/>
    <n v="2599"/>
    <n v="-4432.8599999999997"/>
    <n v="587.20000000000005"/>
    <n v="887.77"/>
    <n v="461.65"/>
    <n v="379.06"/>
    <n v="549.83000000000004"/>
    <n v="482.3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2.96"/>
    <n v="986.94"/>
    <n v="1188.8800000000001"/>
    <n v="1422.17"/>
    <n v="1685.57"/>
    <n v="771.95"/>
    <n v="1670.37"/>
    <n v="1109.99"/>
    <n v="1026.24"/>
    <n v="680.88"/>
    <n v="628.16999999999996"/>
    <n v="437.39"/>
    <n v="963.67"/>
    <n v="691.2"/>
    <n v="1058.04"/>
    <n v="1332.89"/>
    <n v="585.07000000000005"/>
    <n v="675.91"/>
    <n v="1042.69"/>
    <n v="692.89"/>
    <n v="640.61"/>
    <n v="556.6"/>
    <n v="392.12"/>
    <n v="404.8"/>
    <x v="2"/>
    <x v="1"/>
    <s v="61200                   "/>
    <x v="20"/>
    <x v="2"/>
    <x v="24"/>
  </r>
  <r>
    <x v="2"/>
    <x v="2"/>
    <x v="717"/>
    <x v="7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23"/>
    <x v="2"/>
    <x v="19"/>
  </r>
  <r>
    <x v="2"/>
    <x v="2"/>
    <x v="718"/>
    <x v="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00                   "/>
    <x v="24"/>
    <x v="2"/>
    <x v="19"/>
  </r>
  <r>
    <x v="2"/>
    <x v="2"/>
    <x v="719"/>
    <x v="719"/>
    <n v="0"/>
    <n v="0"/>
    <n v="0"/>
    <n v="0"/>
    <n v="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50                   "/>
    <x v="10"/>
    <x v="2"/>
    <x v="30"/>
  </r>
  <r>
    <x v="2"/>
    <x v="2"/>
    <x v="720"/>
    <x v="720"/>
    <n v="0"/>
    <n v="0"/>
    <n v="0"/>
    <n v="0"/>
    <n v="0"/>
    <n v="0"/>
    <n v="0"/>
    <n v="0"/>
    <n v="0"/>
    <n v="0"/>
    <n v="0"/>
    <n v="0"/>
    <n v="0"/>
    <n v="0"/>
    <n v="5000"/>
    <n v="0"/>
    <n v="-5000"/>
    <n v="43000"/>
    <n v="-10333.33"/>
    <n v="4666.67"/>
    <n v="21437.86"/>
    <n v="4666.67"/>
    <n v="4628.87"/>
    <n v="80501.4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000"/>
    <n v="-8000"/>
    <n v="-8000"/>
    <n v="-8000"/>
    <n v="-8000"/>
    <n v="0"/>
    <n v="0"/>
    <n v="0"/>
    <n v="0"/>
    <n v="0"/>
    <n v="0"/>
    <n v="0"/>
    <n v="0"/>
    <n v="0"/>
    <n v="0"/>
    <n v="0"/>
    <n v="0"/>
    <x v="2"/>
    <x v="1"/>
    <s v="61260                   "/>
    <x v="0"/>
    <x v="2"/>
    <x v="30"/>
  </r>
  <r>
    <x v="2"/>
    <x v="2"/>
    <x v="721"/>
    <x v="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-0.71"/>
    <n v="0.13"/>
    <n v="0.04"/>
    <n v="0"/>
    <n v="1.58"/>
    <n v="4.78"/>
    <n v="0"/>
    <n v="0"/>
    <n v="0"/>
    <n v="0"/>
    <n v="0"/>
    <n v="0"/>
    <n v="0"/>
    <n v="0"/>
    <n v="0"/>
    <n v="0"/>
    <n v="0"/>
    <n v="0"/>
    <n v="0"/>
    <n v="0"/>
    <n v="0"/>
    <x v="3"/>
    <x v="1"/>
    <s v="61260                   "/>
    <x v="0"/>
    <x v="3"/>
    <x v="30"/>
  </r>
  <r>
    <x v="2"/>
    <x v="2"/>
    <x v="721"/>
    <x v="721"/>
    <n v="399.47"/>
    <n v="975.19"/>
    <n v="359.61"/>
    <n v="-1765.39"/>
    <n v="-88.77"/>
    <n v="237.61"/>
    <n v="-13.34"/>
    <n v="0"/>
    <n v="0"/>
    <n v="0"/>
    <n v="2525.9499999999998"/>
    <n v="1477.99"/>
    <n v="-1654.79"/>
    <n v="433.39"/>
    <n v="0"/>
    <n v="978.52"/>
    <n v="-359.2"/>
    <n v="0"/>
    <n v="-4020.76"/>
    <n v="-2682.28"/>
    <n v="-3696.8"/>
    <n v="-260.63"/>
    <n v="501.93"/>
    <n v="-229.6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20.35"/>
    <n v="1156.76"/>
    <n v="807.97"/>
    <n v="914"/>
    <n v="799.5"/>
    <n v="1208.23"/>
    <n v="1236.3699999999999"/>
    <n v="1020.25"/>
    <n v="1130.4000000000001"/>
    <n v="671.6"/>
    <n v="633.51"/>
    <n v="893.29"/>
    <n v="0"/>
    <n v="0"/>
    <n v="0"/>
    <n v="0"/>
    <n v="0"/>
    <n v="0"/>
    <n v="0"/>
    <n v="0"/>
    <n v="0"/>
    <n v="0"/>
    <n v="0"/>
    <n v="0"/>
    <x v="2"/>
    <x v="1"/>
    <s v="61260                   "/>
    <x v="0"/>
    <x v="3"/>
    <x v="30"/>
  </r>
  <r>
    <x v="2"/>
    <x v="2"/>
    <x v="722"/>
    <x v="722"/>
    <n v="20.28"/>
    <n v="939.06"/>
    <n v="173.01"/>
    <n v="-1199.96"/>
    <n v="-28.71"/>
    <n v="80.37"/>
    <n v="34.43"/>
    <n v="0"/>
    <n v="0"/>
    <n v="0"/>
    <n v="-1060.76"/>
    <n v="-14.79"/>
    <n v="5427.83"/>
    <n v="-1764.79"/>
    <n v="0"/>
    <n v="385.17"/>
    <n v="182.26"/>
    <n v="0"/>
    <n v="5746.76"/>
    <n v="1304.1600000000001"/>
    <n v="-710.08"/>
    <n v="-139.01"/>
    <n v="1463.99"/>
    <n v="-177.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3.12"/>
    <n v="517.42999999999995"/>
    <n v="533.54999999999995"/>
    <n v="483.51"/>
    <n v="466.92"/>
    <n v="467.98"/>
    <n v="526.76"/>
    <n v="436.57"/>
    <n v="453.82"/>
    <n v="286.8"/>
    <n v="362.72"/>
    <n v="373.09"/>
    <n v="0"/>
    <n v="0"/>
    <n v="0"/>
    <n v="0"/>
    <n v="0"/>
    <n v="0"/>
    <n v="0"/>
    <n v="0"/>
    <n v="0"/>
    <n v="0"/>
    <n v="0"/>
    <n v="0"/>
    <x v="2"/>
    <x v="1"/>
    <s v="61260                   "/>
    <x v="0"/>
    <x v="4"/>
    <x v="30"/>
  </r>
  <r>
    <x v="2"/>
    <x v="2"/>
    <x v="723"/>
    <x v="723"/>
    <n v="1.54"/>
    <n v="1.94"/>
    <n v="20.170000000000002"/>
    <n v="-40.56"/>
    <n v="-2.7"/>
    <n v="22.23"/>
    <n v="1.88"/>
    <n v="0"/>
    <n v="0"/>
    <n v="0"/>
    <n v="-50.69"/>
    <n v="0.24"/>
    <n v="-49.27"/>
    <n v="-1121.58"/>
    <n v="0"/>
    <n v="1229.8800000000001"/>
    <n v="0.8"/>
    <n v="0"/>
    <n v="4.6100000000000003"/>
    <n v="1.39"/>
    <n v="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4.7"/>
    <n v="82.54"/>
    <n v="49.26"/>
    <n v="119.07"/>
    <n v="50.31"/>
    <n v="61.92"/>
    <n v="120.51"/>
    <n v="61.06"/>
    <n v="58.72"/>
    <n v="46.42"/>
    <n v="49.07"/>
    <n v="72.91"/>
    <n v="0"/>
    <n v="0"/>
    <n v="0"/>
    <n v="0"/>
    <n v="0"/>
    <n v="0"/>
    <n v="0"/>
    <n v="0"/>
    <n v="0"/>
    <n v="0"/>
    <n v="0"/>
    <n v="0"/>
    <x v="2"/>
    <x v="1"/>
    <s v="61260                   "/>
    <x v="0"/>
    <x v="0"/>
    <x v="30"/>
  </r>
  <r>
    <x v="2"/>
    <x v="2"/>
    <x v="724"/>
    <x v="724"/>
    <n v="3.21"/>
    <n v="10.08"/>
    <n v="0"/>
    <n v="0"/>
    <n v="0"/>
    <n v="0"/>
    <n v="0"/>
    <n v="0"/>
    <n v="0"/>
    <n v="0"/>
    <n v="0"/>
    <n v="-0.03"/>
    <n v="0"/>
    <n v="0"/>
    <n v="0"/>
    <n v="0"/>
    <n v="0"/>
    <n v="0"/>
    <n v="727.65"/>
    <n v="191.4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60                   "/>
    <x v="0"/>
    <x v="5"/>
    <x v="30"/>
  </r>
  <r>
    <x v="2"/>
    <x v="2"/>
    <x v="725"/>
    <x v="725"/>
    <n v="0"/>
    <n v="0.01"/>
    <n v="5.59"/>
    <n v="-0.32"/>
    <n v="-0.02"/>
    <n v="0.92"/>
    <n v="0"/>
    <n v="0"/>
    <n v="0"/>
    <n v="0"/>
    <n v="-0.03"/>
    <n v="0.06"/>
    <n v="-58.42"/>
    <n v="19.489999999999998"/>
    <n v="0"/>
    <n v="0"/>
    <n v="0"/>
    <n v="0"/>
    <n v="262.12"/>
    <n v="-46.87"/>
    <n v="-102.72"/>
    <n v="-0.0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60                   "/>
    <x v="0"/>
    <x v="6"/>
    <x v="30"/>
  </r>
  <r>
    <x v="2"/>
    <x v="2"/>
    <x v="726"/>
    <x v="726"/>
    <n v="122.68"/>
    <n v="299.04000000000002"/>
    <n v="124.86"/>
    <n v="-297.2"/>
    <n v="-30.47"/>
    <n v="51.29"/>
    <n v="232.75"/>
    <n v="0"/>
    <n v="0"/>
    <n v="0"/>
    <n v="-9692.1"/>
    <n v="2944.93"/>
    <n v="-111.48"/>
    <n v="51.57"/>
    <n v="0"/>
    <n v="-6.97"/>
    <n v="211.4"/>
    <n v="0"/>
    <n v="4528.09"/>
    <n v="-750.69"/>
    <n v="1043.43"/>
    <n v="-123.1"/>
    <n v="0"/>
    <n v="-2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32.67"/>
    <n v="327.87"/>
    <n v="236.53"/>
    <n v="250.64"/>
    <n v="311.48"/>
    <n v="402.39"/>
    <n v="420.84"/>
    <n v="341.11"/>
    <n v="309.74"/>
    <n v="204.74"/>
    <n v="163.12"/>
    <n v="170.45"/>
    <n v="0"/>
    <n v="0"/>
    <n v="0"/>
    <n v="0"/>
    <n v="0"/>
    <n v="0"/>
    <n v="0"/>
    <n v="0"/>
    <n v="0"/>
    <n v="0"/>
    <n v="0"/>
    <n v="0"/>
    <x v="2"/>
    <x v="1"/>
    <s v="61260                   "/>
    <x v="0"/>
    <x v="1"/>
    <x v="30"/>
  </r>
  <r>
    <x v="2"/>
    <x v="2"/>
    <x v="727"/>
    <x v="727"/>
    <n v="0"/>
    <n v="0"/>
    <n v="0"/>
    <n v="0"/>
    <n v="0"/>
    <n v="0"/>
    <n v="0"/>
    <n v="0"/>
    <n v="0"/>
    <n v="0"/>
    <n v="0"/>
    <n v="0"/>
    <n v="116.71"/>
    <n v="-386.73"/>
    <n v="-1289.29"/>
    <n v="1426.25"/>
    <n v="-5528.85"/>
    <n v="0"/>
    <n v="0"/>
    <n v="0"/>
    <n v="-111648.89"/>
    <n v="-3014.29"/>
    <n v="-6.8"/>
    <n v="5978.57"/>
    <n v="114353.3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.66"/>
    <n v="13.14"/>
    <n v="78.95"/>
    <n v="19.29"/>
    <n v="50.62"/>
    <n v="34.659999999999997"/>
    <n v="21.26"/>
    <n v="35.049999999999997"/>
    <n v="10.039999999999999"/>
    <n v="15.37"/>
    <n v="7.84"/>
    <n v="9.19"/>
    <n v="0"/>
    <n v="0"/>
    <n v="0"/>
    <n v="0"/>
    <n v="0"/>
    <n v="0"/>
    <n v="0"/>
    <n v="0"/>
    <n v="0"/>
    <n v="0"/>
    <n v="0"/>
    <n v="0"/>
    <x v="3"/>
    <x v="1"/>
    <s v="61260                   "/>
    <x v="0"/>
    <x v="7"/>
    <x v="30"/>
  </r>
  <r>
    <x v="2"/>
    <x v="2"/>
    <x v="727"/>
    <x v="727"/>
    <n v="82.9"/>
    <n v="202.37"/>
    <n v="344.2"/>
    <n v="-440.58"/>
    <n v="-30.11"/>
    <n v="78.63"/>
    <n v="106.42"/>
    <n v="0"/>
    <n v="0"/>
    <n v="0"/>
    <n v="16429.419999999998"/>
    <n v="4505.12"/>
    <n v="1083.03"/>
    <n v="340.89"/>
    <n v="0"/>
    <n v="-2445.85"/>
    <n v="41.44"/>
    <n v="0"/>
    <n v="2261"/>
    <n v="4363.82"/>
    <n v="4235.3"/>
    <n v="-303.89"/>
    <n v="627.4199999999999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3.94"/>
    <n v="475.55"/>
    <n v="201.73"/>
    <n v="266.08"/>
    <n v="184.35"/>
    <n v="543.25"/>
    <n v="277.05"/>
    <n v="173.31"/>
    <n v="142.97999999999999"/>
    <n v="85.87"/>
    <n v="159.37"/>
    <n v="271.04000000000002"/>
    <n v="0"/>
    <n v="0"/>
    <n v="0"/>
    <n v="0"/>
    <n v="0"/>
    <n v="0"/>
    <n v="0"/>
    <n v="0"/>
    <n v="0"/>
    <n v="0"/>
    <n v="0"/>
    <n v="0"/>
    <x v="2"/>
    <x v="1"/>
    <s v="61260                   "/>
    <x v="0"/>
    <x v="7"/>
    <x v="30"/>
  </r>
  <r>
    <x v="2"/>
    <x v="2"/>
    <x v="728"/>
    <x v="728"/>
    <n v="331.95"/>
    <n v="810.37"/>
    <n v="354.25"/>
    <n v="-1355.35"/>
    <n v="-44.01"/>
    <n v="125.11"/>
    <n v="-124.25"/>
    <n v="0"/>
    <n v="0"/>
    <n v="0"/>
    <n v="13381.39"/>
    <n v="3118.21"/>
    <n v="171.96"/>
    <n v="-325.04000000000002"/>
    <n v="0"/>
    <n v="-1475.54"/>
    <n v="398.22"/>
    <n v="0"/>
    <n v="-384.95"/>
    <n v="248.62"/>
    <n v="625.07000000000005"/>
    <n v="17.87"/>
    <n v="0"/>
    <n v="-230.2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11.69"/>
    <n v="1233.07"/>
    <n v="773.93"/>
    <n v="771.81"/>
    <n v="743.34"/>
    <n v="1175.67"/>
    <n v="938.05"/>
    <n v="978.33"/>
    <n v="694.76"/>
    <n v="499.57"/>
    <n v="621.46"/>
    <n v="608.44000000000005"/>
    <n v="0"/>
    <n v="0"/>
    <n v="0"/>
    <n v="0"/>
    <n v="0"/>
    <n v="0"/>
    <n v="0"/>
    <n v="0"/>
    <n v="0"/>
    <n v="0"/>
    <n v="0"/>
    <n v="0"/>
    <x v="2"/>
    <x v="1"/>
    <s v="61260                   "/>
    <x v="0"/>
    <x v="8"/>
    <x v="30"/>
  </r>
  <r>
    <x v="2"/>
    <x v="2"/>
    <x v="729"/>
    <x v="729"/>
    <n v="77.02"/>
    <n v="188.03"/>
    <n v="189.08"/>
    <n v="-273.32"/>
    <n v="-13.6"/>
    <n v="23.6"/>
    <n v="864.77"/>
    <n v="0"/>
    <n v="0"/>
    <n v="0"/>
    <n v="-41.15"/>
    <n v="-68.790000000000006"/>
    <n v="-485.77"/>
    <n v="141.69999999999999"/>
    <n v="0"/>
    <n v="0.82"/>
    <n v="19.5"/>
    <n v="0"/>
    <n v="5318.25"/>
    <n v="-1387.01"/>
    <n v="0"/>
    <n v="9.449999999999999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0.45"/>
    <n v="128.81"/>
    <n v="135.56"/>
    <n v="145.11000000000001"/>
    <n v="122.46"/>
    <n v="108.64"/>
    <n v="112.64"/>
    <n v="118.04"/>
    <n v="73.400000000000006"/>
    <n v="57.53"/>
    <n v="62.18"/>
    <n v="86.65"/>
    <n v="0"/>
    <n v="0"/>
    <n v="0"/>
    <n v="0"/>
    <n v="0"/>
    <n v="0"/>
    <n v="0"/>
    <n v="0"/>
    <n v="0"/>
    <n v="0"/>
    <n v="0"/>
    <n v="0"/>
    <x v="2"/>
    <x v="1"/>
    <s v="61260                   "/>
    <x v="0"/>
    <x v="9"/>
    <x v="30"/>
  </r>
  <r>
    <x v="2"/>
    <x v="2"/>
    <x v="730"/>
    <x v="730"/>
    <n v="44.95"/>
    <n v="109.74"/>
    <n v="28.52"/>
    <n v="-35.32"/>
    <n v="-9.4700000000000006"/>
    <n v="27.35"/>
    <n v="306.56"/>
    <n v="0"/>
    <n v="0"/>
    <n v="0"/>
    <n v="-4937.88"/>
    <n v="8.2200000000000006"/>
    <n v="-185.16"/>
    <n v="62.71"/>
    <n v="0"/>
    <n v="-3.71"/>
    <n v="0.79"/>
    <n v="0"/>
    <n v="0.68"/>
    <n v="0.03"/>
    <n v="6544.4"/>
    <n v="7.9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.22"/>
    <n v="9.1999999999999993"/>
    <n v="26.7"/>
    <n v="8.4700000000000006"/>
    <n v="16.190000000000001"/>
    <n v="17.64"/>
    <n v="11.61"/>
    <n v="5.22"/>
    <n v="13.04"/>
    <n v="8.42"/>
    <n v="5.39"/>
    <n v="4.8899999999999997"/>
    <n v="0"/>
    <n v="0"/>
    <n v="0"/>
    <n v="0"/>
    <n v="0"/>
    <n v="0"/>
    <n v="0"/>
    <n v="0"/>
    <n v="0"/>
    <n v="0"/>
    <n v="0"/>
    <n v="0"/>
    <x v="2"/>
    <x v="1"/>
    <s v="61260                   "/>
    <x v="0"/>
    <x v="10"/>
    <x v="30"/>
  </r>
  <r>
    <x v="2"/>
    <x v="2"/>
    <x v="731"/>
    <x v="731"/>
    <n v="0"/>
    <n v="0"/>
    <n v="65.459999999999994"/>
    <n v="-12.97"/>
    <n v="-8.6199999999999992"/>
    <n v="35.880000000000003"/>
    <n v="538.54999999999995"/>
    <n v="0"/>
    <n v="0"/>
    <n v="0"/>
    <n v="-9735.69"/>
    <n v="3303.79"/>
    <n v="-991.63"/>
    <n v="344.91"/>
    <n v="0"/>
    <n v="138.11000000000001"/>
    <n v="30.82"/>
    <n v="0"/>
    <n v="-1090.6500000000001"/>
    <n v="-73.459999999999994"/>
    <n v="221.46"/>
    <n v="68.61"/>
    <n v="334.63"/>
    <n v="-2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0.79"/>
    <n v="118.53"/>
    <n v="146.35"/>
    <n v="179.57"/>
    <n v="179.19"/>
    <n v="268.98"/>
    <n v="321.04000000000002"/>
    <n v="318.89"/>
    <n v="163.52000000000001"/>
    <n v="67.16"/>
    <n v="89.91"/>
    <n v="91.14"/>
    <n v="0"/>
    <n v="0"/>
    <n v="0"/>
    <n v="0"/>
    <n v="0"/>
    <n v="0"/>
    <n v="0"/>
    <n v="0"/>
    <n v="0"/>
    <n v="0"/>
    <n v="0"/>
    <n v="0"/>
    <x v="2"/>
    <x v="1"/>
    <s v="61260                   "/>
    <x v="0"/>
    <x v="11"/>
    <x v="30"/>
  </r>
  <r>
    <x v="2"/>
    <x v="2"/>
    <x v="732"/>
    <x v="732"/>
    <n v="398.71"/>
    <n v="51.05"/>
    <n v="215.92"/>
    <n v="-1185.6300000000001"/>
    <n v="-48.23"/>
    <n v="168.25"/>
    <n v="2030.41"/>
    <n v="0"/>
    <n v="0"/>
    <n v="0"/>
    <n v="-4220.47"/>
    <n v="16753.16"/>
    <n v="952.16"/>
    <n v="-172.11"/>
    <n v="0"/>
    <n v="-8711.44"/>
    <n v="1967.02"/>
    <n v="0"/>
    <n v="2447.35"/>
    <n v="319.74"/>
    <n v="-699.55"/>
    <n v="-255.18"/>
    <n v="543.77"/>
    <n v="-425.0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7.38"/>
    <n v="1428.18"/>
    <n v="341.54"/>
    <n v="866.16"/>
    <n v="486.74"/>
    <n v="1710.13"/>
    <n v="699.69"/>
    <n v="419.3"/>
    <n v="264.49"/>
    <n v="268.19"/>
    <n v="210.12"/>
    <n v="611.77"/>
    <n v="0"/>
    <n v="0"/>
    <n v="0"/>
    <n v="0"/>
    <n v="0"/>
    <n v="0"/>
    <n v="0"/>
    <n v="0"/>
    <n v="0"/>
    <n v="0"/>
    <n v="0"/>
    <n v="0"/>
    <x v="2"/>
    <x v="1"/>
    <s v="61260                   "/>
    <x v="0"/>
    <x v="12"/>
    <x v="30"/>
  </r>
  <r>
    <x v="2"/>
    <x v="2"/>
    <x v="733"/>
    <x v="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60                   "/>
    <x v="0"/>
    <x v="13"/>
    <x v="30"/>
  </r>
  <r>
    <x v="2"/>
    <x v="2"/>
    <x v="734"/>
    <x v="734"/>
    <n v="18.75"/>
    <n v="58.88"/>
    <n v="54.11"/>
    <n v="-41.64"/>
    <n v="-9.8800000000000008"/>
    <n v="22.01"/>
    <n v="-0.04"/>
    <n v="0"/>
    <n v="0"/>
    <n v="0"/>
    <n v="2942.77"/>
    <n v="515.6"/>
    <n v="485.92"/>
    <n v="-105.15"/>
    <n v="0"/>
    <n v="154.47999999999999"/>
    <n v="118.67"/>
    <n v="0"/>
    <n v="3813.24"/>
    <n v="63.19"/>
    <n v="-116.29"/>
    <n v="21.83"/>
    <n v="418.28"/>
    <n v="-22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05.98"/>
    <n v="1527.25"/>
    <n v="234.29"/>
    <n v="279.36"/>
    <n v="44.1"/>
    <n v="1178.06"/>
    <n v="678.89"/>
    <n v="820.23"/>
    <n v="186.84"/>
    <n v="49.88"/>
    <n v="544.14"/>
    <n v="444.05"/>
    <n v="0"/>
    <n v="0"/>
    <n v="0"/>
    <n v="0"/>
    <n v="0"/>
    <n v="0"/>
    <n v="0"/>
    <n v="0"/>
    <n v="0"/>
    <n v="0"/>
    <n v="0"/>
    <n v="0"/>
    <x v="2"/>
    <x v="1"/>
    <s v="61260                   "/>
    <x v="0"/>
    <x v="14"/>
    <x v="30"/>
  </r>
  <r>
    <x v="2"/>
    <x v="2"/>
    <x v="735"/>
    <x v="735"/>
    <n v="4.49"/>
    <n v="14.11"/>
    <n v="42.77"/>
    <n v="-162.22999999999999"/>
    <n v="-9.84"/>
    <n v="18.28"/>
    <n v="199.94"/>
    <n v="0"/>
    <n v="0"/>
    <n v="0"/>
    <n v="-247.32"/>
    <n v="0.28000000000000003"/>
    <n v="611.89"/>
    <n v="-202.7"/>
    <n v="0"/>
    <n v="-3.98"/>
    <n v="1.2"/>
    <n v="0"/>
    <n v="9.69"/>
    <n v="39.58"/>
    <n v="61.9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0.760000000000005"/>
    <n v="72.14"/>
    <n v="26.33"/>
    <n v="31.18"/>
    <n v="6.62"/>
    <n v="24.42"/>
    <n v="3.12"/>
    <n v="14.91"/>
    <n v="2.91"/>
    <n v="12.47"/>
    <n v="9.18"/>
    <n v="9.32"/>
    <n v="0"/>
    <n v="0"/>
    <n v="0"/>
    <n v="0"/>
    <n v="0"/>
    <n v="0"/>
    <n v="0"/>
    <n v="0"/>
    <n v="0"/>
    <n v="0"/>
    <n v="0"/>
    <n v="0"/>
    <x v="2"/>
    <x v="1"/>
    <s v="61260                   "/>
    <x v="0"/>
    <x v="15"/>
    <x v="30"/>
  </r>
  <r>
    <x v="2"/>
    <x v="2"/>
    <x v="736"/>
    <x v="736"/>
    <n v="0"/>
    <n v="0"/>
    <n v="0"/>
    <n v="0"/>
    <n v="0"/>
    <n v="0"/>
    <n v="0"/>
    <n v="0"/>
    <n v="0"/>
    <n v="0"/>
    <n v="0"/>
    <n v="0"/>
    <n v="0"/>
    <n v="116.37"/>
    <n v="377.99"/>
    <n v="792.89"/>
    <n v="2414.08"/>
    <n v="0"/>
    <n v="-452.45"/>
    <n v="0"/>
    <n v="119193.65"/>
    <n v="-1269.33"/>
    <n v="451.53"/>
    <n v="0"/>
    <n v="-121624.7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.51"/>
    <n v="9.6300000000000008"/>
    <n v="13.86"/>
    <n v="18.43"/>
    <n v="18.79"/>
    <n v="10.24"/>
    <n v="8.75"/>
    <n v="4.42"/>
    <n v="12.46"/>
    <n v="2.4900000000000002"/>
    <n v="-0.03"/>
    <n v="11"/>
    <n v="0"/>
    <n v="0"/>
    <n v="0"/>
    <n v="0"/>
    <n v="0"/>
    <n v="0"/>
    <n v="0"/>
    <n v="0"/>
    <n v="0"/>
    <n v="0"/>
    <n v="0"/>
    <n v="0"/>
    <x v="3"/>
    <x v="1"/>
    <s v="61260                   "/>
    <x v="0"/>
    <x v="16"/>
    <x v="30"/>
  </r>
  <r>
    <x v="2"/>
    <x v="2"/>
    <x v="736"/>
    <x v="736"/>
    <n v="12.65"/>
    <n v="39.72"/>
    <n v="104.09"/>
    <n v="-4.96"/>
    <n v="-1.06"/>
    <n v="15.23"/>
    <n v="-190.03"/>
    <n v="0"/>
    <n v="0"/>
    <n v="0"/>
    <n v="9655.7199999999993"/>
    <n v="30.91"/>
    <n v="-437.23"/>
    <n v="24.2"/>
    <n v="0"/>
    <n v="4.9400000000000004"/>
    <n v="4.5999999999999996"/>
    <n v="0"/>
    <n v="126.26"/>
    <n v="-9.7799999999999994"/>
    <n v="-146.19999999999999"/>
    <n v="15.36"/>
    <n v="292.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.92"/>
    <n v="167.93"/>
    <n v="53.83"/>
    <n v="37.39"/>
    <n v="39.049999999999997"/>
    <n v="538.83000000000004"/>
    <n v="54.73"/>
    <n v="36.97"/>
    <n v="40.049999999999997"/>
    <n v="32.729999999999997"/>
    <n v="35.14"/>
    <n v="27.04"/>
    <n v="0"/>
    <n v="0"/>
    <n v="0"/>
    <n v="0"/>
    <n v="0"/>
    <n v="0"/>
    <n v="0"/>
    <n v="0"/>
    <n v="0"/>
    <n v="0"/>
    <n v="0"/>
    <n v="0"/>
    <x v="2"/>
    <x v="1"/>
    <s v="61260                   "/>
    <x v="0"/>
    <x v="16"/>
    <x v="30"/>
  </r>
  <r>
    <x v="2"/>
    <x v="2"/>
    <x v="737"/>
    <x v="737"/>
    <n v="11.02"/>
    <n v="34.54"/>
    <n v="11.89"/>
    <n v="-12.94"/>
    <n v="-0.7"/>
    <n v="1.28"/>
    <n v="-0.05"/>
    <n v="0"/>
    <n v="0"/>
    <n v="0"/>
    <n v="-2.85"/>
    <n v="6.6"/>
    <n v="-328.43"/>
    <n v="110.04"/>
    <n v="0"/>
    <n v="0"/>
    <n v="-0.09"/>
    <n v="0"/>
    <n v="715.11"/>
    <n v="189.05"/>
    <n v="1.8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60                   "/>
    <x v="0"/>
    <x v="17"/>
    <x v="30"/>
  </r>
  <r>
    <x v="2"/>
    <x v="2"/>
    <x v="738"/>
    <x v="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60                   "/>
    <x v="0"/>
    <x v="18"/>
    <x v="30"/>
  </r>
  <r>
    <x v="2"/>
    <x v="2"/>
    <x v="739"/>
    <x v="739"/>
    <n v="-10000"/>
    <n v="-10000"/>
    <n v="-10000"/>
    <n v="-10000"/>
    <n v="0"/>
    <n v="-10657.28"/>
    <n v="-7000"/>
    <n v="-7000"/>
    <n v="-7000"/>
    <n v="-7000"/>
    <n v="-7000"/>
    <n v="-1914.32"/>
    <n v="-10085.68"/>
    <n v="0"/>
    <n v="-2920"/>
    <n v="-2640"/>
    <n v="-2640"/>
    <n v="-2640"/>
    <n v="-2640"/>
    <n v="-2640"/>
    <n v="-2640"/>
    <n v="-2640"/>
    <n v="-2640"/>
    <n v="-264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640"/>
    <n v="-2640"/>
    <n v="-2640"/>
    <n v="-2640"/>
    <n v="-2640"/>
    <n v="-2640"/>
    <n v="-2640"/>
    <n v="-2640"/>
    <n v="-2640"/>
    <n v="-2640"/>
    <n v="-2640"/>
    <n v="-2640"/>
    <n v="-3000"/>
    <n v="-3000"/>
    <n v="-3000"/>
    <n v="-3000"/>
    <n v="-3000"/>
    <n v="-3000"/>
    <n v="-3000"/>
    <n v="-3000"/>
    <n v="-3000"/>
    <n v="-3000"/>
    <n v="-3000"/>
    <n v="-3000"/>
    <x v="2"/>
    <x v="1"/>
    <s v="61280                   "/>
    <x v="17"/>
    <x v="3"/>
    <x v="26"/>
  </r>
  <r>
    <x v="2"/>
    <x v="2"/>
    <x v="740"/>
    <x v="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4"/>
    <x v="26"/>
  </r>
  <r>
    <x v="2"/>
    <x v="2"/>
    <x v="741"/>
    <x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0"/>
    <x v="26"/>
  </r>
  <r>
    <x v="2"/>
    <x v="2"/>
    <x v="742"/>
    <x v="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5"/>
    <x v="26"/>
  </r>
  <r>
    <x v="2"/>
    <x v="2"/>
    <x v="743"/>
    <x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6"/>
    <x v="26"/>
  </r>
  <r>
    <x v="2"/>
    <x v="2"/>
    <x v="744"/>
    <x v="744"/>
    <n v="0"/>
    <n v="0"/>
    <n v="0"/>
    <n v="0"/>
    <n v="0"/>
    <n v="0"/>
    <n v="0"/>
    <n v="0"/>
    <n v="0"/>
    <n v="0"/>
    <n v="0"/>
    <n v="0"/>
    <n v="0"/>
    <n v="0"/>
    <n v="-7380"/>
    <n v="-2460"/>
    <n v="0"/>
    <n v="-4920"/>
    <n v="-2460"/>
    <n v="-2460"/>
    <n v="-2460"/>
    <n v="-2460"/>
    <n v="-2460"/>
    <n v="-246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460"/>
    <n v="-2460"/>
    <n v="-2460"/>
    <n v="-2460"/>
    <n v="-2460"/>
    <n v="-2460"/>
    <n v="-2460"/>
    <n v="-2460"/>
    <n v="-2460"/>
    <n v="-2460"/>
    <n v="-2460"/>
    <n v="-246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"/>
    <x v="26"/>
  </r>
  <r>
    <x v="2"/>
    <x v="2"/>
    <x v="745"/>
    <x v="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7"/>
    <x v="26"/>
  </r>
  <r>
    <x v="2"/>
    <x v="2"/>
    <x v="746"/>
    <x v="746"/>
    <n v="0"/>
    <n v="0"/>
    <n v="0"/>
    <n v="0"/>
    <n v="0"/>
    <n v="0"/>
    <n v="0"/>
    <n v="0"/>
    <n v="0"/>
    <n v="0"/>
    <n v="0"/>
    <n v="0"/>
    <n v="0"/>
    <n v="0"/>
    <n v="-2880"/>
    <n v="-960"/>
    <n v="0"/>
    <n v="-1920"/>
    <n v="-960"/>
    <n v="-960"/>
    <n v="-960"/>
    <n v="-960"/>
    <n v="-960"/>
    <n v="-96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960"/>
    <n v="-960"/>
    <n v="-960"/>
    <n v="-960"/>
    <n v="-960"/>
    <n v="-960"/>
    <n v="-960"/>
    <n v="-960"/>
    <n v="-960"/>
    <n v="-960"/>
    <n v="-960"/>
    <n v="-960"/>
    <n v="-3000"/>
    <n v="-3000"/>
    <n v="-3000"/>
    <n v="-3000"/>
    <n v="-3000"/>
    <n v="-3000"/>
    <n v="-3000"/>
    <n v="-3000"/>
    <n v="-3000"/>
    <n v="-3000"/>
    <n v="-3000"/>
    <n v="-3000"/>
    <x v="2"/>
    <x v="1"/>
    <s v="61280                   "/>
    <x v="17"/>
    <x v="8"/>
    <x v="26"/>
  </r>
  <r>
    <x v="2"/>
    <x v="2"/>
    <x v="747"/>
    <x v="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9"/>
    <x v="26"/>
  </r>
  <r>
    <x v="2"/>
    <x v="2"/>
    <x v="748"/>
    <x v="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0"/>
    <x v="26"/>
  </r>
  <r>
    <x v="2"/>
    <x v="2"/>
    <x v="749"/>
    <x v="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1"/>
    <x v="26"/>
  </r>
  <r>
    <x v="2"/>
    <x v="2"/>
    <x v="750"/>
    <x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2"/>
    <x v="26"/>
  </r>
  <r>
    <x v="2"/>
    <x v="2"/>
    <x v="751"/>
    <x v="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3"/>
    <x v="26"/>
  </r>
  <r>
    <x v="2"/>
    <x v="2"/>
    <x v="752"/>
    <x v="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4"/>
    <x v="26"/>
  </r>
  <r>
    <x v="2"/>
    <x v="2"/>
    <x v="753"/>
    <x v="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5"/>
    <x v="26"/>
  </r>
  <r>
    <x v="2"/>
    <x v="2"/>
    <x v="754"/>
    <x v="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6"/>
    <x v="26"/>
  </r>
  <r>
    <x v="2"/>
    <x v="2"/>
    <x v="755"/>
    <x v="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7"/>
    <x v="26"/>
  </r>
  <r>
    <x v="2"/>
    <x v="2"/>
    <x v="756"/>
    <x v="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80                   "/>
    <x v="17"/>
    <x v="18"/>
    <x v="26"/>
  </r>
  <r>
    <x v="2"/>
    <x v="2"/>
    <x v="757"/>
    <x v="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20                   "/>
    <x v="28"/>
    <x v="2"/>
    <x v="30"/>
  </r>
  <r>
    <x v="2"/>
    <x v="2"/>
    <x v="758"/>
    <x v="758"/>
    <n v="-669.89"/>
    <n v="0"/>
    <n v="0"/>
    <n v="0"/>
    <n v="0"/>
    <n v="0"/>
    <n v="0"/>
    <n v="295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60                   "/>
    <x v="28"/>
    <x v="2"/>
    <x v="30"/>
  </r>
  <r>
    <x v="2"/>
    <x v="2"/>
    <x v="759"/>
    <x v="759"/>
    <n v="13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80                   "/>
    <x v="28"/>
    <x v="2"/>
    <x v="30"/>
  </r>
  <r>
    <x v="2"/>
    <x v="2"/>
    <x v="760"/>
    <x v="760"/>
    <n v="25.11"/>
    <n v="112.23"/>
    <n v="273.18"/>
    <n v="5.91"/>
    <n v="5.91"/>
    <n v="13.29"/>
    <n v="0"/>
    <n v="2.95"/>
    <n v="589.16999999999996"/>
    <n v="17.72"/>
    <n v="0"/>
    <n v="0"/>
    <n v="0"/>
    <n v="4.43"/>
    <n v="318.95"/>
    <n v="41.35"/>
    <n v="0"/>
    <n v="10.34"/>
    <n v="0"/>
    <n v="0"/>
    <n v="39.86999999999999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90                   "/>
    <x v="28"/>
    <x v="2"/>
    <x v="30"/>
  </r>
  <r>
    <x v="2"/>
    <x v="2"/>
    <x v="761"/>
    <x v="760"/>
    <n v="0"/>
    <n v="0"/>
    <n v="0"/>
    <n v="0"/>
    <n v="0"/>
    <n v="0"/>
    <n v="0"/>
    <n v="0"/>
    <n v="0"/>
    <n v="0"/>
    <n v="0"/>
    <n v="0"/>
    <n v="5892.85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2200                   "/>
    <x v="28"/>
    <x v="2"/>
    <x v="30"/>
  </r>
  <r>
    <x v="2"/>
    <x v="2"/>
    <x v="762"/>
    <x v="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5"/>
    <x v="2"/>
    <x v="29"/>
  </r>
  <r>
    <x v="3"/>
    <x v="3"/>
    <x v="763"/>
    <x v="7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2"/>
    <x v="18"/>
  </r>
  <r>
    <x v="3"/>
    <x v="3"/>
    <x v="764"/>
    <x v="763"/>
    <n v="0"/>
    <n v="0"/>
    <n v="0"/>
    <n v="206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2"/>
    <x v="18"/>
  </r>
  <r>
    <x v="3"/>
    <x v="3"/>
    <x v="765"/>
    <x v="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2"/>
    <x v="18"/>
  </r>
  <r>
    <x v="3"/>
    <x v="3"/>
    <x v="766"/>
    <x v="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2"/>
    <x v="18"/>
  </r>
  <r>
    <x v="3"/>
    <x v="3"/>
    <x v="767"/>
    <x v="766"/>
    <n v="0"/>
    <n v="1278.3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2"/>
    <x v="18"/>
  </r>
  <r>
    <x v="3"/>
    <x v="3"/>
    <x v="768"/>
    <x v="7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2"/>
    <x v="18"/>
  </r>
  <r>
    <x v="3"/>
    <x v="3"/>
    <x v="769"/>
    <x v="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2"/>
    <x v="18"/>
  </r>
  <r>
    <x v="3"/>
    <x v="3"/>
    <x v="770"/>
    <x v="769"/>
    <n v="0"/>
    <n v="0"/>
    <n v="0"/>
    <n v="0"/>
    <n v="0"/>
    <n v="0"/>
    <n v="0"/>
    <n v="0"/>
    <n v="0"/>
    <n v="0"/>
    <n v="0"/>
    <n v="0"/>
    <n v="657.9"/>
    <n v="562.12"/>
    <n v="742.09"/>
    <n v="517.13"/>
    <n v="365.25"/>
    <n v="803.71"/>
    <n v="478.25"/>
    <n v="437.11"/>
    <n v="859.67"/>
    <n v="250.71"/>
    <n v="583.61"/>
    <n v="454.54"/>
    <n v="388.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80"/>
    <n v="580"/>
    <n v="580"/>
    <n v="580"/>
    <n v="580"/>
    <n v="580"/>
    <n v="580"/>
    <n v="580"/>
    <n v="580"/>
    <n v="580"/>
    <n v="580"/>
    <n v="580"/>
    <x v="1"/>
    <x v="3"/>
    <s v="71570                   "/>
    <x v="1"/>
    <x v="2"/>
    <x v="31"/>
  </r>
  <r>
    <x v="3"/>
    <x v="3"/>
    <x v="771"/>
    <x v="7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000"/>
    <n v="0"/>
    <n v="0"/>
    <n v="0"/>
    <n v="0"/>
    <n v="333.33"/>
    <n v="333.33"/>
    <n v="333.33"/>
    <n v="333.33"/>
    <n v="333.33"/>
    <n v="1333.33"/>
    <n v="333.33"/>
    <n v="333.33"/>
    <n v="333.33"/>
    <n v="333.33"/>
    <n v="333.33"/>
    <n v="333.33"/>
    <x v="1"/>
    <x v="3"/>
    <s v="87600                   "/>
    <x v="1"/>
    <x v="2"/>
    <x v="31"/>
  </r>
  <r>
    <x v="3"/>
    <x v="3"/>
    <x v="771"/>
    <x v="7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87600                   "/>
    <x v="1"/>
    <x v="2"/>
    <x v="31"/>
  </r>
  <r>
    <x v="3"/>
    <x v="3"/>
    <x v="772"/>
    <x v="771"/>
    <n v="0"/>
    <n v="0"/>
    <n v="0"/>
    <n v="0"/>
    <n v="0"/>
    <n v="0"/>
    <n v="0"/>
    <n v="0"/>
    <n v="0"/>
    <n v="0"/>
    <n v="0"/>
    <n v="0"/>
    <n v="0"/>
    <n v="389.34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86.27"/>
    <n v="161.03"/>
    <n v="194.58"/>
    <n v="0"/>
    <n v="0"/>
    <n v="0"/>
    <n v="0"/>
    <n v="100"/>
    <n v="100"/>
    <n v="100"/>
    <n v="100"/>
    <n v="100"/>
    <n v="100"/>
    <n v="100"/>
    <n v="100"/>
    <n v="100"/>
    <n v="100"/>
    <n v="100"/>
    <n v="100"/>
    <x v="1"/>
    <x v="3"/>
    <s v="87610                   "/>
    <x v="1"/>
    <x v="2"/>
    <x v="31"/>
  </r>
  <r>
    <x v="3"/>
    <x v="3"/>
    <x v="773"/>
    <x v="772"/>
    <n v="0"/>
    <n v="0"/>
    <n v="0"/>
    <n v="0"/>
    <n v="0"/>
    <n v="0"/>
    <n v="0"/>
    <n v="0"/>
    <n v="0"/>
    <n v="0"/>
    <n v="0"/>
    <n v="0"/>
    <n v="28.67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92"/>
    <n v="0"/>
    <n v="28.41"/>
    <n v="0"/>
    <n v="140.33000000000001"/>
    <n v="0"/>
    <n v="0"/>
    <n v="0"/>
    <n v="0"/>
    <n v="0"/>
    <n v="0"/>
    <n v="0"/>
    <n v="0"/>
    <n v="0"/>
    <n v="0"/>
    <n v="0"/>
    <n v="0"/>
    <n v="0"/>
    <x v="1"/>
    <x v="3"/>
    <s v="87620                   "/>
    <x v="1"/>
    <x v="2"/>
    <x v="31"/>
  </r>
  <r>
    <x v="3"/>
    <x v="3"/>
    <x v="774"/>
    <x v="773"/>
    <n v="0"/>
    <n v="0"/>
    <n v="0"/>
    <n v="0"/>
    <n v="0"/>
    <n v="0"/>
    <n v="0"/>
    <n v="0"/>
    <n v="0"/>
    <n v="0"/>
    <n v="0"/>
    <n v="0"/>
    <n v="191.55"/>
    <n v="347.23"/>
    <n v="42.39"/>
    <n v="8.77"/>
    <n v="30.94"/>
    <n v="28"/>
    <n v="84.05"/>
    <n v="54.53"/>
    <n v="48.13"/>
    <n v="19.649999999999999"/>
    <n v="62.01"/>
    <n v="31.88"/>
    <n v="315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.42"/>
    <n v="0"/>
    <n v="0"/>
    <n v="0"/>
    <n v="0"/>
    <n v="0"/>
    <n v="17.7"/>
    <n v="0"/>
    <n v="13.27"/>
    <n v="37.590000000000003"/>
    <n v="152.72999999999999"/>
    <n v="88.2"/>
    <n v="100"/>
    <n v="100"/>
    <n v="100"/>
    <n v="100"/>
    <n v="100"/>
    <n v="100"/>
    <n v="100"/>
    <n v="100"/>
    <n v="100"/>
    <n v="100"/>
    <n v="100"/>
    <n v="100"/>
    <x v="1"/>
    <x v="3"/>
    <s v="87630                   "/>
    <x v="1"/>
    <x v="2"/>
    <x v="31"/>
  </r>
  <r>
    <x v="3"/>
    <x v="3"/>
    <x v="775"/>
    <x v="774"/>
    <n v="0"/>
    <n v="0"/>
    <n v="0"/>
    <n v="0"/>
    <n v="0"/>
    <n v="0"/>
    <n v="0"/>
    <n v="0"/>
    <n v="0"/>
    <n v="0"/>
    <n v="0"/>
    <n v="0"/>
    <n v="0"/>
    <n v="125"/>
    <n v="250"/>
    <n v="125"/>
    <n v="0"/>
    <n v="250"/>
    <n v="125"/>
    <n v="0"/>
    <n v="250"/>
    <n v="125"/>
    <n v="0"/>
    <n v="250"/>
    <n v="-15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8.54"/>
    <n v="63.54"/>
    <n v="313.54000000000002"/>
    <n v="188.54"/>
    <n v="63.54"/>
    <n v="313.54000000000002"/>
    <n v="188.54"/>
    <n v="0"/>
    <n v="250"/>
    <n v="125"/>
    <n v="0"/>
    <n v="250"/>
    <n v="0"/>
    <n v="125"/>
    <n v="250"/>
    <n v="125"/>
    <n v="0"/>
    <n v="250"/>
    <n v="125"/>
    <n v="0"/>
    <n v="250"/>
    <n v="125"/>
    <n v="0"/>
    <n v="250"/>
    <x v="3"/>
    <x v="4"/>
    <s v="71400                   "/>
    <x v="1"/>
    <x v="2"/>
    <x v="32"/>
  </r>
  <r>
    <x v="3"/>
    <x v="3"/>
    <x v="775"/>
    <x v="774"/>
    <n v="5706.75"/>
    <n v="8431.6299999999992"/>
    <n v="1166.67"/>
    <n v="4540.07"/>
    <n v="2308.5"/>
    <n v="1166.67"/>
    <n v="5681.9"/>
    <n v="1391.67"/>
    <n v="1491.67"/>
    <n v="2291.14"/>
    <n v="3849.64"/>
    <n v="8750"/>
    <n v="1624.46"/>
    <n v="0"/>
    <n v="1333.34"/>
    <n v="4505.1899999999996"/>
    <n v="1505.19"/>
    <n v="833.34"/>
    <n v="3808.72"/>
    <n v="1588.52"/>
    <n v="7752.12"/>
    <n v="2894.21"/>
    <n v="1472.35"/>
    <n v="622.35"/>
    <n v="3145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706.75"/>
    <n v="8431.6299999999992"/>
    <n v="1166.67"/>
    <n v="4540.07"/>
    <n v="2308.5"/>
    <n v="1166.67"/>
    <n v="0"/>
    <n v="0"/>
    <n v="0"/>
    <n v="0"/>
    <n v="0"/>
    <n v="0"/>
    <n v="1624.46"/>
    <n v="0"/>
    <n v="1333.34"/>
    <n v="4505.1899999999996"/>
    <n v="1505.19"/>
    <n v="833.34"/>
    <n v="3808.72"/>
    <n v="1588.52"/>
    <n v="1492"/>
    <n v="2291"/>
    <n v="3850"/>
    <n v="8750"/>
    <x v="2"/>
    <x v="4"/>
    <s v="71400                   "/>
    <x v="1"/>
    <x v="2"/>
    <x v="32"/>
  </r>
  <r>
    <x v="3"/>
    <x v="3"/>
    <x v="776"/>
    <x v="7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0.19"/>
    <n v="0"/>
    <n v="162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0"/>
    <n v="0"/>
    <n v="2000"/>
    <n v="0"/>
    <n v="0"/>
    <n v="0"/>
    <n v="0"/>
    <n v="0"/>
    <n v="0"/>
    <n v="0"/>
    <n v="1000"/>
    <n v="0"/>
    <x v="2"/>
    <x v="4"/>
    <s v="71410                   "/>
    <x v="1"/>
    <x v="2"/>
    <x v="32"/>
  </r>
  <r>
    <x v="3"/>
    <x v="3"/>
    <x v="777"/>
    <x v="776"/>
    <n v="0"/>
    <n v="0"/>
    <n v="1643.09"/>
    <n v="0"/>
    <n v="0"/>
    <n v="200.94"/>
    <n v="831.7"/>
    <n v="0"/>
    <n v="0"/>
    <n v="0"/>
    <n v="0"/>
    <n v="1042.05"/>
    <n v="0"/>
    <n v="0"/>
    <n v="0"/>
    <n v="49.19"/>
    <n v="78.209999999999994"/>
    <n v="0"/>
    <n v="0"/>
    <n v="0"/>
    <n v="0"/>
    <n v="14.24"/>
    <n v="27.5"/>
    <n v="188.1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643"/>
    <n v="0"/>
    <n v="0"/>
    <n v="201"/>
    <n v="832"/>
    <n v="0"/>
    <n v="0"/>
    <n v="0"/>
    <n v="0"/>
    <n v="1042"/>
    <n v="0"/>
    <n v="0"/>
    <n v="0"/>
    <n v="49.19"/>
    <n v="78.209999999999994"/>
    <n v="0"/>
    <n v="0"/>
    <n v="0"/>
    <n v="0"/>
    <n v="0"/>
    <n v="0"/>
    <n v="1042"/>
    <x v="2"/>
    <x v="4"/>
    <s v="71550                   "/>
    <x v="1"/>
    <x v="2"/>
    <x v="32"/>
  </r>
  <r>
    <x v="3"/>
    <x v="3"/>
    <x v="778"/>
    <x v="777"/>
    <n v="0"/>
    <n v="0"/>
    <n v="0"/>
    <n v="0"/>
    <n v="0"/>
    <n v="0"/>
    <n v="0"/>
    <n v="0"/>
    <n v="0"/>
    <n v="0"/>
    <n v="0"/>
    <n v="225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2"/>
    <x v="11"/>
    <x v="33"/>
  </r>
  <r>
    <x v="3"/>
    <x v="3"/>
    <x v="779"/>
    <x v="778"/>
    <n v="0"/>
    <n v="0"/>
    <n v="0"/>
    <n v="0"/>
    <n v="0"/>
    <n v="0"/>
    <n v="0"/>
    <n v="0"/>
    <n v="0"/>
    <n v="0"/>
    <n v="0"/>
    <n v="131"/>
    <n v="0"/>
    <n v="30"/>
    <n v="36"/>
    <n v="0"/>
    <n v="45"/>
    <n v="111"/>
    <n v="0"/>
    <n v="0"/>
    <n v="0"/>
    <n v="-4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29999999999998"/>
    <n v="31.21"/>
    <n v="92.68"/>
    <n v="89.17"/>
    <n v="78.36"/>
    <n v="80.25"/>
    <n v="70.959999999999994"/>
    <n v="34.409999999999997"/>
    <n v="27.53"/>
    <n v="34.409999999999997"/>
    <n v="93.04"/>
    <n v="35.04"/>
    <x v="2"/>
    <x v="4"/>
    <s v="71550                   "/>
    <x v="3"/>
    <x v="11"/>
    <x v="34"/>
  </r>
  <r>
    <x v="3"/>
    <x v="3"/>
    <x v="780"/>
    <x v="779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7"/>
    <x v="11"/>
    <x v="35"/>
  </r>
  <r>
    <x v="3"/>
    <x v="3"/>
    <x v="781"/>
    <x v="780"/>
    <n v="0"/>
    <n v="0"/>
    <n v="0"/>
    <n v="0"/>
    <n v="0"/>
    <n v="0"/>
    <n v="0"/>
    <n v="0"/>
    <n v="0"/>
    <n v="0"/>
    <n v="0"/>
    <n v="39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8"/>
    <x v="11"/>
    <x v="36"/>
  </r>
  <r>
    <x v="3"/>
    <x v="3"/>
    <x v="782"/>
    <x v="781"/>
    <n v="0"/>
    <n v="0"/>
    <n v="0"/>
    <n v="0"/>
    <n v="0"/>
    <n v="0"/>
    <n v="0"/>
    <n v="0"/>
    <n v="0"/>
    <n v="0"/>
    <n v="0"/>
    <n v="11"/>
    <n v="0"/>
    <n v="0"/>
    <n v="4.2"/>
    <n v="0"/>
    <n v="3"/>
    <n v="7"/>
    <n v="0"/>
    <n v="0"/>
    <n v="0"/>
    <n v="-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9"/>
    <x v="11"/>
    <x v="32"/>
  </r>
  <r>
    <x v="3"/>
    <x v="3"/>
    <x v="783"/>
    <x v="782"/>
    <n v="0"/>
    <n v="0"/>
    <n v="0"/>
    <n v="0"/>
    <n v="0"/>
    <n v="0"/>
    <n v="0"/>
    <n v="0"/>
    <n v="0"/>
    <n v="0"/>
    <n v="0"/>
    <n v="966"/>
    <n v="0"/>
    <n v="300"/>
    <n v="-152.4"/>
    <n v="115"/>
    <n v="112"/>
    <n v="225.5"/>
    <n v="0"/>
    <n v="0"/>
    <n v="0"/>
    <n v="-112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-0.5"/>
    <n v="-5"/>
    <n v="18.5"/>
    <n v="16.5"/>
    <n v="36.5"/>
    <n v="317.5"/>
    <n v="304.5"/>
    <n v="37.5"/>
    <n v="36.5"/>
    <n v="8.5"/>
    <n v="51"/>
    <x v="2"/>
    <x v="4"/>
    <s v="71550                   "/>
    <x v="10"/>
    <x v="11"/>
    <x v="34"/>
  </r>
  <r>
    <x v="3"/>
    <x v="3"/>
    <x v="784"/>
    <x v="783"/>
    <n v="0"/>
    <n v="0"/>
    <n v="0"/>
    <n v="0"/>
    <n v="0"/>
    <n v="0"/>
    <n v="0"/>
    <n v="0"/>
    <n v="0"/>
    <n v="0"/>
    <n v="0"/>
    <n v="2688"/>
    <n v="0"/>
    <n v="220"/>
    <n v="398"/>
    <n v="180"/>
    <n v="186"/>
    <n v="534"/>
    <n v="0"/>
    <n v="0"/>
    <n v="0"/>
    <n v="-186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00"/>
    <n v="2363"/>
    <n v="3069"/>
    <n v="3781"/>
    <n v="3939"/>
    <n v="5774"/>
    <n v="6913"/>
    <n v="6996"/>
    <n v="3683"/>
    <n v="1523"/>
    <n v="2129"/>
    <n v="2143"/>
    <n v="363"/>
    <n v="240"/>
    <n v="510"/>
    <n v="192"/>
    <n v="546"/>
    <n v="474"/>
    <n v="768"/>
    <n v="531"/>
    <n v="766.98"/>
    <n v="186"/>
    <n v="456"/>
    <n v="240"/>
    <x v="2"/>
    <x v="4"/>
    <s v="71550                   "/>
    <x v="11"/>
    <x v="11"/>
    <x v="37"/>
  </r>
  <r>
    <x v="3"/>
    <x v="3"/>
    <x v="785"/>
    <x v="784"/>
    <n v="0"/>
    <n v="0"/>
    <n v="0"/>
    <n v="0"/>
    <n v="0"/>
    <n v="0"/>
    <n v="0"/>
    <n v="0"/>
    <n v="0"/>
    <n v="0"/>
    <n v="0"/>
    <n v="144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0"/>
    <n v="360"/>
    <n v="0"/>
    <n v="0"/>
    <n v="180"/>
    <n v="0"/>
    <x v="2"/>
    <x v="4"/>
    <s v="71550                   "/>
    <x v="12"/>
    <x v="11"/>
    <x v="33"/>
  </r>
  <r>
    <x v="3"/>
    <x v="3"/>
    <x v="786"/>
    <x v="7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13"/>
    <x v="11"/>
    <x v="33"/>
  </r>
  <r>
    <x v="3"/>
    <x v="3"/>
    <x v="787"/>
    <x v="7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14"/>
    <x v="11"/>
    <x v="33"/>
  </r>
  <r>
    <x v="3"/>
    <x v="3"/>
    <x v="788"/>
    <x v="7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15"/>
    <x v="11"/>
    <x v="33"/>
  </r>
  <r>
    <x v="3"/>
    <x v="3"/>
    <x v="789"/>
    <x v="788"/>
    <n v="0"/>
    <n v="0"/>
    <n v="0"/>
    <n v="0"/>
    <n v="0"/>
    <n v="0"/>
    <n v="0"/>
    <n v="0"/>
    <n v="0"/>
    <n v="0"/>
    <n v="0"/>
    <n v="62"/>
    <n v="0"/>
    <n v="10"/>
    <n v="49.4"/>
    <n v="0"/>
    <n v="20.5"/>
    <n v="85"/>
    <n v="0"/>
    <n v="0"/>
    <n v="0"/>
    <n v="-20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14.5"/>
    <n v="14.5"/>
    <n v="13.5"/>
    <n v="13.5"/>
    <n v="21"/>
    <n v="28"/>
    <n v="11.5"/>
    <n v="12"/>
    <n v="11"/>
    <n v="11"/>
    <x v="2"/>
    <x v="4"/>
    <s v="71550                   "/>
    <x v="16"/>
    <x v="11"/>
    <x v="32"/>
  </r>
  <r>
    <x v="3"/>
    <x v="3"/>
    <x v="790"/>
    <x v="789"/>
    <n v="0"/>
    <n v="0"/>
    <n v="0"/>
    <n v="0"/>
    <n v="0"/>
    <n v="0"/>
    <n v="0"/>
    <n v="0"/>
    <n v="0"/>
    <n v="0"/>
    <n v="0"/>
    <n v="14081"/>
    <n v="0"/>
    <n v="3420"/>
    <n v="720"/>
    <n v="1260"/>
    <n v="720"/>
    <n v="2520"/>
    <n v="0"/>
    <n v="0"/>
    <n v="0"/>
    <n v="-72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270"/>
    <n v="900"/>
    <n v="360"/>
    <n v="360"/>
    <n v="1440"/>
    <n v="1440"/>
    <n v="540"/>
    <n v="360"/>
    <n v="360"/>
    <n v="450"/>
    <n v="360"/>
    <x v="2"/>
    <x v="4"/>
    <s v="71550                   "/>
    <x v="17"/>
    <x v="11"/>
    <x v="38"/>
  </r>
  <r>
    <x v="3"/>
    <x v="3"/>
    <x v="791"/>
    <x v="7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18"/>
    <x v="11"/>
    <x v="33"/>
  </r>
  <r>
    <x v="3"/>
    <x v="3"/>
    <x v="792"/>
    <x v="791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19"/>
    <x v="11"/>
    <x v="33"/>
  </r>
  <r>
    <x v="3"/>
    <x v="3"/>
    <x v="793"/>
    <x v="792"/>
    <n v="0"/>
    <n v="0"/>
    <n v="0"/>
    <n v="0"/>
    <n v="0"/>
    <n v="0"/>
    <n v="0"/>
    <n v="0"/>
    <n v="0"/>
    <n v="0"/>
    <n v="0"/>
    <n v="348"/>
    <n v="0"/>
    <n v="0"/>
    <n v="358.8"/>
    <n v="143"/>
    <n v="37"/>
    <n v="65"/>
    <n v="0"/>
    <n v="0"/>
    <n v="0"/>
    <n v="-37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"/>
    <n v="51"/>
    <n v="40"/>
    <n v="15"/>
    <n v="29.5"/>
    <n v="26"/>
    <n v="27.5"/>
    <n v="53"/>
    <n v="49.5"/>
    <n v="99.5"/>
    <n v="58.5"/>
    <n v="56"/>
    <x v="2"/>
    <x v="4"/>
    <s v="71550                   "/>
    <x v="20"/>
    <x v="11"/>
    <x v="32"/>
  </r>
  <r>
    <x v="3"/>
    <x v="3"/>
    <x v="794"/>
    <x v="793"/>
    <n v="0"/>
    <n v="0"/>
    <n v="0"/>
    <n v="0"/>
    <n v="0"/>
    <n v="0"/>
    <n v="0"/>
    <n v="0"/>
    <n v="0"/>
    <n v="0"/>
    <n v="0"/>
    <n v="144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50                   "/>
    <x v="22"/>
    <x v="11"/>
    <x v="33"/>
  </r>
  <r>
    <x v="3"/>
    <x v="3"/>
    <x v="795"/>
    <x v="794"/>
    <n v="0"/>
    <n v="0"/>
    <n v="0"/>
    <n v="0"/>
    <n v="0"/>
    <n v="0"/>
    <n v="0"/>
    <n v="0"/>
    <n v="0"/>
    <n v="0"/>
    <n v="0"/>
    <n v="42"/>
    <n v="0"/>
    <n v="0"/>
    <n v="0"/>
    <n v="0"/>
    <n v="0"/>
    <n v="0.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n v="0"/>
    <n v="0"/>
    <n v="0"/>
    <n v="0"/>
    <n v="0"/>
    <n v="0"/>
    <n v="0"/>
    <x v="2"/>
    <x v="4"/>
    <s v="71550                   "/>
    <x v="23"/>
    <x v="11"/>
    <x v="34"/>
  </r>
  <r>
    <x v="3"/>
    <x v="3"/>
    <x v="796"/>
    <x v="7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3"/>
    <n v="1.33"/>
    <n v="1.33"/>
    <n v="1.33"/>
    <n v="1.33"/>
    <n v="1.33"/>
    <n v="1.33"/>
    <n v="1.33"/>
    <n v="1.33"/>
    <n v="1.33"/>
    <n v="1.33"/>
    <n v="1.33"/>
    <x v="2"/>
    <x v="4"/>
    <s v="71550                   "/>
    <x v="24"/>
    <x v="11"/>
    <x v="34"/>
  </r>
  <r>
    <x v="3"/>
    <x v="3"/>
    <x v="797"/>
    <x v="796"/>
    <n v="0"/>
    <n v="0"/>
    <n v="0"/>
    <n v="0"/>
    <n v="0"/>
    <n v="0"/>
    <n v="0"/>
    <n v="0"/>
    <n v="0"/>
    <n v="0"/>
    <n v="0"/>
    <n v="0"/>
    <n v="32.25"/>
    <n v="20.82"/>
    <n v="46.82"/>
    <n v="0"/>
    <n v="212.34"/>
    <n v="55.99"/>
    <n v="0"/>
    <n v="86.33"/>
    <n v="0"/>
    <n v="0"/>
    <n v="0"/>
    <n v="959.89"/>
    <n v="152.22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6.7"/>
    <n v="196.7"/>
    <n v="196.7"/>
    <n v="196.7"/>
    <n v="196.7"/>
    <n v="246.7"/>
    <n v="201.7"/>
    <n v="246.7"/>
    <n v="246.7"/>
    <n v="246.7"/>
    <n v="246.7"/>
    <n v="246.7"/>
    <n v="75"/>
    <n v="75"/>
    <n v="75"/>
    <n v="75"/>
    <n v="75"/>
    <n v="75"/>
    <n v="75"/>
    <n v="75"/>
    <n v="75"/>
    <n v="75"/>
    <n v="75"/>
    <n v="75"/>
    <x v="2"/>
    <x v="4"/>
    <s v="71570                   "/>
    <x v="1"/>
    <x v="2"/>
    <x v="39"/>
  </r>
  <r>
    <x v="3"/>
    <x v="3"/>
    <x v="798"/>
    <x v="7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71570                   "/>
    <x v="12"/>
    <x v="1"/>
    <x v="33"/>
  </r>
  <r>
    <x v="3"/>
    <x v="3"/>
    <x v="799"/>
    <x v="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71570                   "/>
    <x v="12"/>
    <x v="11"/>
    <x v="33"/>
  </r>
  <r>
    <x v="3"/>
    <x v="3"/>
    <x v="800"/>
    <x v="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71570                   "/>
    <x v="12"/>
    <x v="12"/>
    <x v="33"/>
  </r>
  <r>
    <x v="3"/>
    <x v="3"/>
    <x v="801"/>
    <x v="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70                   "/>
    <x v="12"/>
    <x v="13"/>
    <x v="33"/>
  </r>
  <r>
    <x v="3"/>
    <x v="3"/>
    <x v="802"/>
    <x v="801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-30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3000"/>
    <n v="0"/>
    <n v="0"/>
    <n v="0"/>
    <n v="0"/>
    <n v="0"/>
    <n v="0"/>
    <n v="0"/>
    <n v="0"/>
    <n v="120"/>
    <n v="0"/>
    <n v="0"/>
    <x v="3"/>
    <x v="4"/>
    <s v="71810                   "/>
    <x v="1"/>
    <x v="2"/>
    <x v="32"/>
  </r>
  <r>
    <x v="3"/>
    <x v="3"/>
    <x v="802"/>
    <x v="801"/>
    <n v="0"/>
    <n v="0"/>
    <n v="0"/>
    <n v="0"/>
    <n v="0"/>
    <n v="0"/>
    <n v="0"/>
    <n v="0"/>
    <n v="0"/>
    <n v="0"/>
    <n v="0"/>
    <n v="0"/>
    <n v="4000"/>
    <n v="0"/>
    <n v="0"/>
    <n v="0"/>
    <n v="88.5"/>
    <n v="0"/>
    <n v="0"/>
    <n v="67.31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0"/>
    <n v="0"/>
    <n v="0"/>
    <n v="88.5"/>
    <n v="0"/>
    <n v="0"/>
    <n v="67.31"/>
    <n v="0"/>
    <n v="0"/>
    <n v="0"/>
    <n v="0"/>
    <x v="2"/>
    <x v="4"/>
    <s v="71810                   "/>
    <x v="1"/>
    <x v="2"/>
    <x v="32"/>
  </r>
  <r>
    <x v="3"/>
    <x v="3"/>
    <x v="803"/>
    <x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2092.75"/>
    <n v="-6412.7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00                   "/>
    <x v="4"/>
    <x v="2"/>
    <x v="40"/>
  </r>
  <r>
    <x v="3"/>
    <x v="3"/>
    <x v="804"/>
    <x v="803"/>
    <n v="0"/>
    <n v="0"/>
    <n v="0"/>
    <n v="0"/>
    <n v="0"/>
    <n v="0"/>
    <n v="0"/>
    <n v="0"/>
    <n v="0"/>
    <n v="0"/>
    <n v="0"/>
    <n v="0"/>
    <n v="0"/>
    <n v="0"/>
    <n v="799"/>
    <n v="0"/>
    <n v="3300"/>
    <n v="0"/>
    <n v="0"/>
    <n v="0"/>
    <n v="0"/>
    <n v="0"/>
    <n v="819"/>
    <n v="-2481"/>
    <n v="-73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400"/>
    <n v="0"/>
    <n v="3306"/>
    <n v="0"/>
    <n v="0"/>
    <n v="0"/>
    <n v="0"/>
    <n v="0"/>
    <n v="98"/>
    <n v="0"/>
    <n v="0"/>
    <n v="0"/>
    <n v="799"/>
    <n v="0"/>
    <n v="3300"/>
    <n v="0"/>
    <n v="0"/>
    <n v="0"/>
    <n v="0"/>
    <n v="0"/>
    <n v="49"/>
    <n v="0"/>
    <x v="3"/>
    <x v="4"/>
    <s v="81100                   "/>
    <x v="20"/>
    <x v="2"/>
    <x v="32"/>
  </r>
  <r>
    <x v="3"/>
    <x v="3"/>
    <x v="804"/>
    <x v="803"/>
    <n v="4275"/>
    <n v="1018.51"/>
    <n v="447.53"/>
    <n v="6028.08"/>
    <n v="145"/>
    <n v="488"/>
    <n v="385"/>
    <n v="2284"/>
    <n v="1197"/>
    <n v="32.1"/>
    <n v="1683"/>
    <n v="185"/>
    <n v="349.58"/>
    <n v="511.76"/>
    <n v="2163"/>
    <n v="451.08"/>
    <n v="241.21"/>
    <n v="669.65"/>
    <n v="117.99"/>
    <n v="2651.01"/>
    <n v="548.15"/>
    <n v="74.760000000000005"/>
    <n v="1029.5899999999999"/>
    <n v="1431.11"/>
    <n v="162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60.5"/>
    <n v="1038.8800000000001"/>
    <n v="456.48"/>
    <n v="6148.64"/>
    <n v="147.9"/>
    <n v="497.76"/>
    <n v="392.7"/>
    <n v="2329.6799999999998"/>
    <n v="1220.94"/>
    <n v="32.74"/>
    <n v="1716.66"/>
    <n v="188.7"/>
    <n v="436.98"/>
    <n v="639.70000000000005"/>
    <n v="2703.75"/>
    <n v="563.85"/>
    <n v="10301.51"/>
    <n v="837.06"/>
    <n v="147.49"/>
    <n v="3313.76"/>
    <n v="1496.25"/>
    <n v="40"/>
    <n v="2103.75"/>
    <n v="231.25"/>
    <x v="2"/>
    <x v="4"/>
    <s v="81100                   "/>
    <x v="20"/>
    <x v="2"/>
    <x v="32"/>
  </r>
  <r>
    <x v="3"/>
    <x v="3"/>
    <x v="805"/>
    <x v="804"/>
    <n v="0"/>
    <n v="0"/>
    <n v="0"/>
    <n v="0"/>
    <n v="0"/>
    <n v="0"/>
    <n v="0"/>
    <n v="0"/>
    <n v="0"/>
    <n v="0"/>
    <n v="0"/>
    <n v="0"/>
    <n v="0"/>
    <n v="535.94000000000005"/>
    <n v="187.5"/>
    <n v="0"/>
    <n v="54.48"/>
    <n v="0"/>
    <n v="187.5"/>
    <n v="0"/>
    <n v="25"/>
    <n v="25"/>
    <n v="0"/>
    <n v="50"/>
    <n v="331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6.33000000000004"/>
    <n v="215.63"/>
    <n v="0"/>
    <n v="62.65"/>
    <n v="0"/>
    <n v="215.63"/>
    <n v="0"/>
    <n v="0"/>
    <n v="0"/>
    <n v="0"/>
    <n v="0"/>
    <x v="2"/>
    <x v="4"/>
    <s v="81100                   "/>
    <x v="23"/>
    <x v="2"/>
    <x v="32"/>
  </r>
  <r>
    <x v="3"/>
    <x v="3"/>
    <x v="806"/>
    <x v="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5"/>
    <x v="3"/>
    <x v="33"/>
  </r>
  <r>
    <x v="3"/>
    <x v="3"/>
    <x v="807"/>
    <x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110                   "/>
    <x v="8"/>
    <x v="3"/>
    <x v="36"/>
  </r>
  <r>
    <x v="3"/>
    <x v="3"/>
    <x v="807"/>
    <x v="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4"/>
    <s v="81110                   "/>
    <x v="8"/>
    <x v="3"/>
    <x v="36"/>
  </r>
  <r>
    <x v="3"/>
    <x v="3"/>
    <x v="807"/>
    <x v="806"/>
    <n v="0"/>
    <n v="60"/>
    <n v="0"/>
    <n v="0"/>
    <n v="0"/>
    <n v="0"/>
    <n v="0"/>
    <n v="0"/>
    <n v="0"/>
    <n v="0"/>
    <n v="13.89"/>
    <n v="0"/>
    <n v="0"/>
    <n v="0"/>
    <n v="0"/>
    <n v="6.15"/>
    <n v="0"/>
    <n v="0"/>
    <n v="0"/>
    <n v="-19.53"/>
    <n v="19.53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5"/>
    <n v="0"/>
    <n v="0"/>
    <n v="0"/>
    <n v="-19.53"/>
    <n v="0"/>
    <n v="0"/>
    <n v="14"/>
    <n v="0"/>
    <x v="2"/>
    <x v="4"/>
    <s v="81110                   "/>
    <x v="8"/>
    <x v="3"/>
    <x v="36"/>
  </r>
  <r>
    <x v="3"/>
    <x v="3"/>
    <x v="807"/>
    <x v="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8"/>
    <x v="3"/>
    <x v="36"/>
  </r>
  <r>
    <x v="3"/>
    <x v="3"/>
    <x v="807"/>
    <x v="8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8"/>
    <x v="3"/>
    <x v="2"/>
  </r>
  <r>
    <x v="3"/>
    <x v="3"/>
    <x v="808"/>
    <x v="8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x v="2"/>
    <x v="4"/>
    <s v="81110                   "/>
    <x v="8"/>
    <x v="1"/>
    <x v="36"/>
  </r>
  <r>
    <x v="3"/>
    <x v="3"/>
    <x v="809"/>
    <x v="810"/>
    <n v="0"/>
    <n v="0"/>
    <n v="0"/>
    <n v="0"/>
    <n v="0"/>
    <n v="0"/>
    <n v="0"/>
    <n v="0"/>
    <n v="0"/>
    <n v="0"/>
    <n v="0"/>
    <n v="0"/>
    <n v="0"/>
    <n v="0"/>
    <n v="920.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.440000000000001"/>
    <n v="164.11"/>
    <n v="0"/>
    <n v="44.87"/>
    <n v="0"/>
    <n v="197.33"/>
    <n v="58.5"/>
    <n v="0"/>
    <n v="0"/>
    <n v="0"/>
    <n v="0"/>
    <n v="70.83"/>
    <n v="0"/>
    <n v="0"/>
    <n v="920.8"/>
    <n v="0"/>
    <n v="0"/>
    <n v="0"/>
    <n v="0"/>
    <n v="0"/>
    <n v="0"/>
    <n v="0"/>
    <n v="0"/>
    <n v="0"/>
    <x v="2"/>
    <x v="4"/>
    <s v="81110                   "/>
    <x v="8"/>
    <x v="7"/>
    <x v="36"/>
  </r>
  <r>
    <x v="3"/>
    <x v="3"/>
    <x v="810"/>
    <x v="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.68"/>
    <n v="22.64"/>
    <n v="0"/>
    <n v="6.19"/>
    <n v="0"/>
    <n v="27.22"/>
    <n v="8.07"/>
    <n v="0"/>
    <n v="0"/>
    <n v="0"/>
    <n v="0"/>
    <n v="9.77"/>
    <n v="0"/>
    <n v="0"/>
    <n v="0"/>
    <n v="0"/>
    <n v="0"/>
    <n v="0"/>
    <n v="0"/>
    <n v="0"/>
    <n v="0"/>
    <n v="0"/>
    <n v="0"/>
    <n v="0"/>
    <x v="2"/>
    <x v="4"/>
    <s v="81110                   "/>
    <x v="8"/>
    <x v="8"/>
    <x v="36"/>
  </r>
  <r>
    <x v="3"/>
    <x v="3"/>
    <x v="811"/>
    <x v="812"/>
    <n v="0"/>
    <n v="60"/>
    <n v="0"/>
    <n v="0"/>
    <n v="0"/>
    <n v="0"/>
    <n v="0"/>
    <n v="0"/>
    <n v="0"/>
    <n v="0"/>
    <n v="0"/>
    <n v="0"/>
    <n v="0"/>
    <n v="0"/>
    <n v="920.8"/>
    <n v="24.79"/>
    <n v="0"/>
    <n v="0"/>
    <n v="15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9.36000000000001"/>
    <n v="1176.71"/>
    <n v="0"/>
    <n v="321.73"/>
    <n v="0"/>
    <n v="1714.89"/>
    <n v="419.49"/>
    <n v="0"/>
    <n v="0"/>
    <n v="0"/>
    <n v="0"/>
    <n v="1407.83"/>
    <n v="0"/>
    <n v="0"/>
    <n v="920.8"/>
    <n v="24.79"/>
    <n v="0"/>
    <n v="0"/>
    <n v="150"/>
    <n v="0"/>
    <n v="0"/>
    <n v="0"/>
    <n v="0"/>
    <n v="0"/>
    <x v="2"/>
    <x v="4"/>
    <s v="81110                   "/>
    <x v="8"/>
    <x v="12"/>
    <x v="36"/>
  </r>
  <r>
    <x v="3"/>
    <x v="3"/>
    <x v="812"/>
    <x v="8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8"/>
    <x v="13"/>
    <x v="36"/>
  </r>
  <r>
    <x v="3"/>
    <x v="3"/>
    <x v="813"/>
    <x v="814"/>
    <n v="0"/>
    <n v="0"/>
    <n v="382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7.51"/>
    <n v="316.77"/>
    <n v="0"/>
    <n v="86.61"/>
    <n v="0"/>
    <n v="474.39"/>
    <n v="912.93"/>
    <n v="0"/>
    <n v="0"/>
    <n v="0"/>
    <n v="0"/>
    <n v="136.71"/>
    <n v="0"/>
    <n v="0"/>
    <n v="0"/>
    <n v="0"/>
    <n v="0"/>
    <n v="0"/>
    <n v="0"/>
    <n v="0"/>
    <n v="0"/>
    <n v="0"/>
    <n v="0"/>
    <n v="0"/>
    <x v="2"/>
    <x v="4"/>
    <s v="81110                   "/>
    <x v="8"/>
    <x v="14"/>
    <x v="36"/>
  </r>
  <r>
    <x v="3"/>
    <x v="3"/>
    <x v="814"/>
    <x v="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20"/>
    <n v="0"/>
    <n v="0"/>
    <n v="0"/>
    <n v="241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8"/>
    <x v="16"/>
    <x v="36"/>
  </r>
  <r>
    <x v="3"/>
    <x v="3"/>
    <x v="815"/>
    <x v="816"/>
    <n v="467.58"/>
    <n v="0"/>
    <n v="0"/>
    <n v="0"/>
    <n v="541.97"/>
    <n v="398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2"/>
    <x v="1"/>
    <x v="33"/>
  </r>
  <r>
    <x v="3"/>
    <x v="3"/>
    <x v="816"/>
    <x v="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2"/>
    <x v="8"/>
    <x v="33"/>
  </r>
  <r>
    <x v="3"/>
    <x v="3"/>
    <x v="817"/>
    <x v="818"/>
    <n v="0"/>
    <n v="0"/>
    <n v="0"/>
    <n v="0"/>
    <n v="686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2"/>
    <x v="9"/>
    <x v="33"/>
  </r>
  <r>
    <x v="3"/>
    <x v="3"/>
    <x v="818"/>
    <x v="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2"/>
    <x v="13"/>
    <x v="33"/>
  </r>
  <r>
    <x v="3"/>
    <x v="3"/>
    <x v="819"/>
    <x v="820"/>
    <n v="0"/>
    <n v="5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4"/>
    <x v="3"/>
    <x v="33"/>
  </r>
  <r>
    <x v="3"/>
    <x v="3"/>
    <x v="820"/>
    <x v="821"/>
    <n v="0"/>
    <n v="0"/>
    <n v="0"/>
    <n v="35.15"/>
    <n v="0"/>
    <n v="0"/>
    <n v="0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4"/>
    <x v="1"/>
    <x v="33"/>
  </r>
  <r>
    <x v="3"/>
    <x v="3"/>
    <x v="821"/>
    <x v="822"/>
    <n v="0"/>
    <n v="0"/>
    <n v="7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4"/>
    <x v="8"/>
    <x v="33"/>
  </r>
  <r>
    <x v="3"/>
    <x v="3"/>
    <x v="822"/>
    <x v="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4"/>
    <x v="13"/>
    <x v="33"/>
  </r>
  <r>
    <x v="3"/>
    <x v="3"/>
    <x v="823"/>
    <x v="824"/>
    <n v="0"/>
    <n v="0"/>
    <n v="0"/>
    <n v="0"/>
    <n v="0"/>
    <n v="9.26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5"/>
    <x v="3"/>
    <x v="33"/>
  </r>
  <r>
    <x v="3"/>
    <x v="3"/>
    <x v="824"/>
    <x v="8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5"/>
    <x v="1"/>
    <x v="33"/>
  </r>
  <r>
    <x v="3"/>
    <x v="3"/>
    <x v="825"/>
    <x v="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5"/>
    <x v="13"/>
    <x v="33"/>
  </r>
  <r>
    <x v="3"/>
    <x v="3"/>
    <x v="826"/>
    <x v="8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3"/>
    <x v="38"/>
  </r>
  <r>
    <x v="3"/>
    <x v="3"/>
    <x v="827"/>
    <x v="828"/>
    <n v="0"/>
    <n v="0"/>
    <n v="0"/>
    <n v="0"/>
    <n v="0"/>
    <n v="0"/>
    <n v="0"/>
    <n v="0"/>
    <n v="0"/>
    <n v="0"/>
    <n v="0"/>
    <n v="0"/>
    <n v="0"/>
    <n v="0"/>
    <n v="0"/>
    <n v="20.5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1"/>
    <x v="38"/>
  </r>
  <r>
    <x v="3"/>
    <x v="3"/>
    <x v="828"/>
    <x v="829"/>
    <n v="0"/>
    <n v="0"/>
    <n v="0"/>
    <n v="0"/>
    <n v="0"/>
    <n v="0"/>
    <n v="0"/>
    <n v="0"/>
    <n v="0"/>
    <n v="214.52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110                   "/>
    <x v="17"/>
    <x v="8"/>
    <x v="38"/>
  </r>
  <r>
    <x v="3"/>
    <x v="3"/>
    <x v="829"/>
    <x v="8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x v="2"/>
    <x v="4"/>
    <s v="81110                   "/>
    <x v="17"/>
    <x v="9"/>
    <x v="38"/>
  </r>
  <r>
    <x v="3"/>
    <x v="3"/>
    <x v="830"/>
    <x v="8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10"/>
    <x v="38"/>
  </r>
  <r>
    <x v="3"/>
    <x v="3"/>
    <x v="831"/>
    <x v="832"/>
    <n v="0"/>
    <n v="0"/>
    <n v="0"/>
    <n v="0"/>
    <n v="0"/>
    <n v="0"/>
    <n v="0"/>
    <n v="0"/>
    <n v="0"/>
    <n v="2274.84"/>
    <n v="0"/>
    <n v="0"/>
    <n v="250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12"/>
    <x v="38"/>
  </r>
  <r>
    <x v="3"/>
    <x v="3"/>
    <x v="832"/>
    <x v="8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13"/>
    <x v="38"/>
  </r>
  <r>
    <x v="3"/>
    <x v="3"/>
    <x v="833"/>
    <x v="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7"/>
    <x v="17"/>
    <x v="38"/>
  </r>
  <r>
    <x v="3"/>
    <x v="3"/>
    <x v="834"/>
    <x v="835"/>
    <n v="0"/>
    <n v="0"/>
    <n v="0"/>
    <n v="0"/>
    <n v="0"/>
    <n v="0"/>
    <n v="0"/>
    <n v="0"/>
    <n v="485.91"/>
    <n v="0"/>
    <n v="0"/>
    <n v="-485.91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19"/>
    <x v="3"/>
    <x v="33"/>
  </r>
  <r>
    <x v="3"/>
    <x v="3"/>
    <x v="835"/>
    <x v="836"/>
    <n v="0"/>
    <n v="0"/>
    <n v="0"/>
    <n v="0"/>
    <n v="0"/>
    <n v="0"/>
    <n v="0"/>
    <n v="0"/>
    <n v="0"/>
    <n v="0"/>
    <n v="73.5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10                   "/>
    <x v="22"/>
    <x v="11"/>
    <x v="33"/>
  </r>
  <r>
    <x v="3"/>
    <x v="3"/>
    <x v="836"/>
    <x v="8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2"/>
    <x v="10"/>
    <x v="33"/>
  </r>
  <r>
    <x v="3"/>
    <x v="3"/>
    <x v="837"/>
    <x v="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2"/>
    <x v="12"/>
    <x v="33"/>
  </r>
  <r>
    <x v="3"/>
    <x v="3"/>
    <x v="838"/>
    <x v="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120                   "/>
    <x v="8"/>
    <x v="3"/>
    <x v="36"/>
  </r>
  <r>
    <x v="3"/>
    <x v="3"/>
    <x v="838"/>
    <x v="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8"/>
    <x v="3"/>
    <x v="36"/>
  </r>
  <r>
    <x v="3"/>
    <x v="3"/>
    <x v="838"/>
    <x v="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8"/>
    <x v="3"/>
    <x v="36"/>
  </r>
  <r>
    <x v="3"/>
    <x v="3"/>
    <x v="839"/>
    <x v="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0"/>
    <n v="0"/>
    <n v="0"/>
    <n v="0"/>
    <n v="0"/>
    <n v="0"/>
    <n v="2000"/>
    <n v="0"/>
    <n v="0"/>
    <n v="0"/>
    <n v="0"/>
    <n v="0"/>
    <x v="2"/>
    <x v="4"/>
    <s v="81120                   "/>
    <x v="11"/>
    <x v="3"/>
    <x v="37"/>
  </r>
  <r>
    <x v="3"/>
    <x v="3"/>
    <x v="840"/>
    <x v="842"/>
    <n v="0"/>
    <n v="0"/>
    <n v="0"/>
    <n v="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"/>
    <x v="2"/>
    <x v="4"/>
    <s v="81120                   "/>
    <x v="11"/>
    <x v="4"/>
    <x v="37"/>
  </r>
  <r>
    <x v="3"/>
    <x v="3"/>
    <x v="841"/>
    <x v="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120                   "/>
    <x v="11"/>
    <x v="1"/>
    <x v="37"/>
  </r>
  <r>
    <x v="3"/>
    <x v="3"/>
    <x v="842"/>
    <x v="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120                   "/>
    <x v="11"/>
    <x v="8"/>
    <x v="37"/>
  </r>
  <r>
    <x v="3"/>
    <x v="3"/>
    <x v="843"/>
    <x v="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1"/>
    <x v="9"/>
    <x v="37"/>
  </r>
  <r>
    <x v="3"/>
    <x v="3"/>
    <x v="844"/>
    <x v="8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"/>
    <x v="2"/>
    <x v="4"/>
    <s v="81120                   "/>
    <x v="11"/>
    <x v="11"/>
    <x v="37"/>
  </r>
  <r>
    <x v="3"/>
    <x v="3"/>
    <x v="845"/>
    <x v="8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1"/>
    <x v="12"/>
    <x v="37"/>
  </r>
  <r>
    <x v="3"/>
    <x v="3"/>
    <x v="846"/>
    <x v="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1"/>
    <x v="13"/>
    <x v="37"/>
  </r>
  <r>
    <x v="3"/>
    <x v="3"/>
    <x v="847"/>
    <x v="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120                   "/>
    <x v="11"/>
    <x v="15"/>
    <x v="37"/>
  </r>
  <r>
    <x v="3"/>
    <x v="3"/>
    <x v="848"/>
    <x v="850"/>
    <n v="0"/>
    <n v="0"/>
    <n v="0"/>
    <n v="0"/>
    <n v="0"/>
    <n v="0"/>
    <n v="18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3"/>
    <x v="3"/>
    <x v="33"/>
  </r>
  <r>
    <x v="3"/>
    <x v="3"/>
    <x v="849"/>
    <x v="851"/>
    <n v="0"/>
    <n v="0"/>
    <n v="0"/>
    <n v="0"/>
    <n v="0"/>
    <n v="0"/>
    <n v="31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x v="2"/>
    <x v="4"/>
    <s v="81120                   "/>
    <x v="17"/>
    <x v="3"/>
    <x v="38"/>
  </r>
  <r>
    <x v="3"/>
    <x v="3"/>
    <x v="850"/>
    <x v="852"/>
    <n v="0"/>
    <n v="0"/>
    <n v="0"/>
    <n v="0"/>
    <n v="0"/>
    <n v="0"/>
    <n v="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0"/>
    <x v="38"/>
  </r>
  <r>
    <x v="3"/>
    <x v="3"/>
    <x v="851"/>
    <x v="853"/>
    <n v="0"/>
    <n v="0"/>
    <n v="0"/>
    <n v="0"/>
    <n v="0"/>
    <n v="150"/>
    <n v="1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"/>
    <x v="38"/>
  </r>
  <r>
    <x v="3"/>
    <x v="3"/>
    <x v="852"/>
    <x v="854"/>
    <n v="0"/>
    <n v="0"/>
    <n v="0"/>
    <n v="112.5"/>
    <n v="0"/>
    <n v="0"/>
    <n v="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8"/>
    <x v="38"/>
  </r>
  <r>
    <x v="3"/>
    <x v="3"/>
    <x v="853"/>
    <x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0"/>
    <n v="0"/>
    <n v="0"/>
    <n v="0"/>
    <x v="2"/>
    <x v="4"/>
    <s v="81120                   "/>
    <x v="17"/>
    <x v="9"/>
    <x v="38"/>
  </r>
  <r>
    <x v="3"/>
    <x v="3"/>
    <x v="854"/>
    <x v="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0"/>
    <x v="38"/>
  </r>
  <r>
    <x v="3"/>
    <x v="3"/>
    <x v="855"/>
    <x v="857"/>
    <n v="0"/>
    <n v="0"/>
    <n v="0"/>
    <n v="0"/>
    <n v="0"/>
    <n v="0"/>
    <n v="6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1"/>
    <x v="38"/>
  </r>
  <r>
    <x v="3"/>
    <x v="3"/>
    <x v="856"/>
    <x v="858"/>
    <n v="0"/>
    <n v="0"/>
    <n v="0"/>
    <n v="0"/>
    <n v="0"/>
    <n v="0"/>
    <n v="5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2"/>
    <x v="38"/>
  </r>
  <r>
    <x v="3"/>
    <x v="3"/>
    <x v="857"/>
    <x v="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3"/>
    <x v="38"/>
  </r>
  <r>
    <x v="3"/>
    <x v="3"/>
    <x v="858"/>
    <x v="860"/>
    <n v="0"/>
    <n v="0"/>
    <n v="5000"/>
    <n v="11180"/>
    <n v="0"/>
    <n v="8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20                   "/>
    <x v="17"/>
    <x v="15"/>
    <x v="38"/>
  </r>
  <r>
    <x v="3"/>
    <x v="3"/>
    <x v="859"/>
    <x v="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89.64"/>
    <n v="107.57"/>
    <n v="179.28"/>
    <n v="215.14"/>
    <n v="268.92"/>
    <n v="304.77999999999997"/>
    <n v="179.28"/>
    <n v="89.64"/>
    <n v="179.28"/>
    <n v="179.28"/>
    <n v="0"/>
    <n v="0"/>
    <n v="0"/>
    <n v="0"/>
    <n v="0"/>
    <n v="0"/>
    <n v="0"/>
    <n v="0"/>
    <n v="0"/>
    <n v="0"/>
    <n v="0"/>
    <n v="0"/>
    <x v="2"/>
    <x v="4"/>
    <s v="81130                   "/>
    <x v="11"/>
    <x v="3"/>
    <x v="37"/>
  </r>
  <r>
    <x v="3"/>
    <x v="3"/>
    <x v="860"/>
    <x v="862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1"/>
    <x v="37"/>
  </r>
  <r>
    <x v="3"/>
    <x v="3"/>
    <x v="861"/>
    <x v="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6.98"/>
    <n v="32.380000000000003"/>
    <n v="53.96"/>
    <n v="64.760000000000005"/>
    <n v="80.95"/>
    <n v="91.74"/>
    <n v="53.96"/>
    <n v="26.98"/>
    <n v="53.96"/>
    <n v="53.96"/>
    <n v="0"/>
    <n v="0"/>
    <n v="0"/>
    <n v="0"/>
    <n v="0"/>
    <n v="0"/>
    <n v="0"/>
    <n v="0"/>
    <n v="0"/>
    <n v="0"/>
    <n v="0"/>
    <n v="0"/>
    <x v="2"/>
    <x v="4"/>
    <s v="81130                   "/>
    <x v="11"/>
    <x v="8"/>
    <x v="37"/>
  </r>
  <r>
    <x v="3"/>
    <x v="3"/>
    <x v="862"/>
    <x v="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9"/>
    <x v="37"/>
  </r>
  <r>
    <x v="3"/>
    <x v="3"/>
    <x v="863"/>
    <x v="8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10"/>
    <x v="37"/>
  </r>
  <r>
    <x v="3"/>
    <x v="3"/>
    <x v="864"/>
    <x v="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67"/>
    <n v="79"/>
    <n v="132"/>
    <n v="158"/>
    <n v="198"/>
    <n v="225"/>
    <n v="132"/>
    <n v="67"/>
    <n v="132"/>
    <n v="132"/>
    <n v="0"/>
    <n v="0"/>
    <n v="0"/>
    <n v="0"/>
    <n v="0"/>
    <n v="0"/>
    <n v="0"/>
    <n v="0"/>
    <n v="0"/>
    <n v="0"/>
    <n v="0"/>
    <n v="0"/>
    <x v="2"/>
    <x v="4"/>
    <s v="81130                   "/>
    <x v="11"/>
    <x v="11"/>
    <x v="37"/>
  </r>
  <r>
    <x v="3"/>
    <x v="3"/>
    <x v="865"/>
    <x v="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12"/>
    <x v="37"/>
  </r>
  <r>
    <x v="3"/>
    <x v="3"/>
    <x v="866"/>
    <x v="8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13"/>
    <x v="37"/>
  </r>
  <r>
    <x v="3"/>
    <x v="3"/>
    <x v="867"/>
    <x v="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1"/>
    <x v="17"/>
    <x v="37"/>
  </r>
  <r>
    <x v="3"/>
    <x v="3"/>
    <x v="868"/>
    <x v="870"/>
    <n v="0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4"/>
    <x v="3"/>
    <x v="33"/>
  </r>
  <r>
    <x v="3"/>
    <x v="3"/>
    <x v="869"/>
    <x v="871"/>
    <n v="0"/>
    <n v="0"/>
    <n v="0"/>
    <n v="0"/>
    <n v="0"/>
    <n v="0"/>
    <n v="0"/>
    <n v="0"/>
    <n v="0"/>
    <n v="0"/>
    <n v="0"/>
    <n v="0"/>
    <n v="0"/>
    <n v="0"/>
    <n v="118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10000"/>
    <n v="0"/>
    <n v="0"/>
    <n v="0"/>
    <n v="0"/>
    <n v="0"/>
    <n v="0"/>
    <x v="2"/>
    <x v="4"/>
    <s v="81130                   "/>
    <x v="17"/>
    <x v="3"/>
    <x v="38"/>
  </r>
  <r>
    <x v="3"/>
    <x v="3"/>
    <x v="870"/>
    <x v="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0"/>
    <x v="38"/>
  </r>
  <r>
    <x v="3"/>
    <x v="3"/>
    <x v="871"/>
    <x v="873"/>
    <n v="0"/>
    <n v="0"/>
    <n v="0"/>
    <n v="0"/>
    <n v="0"/>
    <n v="2719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"/>
    <x v="38"/>
  </r>
  <r>
    <x v="3"/>
    <x v="3"/>
    <x v="872"/>
    <x v="874"/>
    <n v="0"/>
    <n v="0"/>
    <n v="0"/>
    <n v="0"/>
    <n v="0"/>
    <n v="0"/>
    <n v="0"/>
    <n v="0"/>
    <n v="0"/>
    <n v="0"/>
    <n v="0"/>
    <n v="0"/>
    <n v="0"/>
    <n v="0"/>
    <n v="118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0"/>
    <n v="0"/>
    <n v="0"/>
    <n v="0"/>
    <n v="0"/>
    <x v="2"/>
    <x v="4"/>
    <s v="81130                   "/>
    <x v="17"/>
    <x v="8"/>
    <x v="38"/>
  </r>
  <r>
    <x v="3"/>
    <x v="3"/>
    <x v="873"/>
    <x v="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x v="2"/>
    <x v="4"/>
    <s v="81130                   "/>
    <x v="17"/>
    <x v="9"/>
    <x v="38"/>
  </r>
  <r>
    <x v="3"/>
    <x v="3"/>
    <x v="874"/>
    <x v="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0"/>
    <x v="38"/>
  </r>
  <r>
    <x v="3"/>
    <x v="3"/>
    <x v="875"/>
    <x v="877"/>
    <n v="0"/>
    <n v="0"/>
    <n v="0"/>
    <n v="0"/>
    <n v="0"/>
    <n v="5121.8999999999996"/>
    <n v="2800"/>
    <n v="5121.8999999999996"/>
    <n v="0"/>
    <n v="0"/>
    <n v="3893.4"/>
    <n v="0"/>
    <n v="0"/>
    <n v="650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500"/>
    <n v="0"/>
    <n v="0"/>
    <n v="0"/>
    <n v="5000"/>
    <n v="22000"/>
    <n v="0"/>
    <n v="0"/>
    <n v="0"/>
    <n v="450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1"/>
    <x v="38"/>
  </r>
  <r>
    <x v="3"/>
    <x v="3"/>
    <x v="876"/>
    <x v="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x v="2"/>
    <x v="4"/>
    <s v="81130                   "/>
    <x v="17"/>
    <x v="12"/>
    <x v="38"/>
  </r>
  <r>
    <x v="3"/>
    <x v="3"/>
    <x v="877"/>
    <x v="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3"/>
    <x v="38"/>
  </r>
  <r>
    <x v="3"/>
    <x v="3"/>
    <x v="878"/>
    <x v="880"/>
    <n v="0"/>
    <n v="0"/>
    <n v="6000"/>
    <n v="28046.25"/>
    <n v="3054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5"/>
    <x v="38"/>
  </r>
  <r>
    <x v="3"/>
    <x v="3"/>
    <x v="879"/>
    <x v="8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17"/>
    <x v="17"/>
    <x v="38"/>
  </r>
  <r>
    <x v="3"/>
    <x v="3"/>
    <x v="880"/>
    <x v="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30                   "/>
    <x v="22"/>
    <x v="11"/>
    <x v="33"/>
  </r>
  <r>
    <x v="3"/>
    <x v="3"/>
    <x v="881"/>
    <x v="883"/>
    <n v="0"/>
    <n v="0"/>
    <n v="0"/>
    <n v="0"/>
    <n v="0"/>
    <n v="0"/>
    <n v="7.52"/>
    <n v="0"/>
    <n v="0"/>
    <n v="0"/>
    <n v="7.39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2"/>
    <x v="0"/>
    <x v="33"/>
  </r>
  <r>
    <x v="3"/>
    <x v="3"/>
    <x v="882"/>
    <x v="8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2"/>
    <x v="12"/>
    <x v="33"/>
  </r>
  <r>
    <x v="3"/>
    <x v="3"/>
    <x v="883"/>
    <x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5"/>
    <x v="8"/>
    <x v="33"/>
  </r>
  <r>
    <x v="3"/>
    <x v="3"/>
    <x v="884"/>
    <x v="886"/>
    <n v="79.6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5"/>
    <x v="10"/>
    <x v="33"/>
  </r>
  <r>
    <x v="3"/>
    <x v="3"/>
    <x v="885"/>
    <x v="887"/>
    <n v="0"/>
    <n v="0"/>
    <n v="0"/>
    <n v="0"/>
    <n v="0"/>
    <n v="0"/>
    <n v="0"/>
    <n v="0"/>
    <n v="0"/>
    <n v="0"/>
    <n v="0"/>
    <n v="0"/>
    <n v="27.78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x v="2"/>
    <x v="4"/>
    <s v="81140                   "/>
    <x v="15"/>
    <x v="3"/>
    <x v="33"/>
  </r>
  <r>
    <x v="3"/>
    <x v="3"/>
    <x v="886"/>
    <x v="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17"/>
    <x v="10"/>
    <x v="38"/>
  </r>
  <r>
    <x v="3"/>
    <x v="3"/>
    <x v="887"/>
    <x v="889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40                   "/>
    <x v="17"/>
    <x v="11"/>
    <x v="38"/>
  </r>
  <r>
    <x v="3"/>
    <x v="3"/>
    <x v="888"/>
    <x v="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0"/>
    <n v="0"/>
    <n v="100"/>
    <n v="0"/>
    <n v="100"/>
    <n v="0"/>
    <n v="100"/>
    <n v="0"/>
    <n v="0"/>
    <n v="10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3"/>
    <x v="33"/>
  </r>
  <r>
    <x v="3"/>
    <x v="3"/>
    <x v="889"/>
    <x v="891"/>
    <n v="0"/>
    <n v="0"/>
    <n v="0"/>
    <n v="0"/>
    <n v="1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"/>
    <x v="33"/>
  </r>
  <r>
    <x v="3"/>
    <x v="3"/>
    <x v="890"/>
    <x v="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9"/>
    <x v="33"/>
  </r>
  <r>
    <x v="3"/>
    <x v="3"/>
    <x v="891"/>
    <x v="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0"/>
    <x v="33"/>
  </r>
  <r>
    <x v="3"/>
    <x v="3"/>
    <x v="892"/>
    <x v="894"/>
    <n v="0"/>
    <n v="0"/>
    <n v="0"/>
    <n v="0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2"/>
    <x v="33"/>
  </r>
  <r>
    <x v="3"/>
    <x v="3"/>
    <x v="893"/>
    <x v="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3"/>
    <x v="33"/>
  </r>
  <r>
    <x v="3"/>
    <x v="3"/>
    <x v="894"/>
    <x v="896"/>
    <n v="83.9"/>
    <n v="660"/>
    <n v="0"/>
    <n v="0"/>
    <n v="5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5"/>
    <x v="33"/>
  </r>
  <r>
    <x v="3"/>
    <x v="3"/>
    <x v="895"/>
    <x v="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"/>
    <x v="17"/>
    <x v="33"/>
  </r>
  <r>
    <x v="3"/>
    <x v="3"/>
    <x v="896"/>
    <x v="898"/>
    <n v="1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5"/>
    <x v="1"/>
    <x v="33"/>
  </r>
  <r>
    <x v="3"/>
    <x v="3"/>
    <x v="897"/>
    <x v="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5"/>
    <x v="13"/>
    <x v="33"/>
  </r>
  <r>
    <x v="3"/>
    <x v="3"/>
    <x v="898"/>
    <x v="900"/>
    <n v="0"/>
    <n v="193.73"/>
    <n v="0"/>
    <n v="321.05"/>
    <n v="3164.9"/>
    <n v="396.54"/>
    <n v="0"/>
    <n v="104.04"/>
    <n v="0"/>
    <n v="0"/>
    <n v="0"/>
    <n v="0"/>
    <n v="0"/>
    <n v="146.66999999999999"/>
    <n v="0"/>
    <n v="0"/>
    <n v="0"/>
    <n v="0"/>
    <n v="0"/>
    <n v="0"/>
    <n v="600"/>
    <n v="0"/>
    <n v="764.05"/>
    <n v="-64.0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00"/>
    <n v="0"/>
    <n v="0"/>
    <n v="2500"/>
    <n v="0"/>
    <n v="0"/>
    <n v="2500"/>
    <n v="0"/>
    <n v="0"/>
    <n v="2500"/>
    <n v="0"/>
    <n v="0"/>
    <n v="150"/>
    <n v="0"/>
    <n v="0"/>
    <n v="0"/>
    <n v="3800"/>
    <n v="0"/>
    <n v="0"/>
    <n v="0"/>
    <n v="0"/>
    <n v="0"/>
    <n v="3800"/>
    <x v="2"/>
    <x v="4"/>
    <s v="81150                   "/>
    <x v="11"/>
    <x v="3"/>
    <x v="37"/>
  </r>
  <r>
    <x v="3"/>
    <x v="3"/>
    <x v="899"/>
    <x v="901"/>
    <n v="0"/>
    <n v="2907.49"/>
    <n v="0"/>
    <n v="75.14"/>
    <n v="2890"/>
    <n v="133.25"/>
    <n v="0"/>
    <n v="2814.7"/>
    <n v="0"/>
    <n v="0"/>
    <n v="0"/>
    <n v="109"/>
    <n v="0"/>
    <n v="109"/>
    <n v="2970"/>
    <n v="600"/>
    <n v="0"/>
    <n v="3170"/>
    <n v="130"/>
    <n v="3170"/>
    <n v="1245.54"/>
    <n v="924"/>
    <n v="441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000"/>
    <n v="0"/>
    <n v="0"/>
    <n v="3000"/>
    <n v="0"/>
    <n v="0"/>
    <n v="3000"/>
    <n v="0"/>
    <n v="0"/>
    <n v="3000"/>
    <n v="0"/>
    <n v="0"/>
    <n v="0"/>
    <n v="0"/>
    <n v="0"/>
    <n v="0"/>
    <n v="8200"/>
    <n v="0"/>
    <n v="0"/>
    <n v="0"/>
    <n v="0"/>
    <n v="0"/>
    <n v="8200"/>
    <x v="2"/>
    <x v="4"/>
    <s v="81150                   "/>
    <x v="11"/>
    <x v="4"/>
    <x v="37"/>
  </r>
  <r>
    <x v="3"/>
    <x v="3"/>
    <x v="900"/>
    <x v="902"/>
    <n v="0"/>
    <n v="39.99"/>
    <n v="0"/>
    <n v="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0"/>
    <x v="37"/>
  </r>
  <r>
    <x v="3"/>
    <x v="3"/>
    <x v="901"/>
    <x v="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5"/>
    <x v="37"/>
  </r>
  <r>
    <x v="3"/>
    <x v="3"/>
    <x v="902"/>
    <x v="904"/>
    <n v="0"/>
    <n v="0"/>
    <n v="0"/>
    <n v="155"/>
    <n v="772"/>
    <n v="429.1"/>
    <n v="-12.9"/>
    <n v="0"/>
    <n v="0"/>
    <n v="0"/>
    <n v="32.5"/>
    <n v="0"/>
    <n v="0"/>
    <n v="0"/>
    <n v="0"/>
    <n v="0"/>
    <n v="0"/>
    <n v="0"/>
    <n v="108"/>
    <n v="0"/>
    <n v="0"/>
    <n v="47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"/>
    <x v="37"/>
  </r>
  <r>
    <x v="3"/>
    <x v="3"/>
    <x v="903"/>
    <x v="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7"/>
    <x v="37"/>
  </r>
  <r>
    <x v="3"/>
    <x v="3"/>
    <x v="904"/>
    <x v="906"/>
    <n v="0"/>
    <n v="35.119999999999997"/>
    <n v="0"/>
    <n v="69.08"/>
    <n v="0"/>
    <n v="133.25"/>
    <n v="-503.34"/>
    <n v="0"/>
    <n v="0"/>
    <n v="0"/>
    <n v="0"/>
    <n v="0"/>
    <n v="0"/>
    <n v="779.26"/>
    <n v="0"/>
    <n v="0"/>
    <n v="0"/>
    <n v="0"/>
    <n v="0"/>
    <n v="180"/>
    <n v="60"/>
    <n v="1060"/>
    <n v="105.9"/>
    <n v="764.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50"/>
    <n v="0"/>
    <n v="0"/>
    <n v="750"/>
    <n v="0"/>
    <n v="0"/>
    <n v="750"/>
    <n v="0"/>
    <n v="0"/>
    <n v="750"/>
    <n v="0"/>
    <n v="0"/>
    <n v="800"/>
    <n v="0"/>
    <n v="0"/>
    <n v="0"/>
    <n v="0"/>
    <n v="0"/>
    <n v="180"/>
    <n v="0"/>
    <n v="0"/>
    <n v="0"/>
    <n v="0"/>
    <x v="2"/>
    <x v="4"/>
    <s v="81150                   "/>
    <x v="11"/>
    <x v="8"/>
    <x v="37"/>
  </r>
  <r>
    <x v="3"/>
    <x v="3"/>
    <x v="905"/>
    <x v="907"/>
    <n v="0"/>
    <n v="8.7799999999999994"/>
    <n v="0"/>
    <n v="113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9"/>
    <x v="37"/>
  </r>
  <r>
    <x v="3"/>
    <x v="3"/>
    <x v="906"/>
    <x v="908"/>
    <n v="583.33000000000004"/>
    <n v="793.33"/>
    <n v="583.33000000000004"/>
    <n v="583.33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0"/>
    <x v="37"/>
  </r>
  <r>
    <x v="3"/>
    <x v="3"/>
    <x v="907"/>
    <x v="909"/>
    <n v="0"/>
    <n v="0"/>
    <n v="0"/>
    <n v="0"/>
    <n v="0"/>
    <n v="89"/>
    <n v="0"/>
    <n v="252"/>
    <n v="0"/>
    <n v="0"/>
    <n v="0"/>
    <n v="0"/>
    <n v="0"/>
    <n v="161.66999999999999"/>
    <n v="0"/>
    <n v="27.24"/>
    <n v="0"/>
    <n v="0"/>
    <n v="0"/>
    <n v="0"/>
    <n v="4249.32"/>
    <n v="0"/>
    <n v="5821.28"/>
    <n v="-431.2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00"/>
    <n v="0"/>
    <n v="0"/>
    <n v="0"/>
    <n v="0"/>
    <n v="0"/>
    <n v="5800"/>
    <x v="2"/>
    <x v="4"/>
    <s v="81150                   "/>
    <x v="11"/>
    <x v="11"/>
    <x v="37"/>
  </r>
  <r>
    <x v="3"/>
    <x v="3"/>
    <x v="908"/>
    <x v="910"/>
    <n v="0"/>
    <n v="0"/>
    <n v="0"/>
    <n v="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2"/>
    <x v="37"/>
  </r>
  <r>
    <x v="3"/>
    <x v="3"/>
    <x v="909"/>
    <x v="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3"/>
    <x v="37"/>
  </r>
  <r>
    <x v="3"/>
    <x v="3"/>
    <x v="910"/>
    <x v="912"/>
    <n v="0"/>
    <n v="0"/>
    <n v="0"/>
    <n v="233.65"/>
    <n v="0"/>
    <n v="207.84"/>
    <n v="0"/>
    <n v="1362.92"/>
    <n v="0"/>
    <n v="5500"/>
    <n v="0"/>
    <n v="0"/>
    <n v="0"/>
    <n v="1548.67"/>
    <n v="3000"/>
    <n v="0"/>
    <n v="0"/>
    <n v="0"/>
    <n v="0"/>
    <n v="4831.5200000000004"/>
    <n v="0"/>
    <n v="1046"/>
    <n v="0"/>
    <n v="9511.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000"/>
    <n v="0"/>
    <n v="0"/>
    <n v="2000"/>
    <n v="0"/>
    <n v="0"/>
    <n v="2000"/>
    <n v="0"/>
    <n v="0"/>
    <n v="2000"/>
    <n v="0"/>
    <n v="0"/>
    <n v="0"/>
    <n v="0"/>
    <n v="0"/>
    <n v="0"/>
    <n v="8200"/>
    <n v="0"/>
    <n v="0"/>
    <n v="0"/>
    <n v="0"/>
    <n v="0"/>
    <n v="8200"/>
    <x v="2"/>
    <x v="4"/>
    <s v="81150                   "/>
    <x v="11"/>
    <x v="14"/>
    <x v="37"/>
  </r>
  <r>
    <x v="3"/>
    <x v="3"/>
    <x v="911"/>
    <x v="913"/>
    <n v="0"/>
    <n v="17.5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5"/>
    <x v="37"/>
  </r>
  <r>
    <x v="3"/>
    <x v="3"/>
    <x v="912"/>
    <x v="914"/>
    <n v="0"/>
    <n v="17.559999999999999"/>
    <n v="0"/>
    <n v="93.63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6"/>
    <x v="37"/>
  </r>
  <r>
    <x v="3"/>
    <x v="3"/>
    <x v="913"/>
    <x v="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1"/>
    <x v="17"/>
    <x v="37"/>
  </r>
  <r>
    <x v="3"/>
    <x v="3"/>
    <x v="914"/>
    <x v="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3"/>
    <x v="33"/>
  </r>
  <r>
    <x v="3"/>
    <x v="3"/>
    <x v="915"/>
    <x v="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4"/>
    <x v="33"/>
  </r>
  <r>
    <x v="3"/>
    <x v="3"/>
    <x v="916"/>
    <x v="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0"/>
    <x v="33"/>
  </r>
  <r>
    <x v="3"/>
    <x v="3"/>
    <x v="917"/>
    <x v="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5"/>
    <x v="33"/>
  </r>
  <r>
    <x v="3"/>
    <x v="3"/>
    <x v="918"/>
    <x v="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6"/>
    <x v="33"/>
  </r>
  <r>
    <x v="3"/>
    <x v="3"/>
    <x v="919"/>
    <x v="9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"/>
    <x v="33"/>
  </r>
  <r>
    <x v="3"/>
    <x v="3"/>
    <x v="920"/>
    <x v="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7"/>
    <x v="33"/>
  </r>
  <r>
    <x v="3"/>
    <x v="3"/>
    <x v="921"/>
    <x v="9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8"/>
    <x v="33"/>
  </r>
  <r>
    <x v="3"/>
    <x v="3"/>
    <x v="922"/>
    <x v="9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9"/>
    <x v="33"/>
  </r>
  <r>
    <x v="3"/>
    <x v="3"/>
    <x v="923"/>
    <x v="9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0"/>
    <x v="33"/>
  </r>
  <r>
    <x v="3"/>
    <x v="3"/>
    <x v="924"/>
    <x v="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1"/>
    <x v="33"/>
  </r>
  <r>
    <x v="3"/>
    <x v="3"/>
    <x v="925"/>
    <x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2"/>
    <x v="33"/>
  </r>
  <r>
    <x v="3"/>
    <x v="3"/>
    <x v="926"/>
    <x v="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3"/>
    <x v="33"/>
  </r>
  <r>
    <x v="3"/>
    <x v="3"/>
    <x v="927"/>
    <x v="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4"/>
    <x v="33"/>
  </r>
  <r>
    <x v="3"/>
    <x v="3"/>
    <x v="928"/>
    <x v="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5"/>
    <x v="33"/>
  </r>
  <r>
    <x v="3"/>
    <x v="3"/>
    <x v="929"/>
    <x v="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6"/>
    <x v="33"/>
  </r>
  <r>
    <x v="3"/>
    <x v="3"/>
    <x v="930"/>
    <x v="9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2"/>
    <x v="17"/>
    <x v="33"/>
  </r>
  <r>
    <x v="3"/>
    <x v="3"/>
    <x v="931"/>
    <x v="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3"/>
    <x v="33"/>
  </r>
  <r>
    <x v="3"/>
    <x v="3"/>
    <x v="932"/>
    <x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4"/>
    <x v="33"/>
  </r>
  <r>
    <x v="3"/>
    <x v="3"/>
    <x v="933"/>
    <x v="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0"/>
    <x v="33"/>
  </r>
  <r>
    <x v="3"/>
    <x v="3"/>
    <x v="934"/>
    <x v="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5"/>
    <x v="33"/>
  </r>
  <r>
    <x v="3"/>
    <x v="3"/>
    <x v="935"/>
    <x v="9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6"/>
    <x v="33"/>
  </r>
  <r>
    <x v="3"/>
    <x v="3"/>
    <x v="936"/>
    <x v="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"/>
    <x v="33"/>
  </r>
  <r>
    <x v="3"/>
    <x v="3"/>
    <x v="937"/>
    <x v="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7"/>
    <x v="33"/>
  </r>
  <r>
    <x v="3"/>
    <x v="3"/>
    <x v="938"/>
    <x v="9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8"/>
    <x v="33"/>
  </r>
  <r>
    <x v="3"/>
    <x v="3"/>
    <x v="939"/>
    <x v="9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9"/>
    <x v="33"/>
  </r>
  <r>
    <x v="3"/>
    <x v="3"/>
    <x v="940"/>
    <x v="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0"/>
    <x v="33"/>
  </r>
  <r>
    <x v="3"/>
    <x v="3"/>
    <x v="941"/>
    <x v="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1"/>
    <x v="33"/>
  </r>
  <r>
    <x v="3"/>
    <x v="3"/>
    <x v="942"/>
    <x v="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2"/>
    <x v="33"/>
  </r>
  <r>
    <x v="3"/>
    <x v="3"/>
    <x v="943"/>
    <x v="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3"/>
    <x v="33"/>
  </r>
  <r>
    <x v="3"/>
    <x v="3"/>
    <x v="944"/>
    <x v="9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4"/>
    <x v="33"/>
  </r>
  <r>
    <x v="3"/>
    <x v="3"/>
    <x v="945"/>
    <x v="9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5"/>
    <x v="33"/>
  </r>
  <r>
    <x v="3"/>
    <x v="3"/>
    <x v="946"/>
    <x v="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6"/>
    <x v="33"/>
  </r>
  <r>
    <x v="3"/>
    <x v="3"/>
    <x v="947"/>
    <x v="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3"/>
    <x v="17"/>
    <x v="33"/>
  </r>
  <r>
    <x v="3"/>
    <x v="3"/>
    <x v="948"/>
    <x v="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3"/>
    <x v="33"/>
  </r>
  <r>
    <x v="3"/>
    <x v="3"/>
    <x v="949"/>
    <x v="9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4"/>
    <x v="33"/>
  </r>
  <r>
    <x v="3"/>
    <x v="3"/>
    <x v="950"/>
    <x v="9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0"/>
    <x v="33"/>
  </r>
  <r>
    <x v="3"/>
    <x v="3"/>
    <x v="951"/>
    <x v="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5"/>
    <x v="33"/>
  </r>
  <r>
    <x v="3"/>
    <x v="3"/>
    <x v="952"/>
    <x v="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6"/>
    <x v="33"/>
  </r>
  <r>
    <x v="3"/>
    <x v="3"/>
    <x v="953"/>
    <x v="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"/>
    <x v="33"/>
  </r>
  <r>
    <x v="3"/>
    <x v="3"/>
    <x v="954"/>
    <x v="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7"/>
    <x v="33"/>
  </r>
  <r>
    <x v="3"/>
    <x v="3"/>
    <x v="955"/>
    <x v="9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8"/>
    <x v="33"/>
  </r>
  <r>
    <x v="3"/>
    <x v="3"/>
    <x v="956"/>
    <x v="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9"/>
    <x v="33"/>
  </r>
  <r>
    <x v="3"/>
    <x v="3"/>
    <x v="957"/>
    <x v="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0"/>
    <x v="33"/>
  </r>
  <r>
    <x v="3"/>
    <x v="3"/>
    <x v="958"/>
    <x v="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1"/>
    <x v="33"/>
  </r>
  <r>
    <x v="3"/>
    <x v="3"/>
    <x v="959"/>
    <x v="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2"/>
    <x v="33"/>
  </r>
  <r>
    <x v="3"/>
    <x v="3"/>
    <x v="960"/>
    <x v="9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3"/>
    <x v="33"/>
  </r>
  <r>
    <x v="3"/>
    <x v="3"/>
    <x v="961"/>
    <x v="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4"/>
    <x v="33"/>
  </r>
  <r>
    <x v="3"/>
    <x v="3"/>
    <x v="962"/>
    <x v="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5"/>
    <x v="33"/>
  </r>
  <r>
    <x v="3"/>
    <x v="3"/>
    <x v="963"/>
    <x v="9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6"/>
    <x v="33"/>
  </r>
  <r>
    <x v="3"/>
    <x v="3"/>
    <x v="964"/>
    <x v="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4"/>
    <x v="17"/>
    <x v="33"/>
  </r>
  <r>
    <x v="3"/>
    <x v="3"/>
    <x v="965"/>
    <x v="967"/>
    <n v="0"/>
    <n v="0"/>
    <n v="0"/>
    <n v="0"/>
    <n v="0"/>
    <n v="6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3"/>
    <x v="33"/>
  </r>
  <r>
    <x v="3"/>
    <x v="3"/>
    <x v="966"/>
    <x v="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4"/>
    <x v="33"/>
  </r>
  <r>
    <x v="3"/>
    <x v="3"/>
    <x v="967"/>
    <x v="9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0"/>
    <x v="33"/>
  </r>
  <r>
    <x v="3"/>
    <x v="3"/>
    <x v="968"/>
    <x v="9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5"/>
    <x v="33"/>
  </r>
  <r>
    <x v="3"/>
    <x v="3"/>
    <x v="969"/>
    <x v="9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6"/>
    <x v="33"/>
  </r>
  <r>
    <x v="3"/>
    <x v="3"/>
    <x v="970"/>
    <x v="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"/>
    <x v="33"/>
  </r>
  <r>
    <x v="3"/>
    <x v="3"/>
    <x v="971"/>
    <x v="9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7"/>
    <x v="33"/>
  </r>
  <r>
    <x v="3"/>
    <x v="3"/>
    <x v="972"/>
    <x v="9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8"/>
    <x v="33"/>
  </r>
  <r>
    <x v="3"/>
    <x v="3"/>
    <x v="973"/>
    <x v="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9"/>
    <x v="33"/>
  </r>
  <r>
    <x v="3"/>
    <x v="3"/>
    <x v="974"/>
    <x v="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0"/>
    <x v="33"/>
  </r>
  <r>
    <x v="3"/>
    <x v="3"/>
    <x v="975"/>
    <x v="9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1"/>
    <x v="33"/>
  </r>
  <r>
    <x v="3"/>
    <x v="3"/>
    <x v="976"/>
    <x v="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2"/>
    <x v="33"/>
  </r>
  <r>
    <x v="3"/>
    <x v="3"/>
    <x v="977"/>
    <x v="9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3"/>
    <x v="33"/>
  </r>
  <r>
    <x v="3"/>
    <x v="3"/>
    <x v="978"/>
    <x v="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4"/>
    <x v="33"/>
  </r>
  <r>
    <x v="3"/>
    <x v="3"/>
    <x v="979"/>
    <x v="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5"/>
    <x v="33"/>
  </r>
  <r>
    <x v="3"/>
    <x v="3"/>
    <x v="980"/>
    <x v="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6"/>
    <x v="33"/>
  </r>
  <r>
    <x v="3"/>
    <x v="3"/>
    <x v="981"/>
    <x v="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5"/>
    <x v="17"/>
    <x v="33"/>
  </r>
  <r>
    <x v="3"/>
    <x v="3"/>
    <x v="982"/>
    <x v="9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3"/>
    <x v="38"/>
  </r>
  <r>
    <x v="3"/>
    <x v="3"/>
    <x v="983"/>
    <x v="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1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1"/>
    <x v="38"/>
  </r>
  <r>
    <x v="3"/>
    <x v="3"/>
    <x v="984"/>
    <x v="986"/>
    <n v="0"/>
    <n v="0"/>
    <n v="3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9"/>
    <x v="38"/>
  </r>
  <r>
    <x v="3"/>
    <x v="3"/>
    <x v="985"/>
    <x v="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10"/>
    <x v="38"/>
  </r>
  <r>
    <x v="3"/>
    <x v="3"/>
    <x v="986"/>
    <x v="988"/>
    <n v="0"/>
    <n v="0"/>
    <n v="0"/>
    <n v="0"/>
    <n v="0"/>
    <n v="0"/>
    <n v="0"/>
    <n v="0"/>
    <n v="0"/>
    <n v="0"/>
    <n v="0"/>
    <n v="149.09"/>
    <n v="0"/>
    <n v="0"/>
    <n v="0"/>
    <n v="0"/>
    <n v="0"/>
    <n v="0"/>
    <n v="0"/>
    <n v="0"/>
    <n v="0"/>
    <n v="0"/>
    <n v="12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11"/>
    <x v="38"/>
  </r>
  <r>
    <x v="3"/>
    <x v="3"/>
    <x v="987"/>
    <x v="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500"/>
    <x v="2"/>
    <x v="4"/>
    <s v="81150                   "/>
    <x v="17"/>
    <x v="13"/>
    <x v="38"/>
  </r>
  <r>
    <x v="3"/>
    <x v="3"/>
    <x v="988"/>
    <x v="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7"/>
    <x v="15"/>
    <x v="38"/>
  </r>
  <r>
    <x v="3"/>
    <x v="3"/>
    <x v="989"/>
    <x v="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3"/>
    <x v="33"/>
  </r>
  <r>
    <x v="3"/>
    <x v="3"/>
    <x v="990"/>
    <x v="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4"/>
    <x v="33"/>
  </r>
  <r>
    <x v="3"/>
    <x v="3"/>
    <x v="991"/>
    <x v="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0"/>
    <x v="33"/>
  </r>
  <r>
    <x v="3"/>
    <x v="3"/>
    <x v="992"/>
    <x v="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5"/>
    <x v="33"/>
  </r>
  <r>
    <x v="3"/>
    <x v="3"/>
    <x v="993"/>
    <x v="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6"/>
    <x v="33"/>
  </r>
  <r>
    <x v="3"/>
    <x v="3"/>
    <x v="994"/>
    <x v="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"/>
    <x v="33"/>
  </r>
  <r>
    <x v="3"/>
    <x v="3"/>
    <x v="995"/>
    <x v="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7"/>
    <x v="33"/>
  </r>
  <r>
    <x v="3"/>
    <x v="3"/>
    <x v="996"/>
    <x v="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8"/>
    <x v="33"/>
  </r>
  <r>
    <x v="3"/>
    <x v="3"/>
    <x v="997"/>
    <x v="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9"/>
    <x v="33"/>
  </r>
  <r>
    <x v="3"/>
    <x v="3"/>
    <x v="998"/>
    <x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0"/>
    <x v="33"/>
  </r>
  <r>
    <x v="3"/>
    <x v="3"/>
    <x v="999"/>
    <x v="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1"/>
    <x v="33"/>
  </r>
  <r>
    <x v="3"/>
    <x v="3"/>
    <x v="1000"/>
    <x v="1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2"/>
    <x v="33"/>
  </r>
  <r>
    <x v="3"/>
    <x v="3"/>
    <x v="1001"/>
    <x v="1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3"/>
    <x v="33"/>
  </r>
  <r>
    <x v="3"/>
    <x v="3"/>
    <x v="1002"/>
    <x v="1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4"/>
    <x v="33"/>
  </r>
  <r>
    <x v="3"/>
    <x v="3"/>
    <x v="1003"/>
    <x v="1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5"/>
    <x v="33"/>
  </r>
  <r>
    <x v="3"/>
    <x v="3"/>
    <x v="1004"/>
    <x v="1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6"/>
    <x v="33"/>
  </r>
  <r>
    <x v="3"/>
    <x v="3"/>
    <x v="1005"/>
    <x v="1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8"/>
    <x v="17"/>
    <x v="33"/>
  </r>
  <r>
    <x v="3"/>
    <x v="3"/>
    <x v="1006"/>
    <x v="1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3"/>
    <x v="33"/>
  </r>
  <r>
    <x v="3"/>
    <x v="3"/>
    <x v="1007"/>
    <x v="1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4"/>
    <x v="33"/>
  </r>
  <r>
    <x v="3"/>
    <x v="3"/>
    <x v="1008"/>
    <x v="1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0"/>
    <x v="33"/>
  </r>
  <r>
    <x v="3"/>
    <x v="3"/>
    <x v="1009"/>
    <x v="1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5"/>
    <x v="33"/>
  </r>
  <r>
    <x v="3"/>
    <x v="3"/>
    <x v="1010"/>
    <x v="1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6"/>
    <x v="33"/>
  </r>
  <r>
    <x v="3"/>
    <x v="3"/>
    <x v="1011"/>
    <x v="1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"/>
    <x v="33"/>
  </r>
  <r>
    <x v="3"/>
    <x v="3"/>
    <x v="1012"/>
    <x v="1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7"/>
    <x v="33"/>
  </r>
  <r>
    <x v="3"/>
    <x v="3"/>
    <x v="1013"/>
    <x v="1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8"/>
    <x v="33"/>
  </r>
  <r>
    <x v="3"/>
    <x v="3"/>
    <x v="1014"/>
    <x v="1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9"/>
    <x v="33"/>
  </r>
  <r>
    <x v="3"/>
    <x v="3"/>
    <x v="1015"/>
    <x v="1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0"/>
    <x v="33"/>
  </r>
  <r>
    <x v="3"/>
    <x v="3"/>
    <x v="1016"/>
    <x v="10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1"/>
    <x v="33"/>
  </r>
  <r>
    <x v="3"/>
    <x v="3"/>
    <x v="1017"/>
    <x v="1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2"/>
    <x v="33"/>
  </r>
  <r>
    <x v="3"/>
    <x v="3"/>
    <x v="1018"/>
    <x v="1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3"/>
    <x v="33"/>
  </r>
  <r>
    <x v="3"/>
    <x v="3"/>
    <x v="1019"/>
    <x v="1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4"/>
    <x v="33"/>
  </r>
  <r>
    <x v="3"/>
    <x v="3"/>
    <x v="1020"/>
    <x v="1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5"/>
    <x v="33"/>
  </r>
  <r>
    <x v="3"/>
    <x v="3"/>
    <x v="1021"/>
    <x v="1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6"/>
    <x v="33"/>
  </r>
  <r>
    <x v="3"/>
    <x v="3"/>
    <x v="1022"/>
    <x v="1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19"/>
    <x v="17"/>
    <x v="33"/>
  </r>
  <r>
    <x v="3"/>
    <x v="3"/>
    <x v="1023"/>
    <x v="1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3"/>
    <x v="33"/>
  </r>
  <r>
    <x v="3"/>
    <x v="3"/>
    <x v="1024"/>
    <x v="1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4"/>
    <x v="33"/>
  </r>
  <r>
    <x v="3"/>
    <x v="3"/>
    <x v="1025"/>
    <x v="1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0"/>
    <x v="33"/>
  </r>
  <r>
    <x v="3"/>
    <x v="3"/>
    <x v="1026"/>
    <x v="1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5"/>
    <x v="33"/>
  </r>
  <r>
    <x v="3"/>
    <x v="3"/>
    <x v="1027"/>
    <x v="1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6"/>
    <x v="33"/>
  </r>
  <r>
    <x v="3"/>
    <x v="3"/>
    <x v="1028"/>
    <x v="1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"/>
    <x v="33"/>
  </r>
  <r>
    <x v="3"/>
    <x v="3"/>
    <x v="1029"/>
    <x v="1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7"/>
    <x v="33"/>
  </r>
  <r>
    <x v="3"/>
    <x v="3"/>
    <x v="1030"/>
    <x v="1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8"/>
    <x v="33"/>
  </r>
  <r>
    <x v="3"/>
    <x v="3"/>
    <x v="1031"/>
    <x v="10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9"/>
    <x v="33"/>
  </r>
  <r>
    <x v="3"/>
    <x v="3"/>
    <x v="1032"/>
    <x v="1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0"/>
    <x v="33"/>
  </r>
  <r>
    <x v="3"/>
    <x v="3"/>
    <x v="1033"/>
    <x v="1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1"/>
    <x v="33"/>
  </r>
  <r>
    <x v="3"/>
    <x v="3"/>
    <x v="1034"/>
    <x v="1036"/>
    <n v="0"/>
    <n v="0"/>
    <n v="0"/>
    <n v="0"/>
    <n v="0"/>
    <n v="0"/>
    <n v="0"/>
    <n v="0"/>
    <n v="0"/>
    <n v="0"/>
    <n v="0"/>
    <n v="0"/>
    <n v="0"/>
    <n v="0"/>
    <n v="0"/>
    <n v="0"/>
    <n v="131.2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2"/>
    <x v="33"/>
  </r>
  <r>
    <x v="3"/>
    <x v="3"/>
    <x v="1035"/>
    <x v="1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3"/>
    <x v="33"/>
  </r>
  <r>
    <x v="3"/>
    <x v="3"/>
    <x v="1036"/>
    <x v="1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4"/>
    <x v="33"/>
  </r>
  <r>
    <x v="3"/>
    <x v="3"/>
    <x v="1037"/>
    <x v="1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5"/>
    <x v="33"/>
  </r>
  <r>
    <x v="3"/>
    <x v="3"/>
    <x v="1038"/>
    <x v="1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6"/>
    <x v="33"/>
  </r>
  <r>
    <x v="3"/>
    <x v="3"/>
    <x v="1039"/>
    <x v="1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50                   "/>
    <x v="22"/>
    <x v="17"/>
    <x v="33"/>
  </r>
  <r>
    <x v="3"/>
    <x v="3"/>
    <x v="1040"/>
    <x v="1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3"/>
    <x v="33"/>
  </r>
  <r>
    <x v="3"/>
    <x v="3"/>
    <x v="1041"/>
    <x v="1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4"/>
    <x v="33"/>
  </r>
  <r>
    <x v="3"/>
    <x v="3"/>
    <x v="1042"/>
    <x v="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0"/>
    <x v="33"/>
  </r>
  <r>
    <x v="3"/>
    <x v="3"/>
    <x v="1043"/>
    <x v="10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5"/>
    <x v="33"/>
  </r>
  <r>
    <x v="3"/>
    <x v="3"/>
    <x v="1044"/>
    <x v="1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6"/>
    <x v="33"/>
  </r>
  <r>
    <x v="3"/>
    <x v="3"/>
    <x v="1045"/>
    <x v="10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"/>
    <x v="33"/>
  </r>
  <r>
    <x v="3"/>
    <x v="3"/>
    <x v="1046"/>
    <x v="1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7"/>
    <x v="33"/>
  </r>
  <r>
    <x v="3"/>
    <x v="3"/>
    <x v="1047"/>
    <x v="10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8"/>
    <x v="33"/>
  </r>
  <r>
    <x v="3"/>
    <x v="3"/>
    <x v="1048"/>
    <x v="1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9"/>
    <x v="33"/>
  </r>
  <r>
    <x v="3"/>
    <x v="3"/>
    <x v="1049"/>
    <x v="1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0"/>
    <x v="33"/>
  </r>
  <r>
    <x v="3"/>
    <x v="3"/>
    <x v="1050"/>
    <x v="10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1"/>
    <x v="33"/>
  </r>
  <r>
    <x v="3"/>
    <x v="3"/>
    <x v="1051"/>
    <x v="1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2"/>
    <x v="33"/>
  </r>
  <r>
    <x v="3"/>
    <x v="3"/>
    <x v="1052"/>
    <x v="1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3"/>
    <x v="33"/>
  </r>
  <r>
    <x v="3"/>
    <x v="3"/>
    <x v="1053"/>
    <x v="1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4"/>
    <x v="33"/>
  </r>
  <r>
    <x v="3"/>
    <x v="3"/>
    <x v="1054"/>
    <x v="10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5"/>
    <x v="33"/>
  </r>
  <r>
    <x v="3"/>
    <x v="3"/>
    <x v="1055"/>
    <x v="10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6"/>
    <x v="33"/>
  </r>
  <r>
    <x v="3"/>
    <x v="3"/>
    <x v="1056"/>
    <x v="1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"/>
    <x v="17"/>
    <x v="33"/>
  </r>
  <r>
    <x v="3"/>
    <x v="3"/>
    <x v="1057"/>
    <x v="1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3"/>
    <x v="33"/>
  </r>
  <r>
    <x v="3"/>
    <x v="3"/>
    <x v="1058"/>
    <x v="10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4"/>
    <x v="33"/>
  </r>
  <r>
    <x v="3"/>
    <x v="3"/>
    <x v="1059"/>
    <x v="1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0"/>
    <x v="33"/>
  </r>
  <r>
    <x v="3"/>
    <x v="3"/>
    <x v="1060"/>
    <x v="10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5"/>
    <x v="33"/>
  </r>
  <r>
    <x v="3"/>
    <x v="3"/>
    <x v="1061"/>
    <x v="10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6"/>
    <x v="33"/>
  </r>
  <r>
    <x v="3"/>
    <x v="3"/>
    <x v="1062"/>
    <x v="1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"/>
    <x v="33"/>
  </r>
  <r>
    <x v="3"/>
    <x v="3"/>
    <x v="1063"/>
    <x v="1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7"/>
    <x v="33"/>
  </r>
  <r>
    <x v="3"/>
    <x v="3"/>
    <x v="1064"/>
    <x v="1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8"/>
    <x v="33"/>
  </r>
  <r>
    <x v="3"/>
    <x v="3"/>
    <x v="1065"/>
    <x v="10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9"/>
    <x v="33"/>
  </r>
  <r>
    <x v="3"/>
    <x v="3"/>
    <x v="1066"/>
    <x v="1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0"/>
    <x v="33"/>
  </r>
  <r>
    <x v="3"/>
    <x v="3"/>
    <x v="1067"/>
    <x v="1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1"/>
    <x v="33"/>
  </r>
  <r>
    <x v="3"/>
    <x v="3"/>
    <x v="1068"/>
    <x v="1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2"/>
    <x v="33"/>
  </r>
  <r>
    <x v="3"/>
    <x v="3"/>
    <x v="1069"/>
    <x v="10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3"/>
    <x v="33"/>
  </r>
  <r>
    <x v="3"/>
    <x v="3"/>
    <x v="1070"/>
    <x v="1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4"/>
    <x v="33"/>
  </r>
  <r>
    <x v="3"/>
    <x v="3"/>
    <x v="1071"/>
    <x v="1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5"/>
    <x v="33"/>
  </r>
  <r>
    <x v="3"/>
    <x v="3"/>
    <x v="1072"/>
    <x v="10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6"/>
    <x v="33"/>
  </r>
  <r>
    <x v="3"/>
    <x v="3"/>
    <x v="1073"/>
    <x v="10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5"/>
    <x v="17"/>
    <x v="33"/>
  </r>
  <r>
    <x v="3"/>
    <x v="3"/>
    <x v="1074"/>
    <x v="1076"/>
    <n v="37.5"/>
    <n v="27"/>
    <n v="0"/>
    <n v="0"/>
    <n v="0"/>
    <n v="0"/>
    <n v="0"/>
    <n v="0"/>
    <n v="0"/>
    <n v="0"/>
    <n v="0"/>
    <n v="64.92"/>
    <n v="0"/>
    <n v="0"/>
    <n v="0"/>
    <n v="77.040000000000006"/>
    <n v="0"/>
    <n v="0"/>
    <n v="0"/>
    <n v="43.01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25"/>
    <n v="0"/>
    <n v="0"/>
    <n v="125"/>
    <n v="0"/>
    <n v="0"/>
    <n v="125"/>
    <n v="0"/>
    <n v="0"/>
    <n v="125"/>
    <n v="0"/>
    <n v="0"/>
    <n v="0"/>
    <n v="0"/>
    <n v="100"/>
    <n v="0"/>
    <n v="0"/>
    <n v="0"/>
    <n v="50"/>
    <n v="0"/>
    <n v="0"/>
    <n v="0"/>
    <n v="65"/>
    <x v="2"/>
    <x v="4"/>
    <s v="81160                   "/>
    <x v="11"/>
    <x v="3"/>
    <x v="37"/>
  </r>
  <r>
    <x v="3"/>
    <x v="3"/>
    <x v="1075"/>
    <x v="1077"/>
    <n v="0"/>
    <n v="0"/>
    <n v="0"/>
    <n v="0"/>
    <n v="0"/>
    <n v="0"/>
    <n v="0"/>
    <n v="0"/>
    <n v="0"/>
    <n v="0"/>
    <n v="0"/>
    <n v="236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0"/>
    <n v="0"/>
    <n v="0"/>
    <n v="100"/>
    <n v="0"/>
    <n v="0"/>
    <n v="100"/>
    <n v="0"/>
    <n v="0"/>
    <n v="10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4"/>
    <x v="37"/>
  </r>
  <r>
    <x v="3"/>
    <x v="3"/>
    <x v="1076"/>
    <x v="1078"/>
    <n v="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"/>
    <x v="37"/>
  </r>
  <r>
    <x v="3"/>
    <x v="3"/>
    <x v="1077"/>
    <x v="1079"/>
    <n v="38.25"/>
    <n v="0"/>
    <n v="130.38999999999999"/>
    <n v="0"/>
    <n v="0"/>
    <n v="81"/>
    <n v="0"/>
    <n v="197.75"/>
    <n v="965.56"/>
    <n v="0"/>
    <n v="0"/>
    <n v="64.91"/>
    <n v="0"/>
    <n v="0"/>
    <n v="0"/>
    <n v="73.8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0"/>
    <n v="0"/>
    <n v="0"/>
    <n v="250"/>
    <n v="0"/>
    <n v="0"/>
    <n v="250"/>
    <n v="0"/>
    <n v="0"/>
    <n v="250"/>
    <n v="0"/>
    <n v="0"/>
    <n v="0"/>
    <n v="0"/>
    <n v="73.8"/>
    <n v="0"/>
    <n v="0"/>
    <n v="0"/>
    <n v="0"/>
    <n v="966"/>
    <n v="0"/>
    <n v="0"/>
    <n v="65"/>
    <x v="2"/>
    <x v="4"/>
    <s v="81160                   "/>
    <x v="11"/>
    <x v="8"/>
    <x v="37"/>
  </r>
  <r>
    <x v="3"/>
    <x v="3"/>
    <x v="1078"/>
    <x v="1080"/>
    <n v="38.25"/>
    <n v="0"/>
    <n v="0"/>
    <n v="107.76"/>
    <n v="0"/>
    <n v="21.96"/>
    <n v="0"/>
    <n v="31.85"/>
    <n v="135.24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0"/>
    <x v="2"/>
    <x v="4"/>
    <s v="81160                   "/>
    <x v="11"/>
    <x v="9"/>
    <x v="37"/>
  </r>
  <r>
    <x v="3"/>
    <x v="3"/>
    <x v="1079"/>
    <x v="10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0"/>
    <x v="37"/>
  </r>
  <r>
    <x v="3"/>
    <x v="3"/>
    <x v="1080"/>
    <x v="1082"/>
    <n v="0"/>
    <n v="0"/>
    <n v="0"/>
    <n v="0"/>
    <n v="0"/>
    <n v="0"/>
    <n v="0"/>
    <n v="0"/>
    <n v="775.7"/>
    <n v="0"/>
    <n v="0"/>
    <n v="64.9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50"/>
    <n v="0"/>
    <n v="0"/>
    <n v="150"/>
    <n v="0"/>
    <n v="0"/>
    <n v="500"/>
    <n v="0"/>
    <n v="0"/>
    <n v="15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1"/>
    <x v="37"/>
  </r>
  <r>
    <x v="3"/>
    <x v="3"/>
    <x v="1081"/>
    <x v="1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3"/>
    <x v="37"/>
  </r>
  <r>
    <x v="3"/>
    <x v="3"/>
    <x v="1082"/>
    <x v="1084"/>
    <n v="0"/>
    <n v="0"/>
    <n v="0"/>
    <n v="0"/>
    <n v="0"/>
    <n v="17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4"/>
    <x v="37"/>
  </r>
  <r>
    <x v="3"/>
    <x v="3"/>
    <x v="1083"/>
    <x v="1085"/>
    <n v="0"/>
    <n v="0"/>
    <n v="23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1"/>
    <x v="15"/>
    <x v="37"/>
  </r>
  <r>
    <x v="3"/>
    <x v="3"/>
    <x v="1084"/>
    <x v="10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n v="0"/>
    <n v="0"/>
    <n v="0"/>
    <n v="0"/>
    <n v="0"/>
    <n v="0"/>
    <n v="0"/>
    <n v="0"/>
    <n v="25"/>
    <n v="0"/>
    <n v="0"/>
    <n v="70"/>
    <x v="2"/>
    <x v="4"/>
    <s v="81160                   "/>
    <x v="11"/>
    <x v="16"/>
    <x v="37"/>
  </r>
  <r>
    <x v="3"/>
    <x v="3"/>
    <x v="1085"/>
    <x v="10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3"/>
    <x v="33"/>
  </r>
  <r>
    <x v="3"/>
    <x v="3"/>
    <x v="1086"/>
    <x v="1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4"/>
    <x v="33"/>
  </r>
  <r>
    <x v="3"/>
    <x v="3"/>
    <x v="1087"/>
    <x v="1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0"/>
    <x v="33"/>
  </r>
  <r>
    <x v="3"/>
    <x v="3"/>
    <x v="1088"/>
    <x v="1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5"/>
    <x v="33"/>
  </r>
  <r>
    <x v="3"/>
    <x v="3"/>
    <x v="1089"/>
    <x v="10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6"/>
    <x v="33"/>
  </r>
  <r>
    <x v="3"/>
    <x v="3"/>
    <x v="1090"/>
    <x v="1092"/>
    <n v="0"/>
    <n v="0"/>
    <n v="0"/>
    <n v="0"/>
    <n v="0"/>
    <n v="0"/>
    <n v="0"/>
    <n v="0"/>
    <n v="0"/>
    <n v="0"/>
    <n v="0"/>
    <n v="0"/>
    <n v="29.21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"/>
    <x v="33"/>
  </r>
  <r>
    <x v="3"/>
    <x v="3"/>
    <x v="1091"/>
    <x v="1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7"/>
    <x v="33"/>
  </r>
  <r>
    <x v="3"/>
    <x v="3"/>
    <x v="1092"/>
    <x v="10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8"/>
    <x v="33"/>
  </r>
  <r>
    <x v="3"/>
    <x v="3"/>
    <x v="1093"/>
    <x v="1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9"/>
    <x v="33"/>
  </r>
  <r>
    <x v="3"/>
    <x v="3"/>
    <x v="1094"/>
    <x v="1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0"/>
    <x v="33"/>
  </r>
  <r>
    <x v="3"/>
    <x v="3"/>
    <x v="1095"/>
    <x v="10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1"/>
    <x v="33"/>
  </r>
  <r>
    <x v="3"/>
    <x v="3"/>
    <x v="1096"/>
    <x v="1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2"/>
    <x v="33"/>
  </r>
  <r>
    <x v="3"/>
    <x v="3"/>
    <x v="1097"/>
    <x v="1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3"/>
    <x v="33"/>
  </r>
  <r>
    <x v="3"/>
    <x v="3"/>
    <x v="1098"/>
    <x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4"/>
    <x v="33"/>
  </r>
  <r>
    <x v="3"/>
    <x v="3"/>
    <x v="1099"/>
    <x v="1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5"/>
    <x v="33"/>
  </r>
  <r>
    <x v="3"/>
    <x v="3"/>
    <x v="1100"/>
    <x v="1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6"/>
    <x v="33"/>
  </r>
  <r>
    <x v="3"/>
    <x v="3"/>
    <x v="1101"/>
    <x v="1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2"/>
    <x v="17"/>
    <x v="33"/>
  </r>
  <r>
    <x v="3"/>
    <x v="3"/>
    <x v="1102"/>
    <x v="1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3"/>
    <x v="33"/>
  </r>
  <r>
    <x v="3"/>
    <x v="3"/>
    <x v="1103"/>
    <x v="1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4"/>
    <x v="33"/>
  </r>
  <r>
    <x v="3"/>
    <x v="3"/>
    <x v="1104"/>
    <x v="1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0"/>
    <x v="33"/>
  </r>
  <r>
    <x v="3"/>
    <x v="3"/>
    <x v="1105"/>
    <x v="1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5"/>
    <x v="33"/>
  </r>
  <r>
    <x v="3"/>
    <x v="3"/>
    <x v="1106"/>
    <x v="1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6"/>
    <x v="33"/>
  </r>
  <r>
    <x v="3"/>
    <x v="3"/>
    <x v="1107"/>
    <x v="1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"/>
    <x v="33"/>
  </r>
  <r>
    <x v="3"/>
    <x v="3"/>
    <x v="1108"/>
    <x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7"/>
    <x v="33"/>
  </r>
  <r>
    <x v="3"/>
    <x v="3"/>
    <x v="1109"/>
    <x v="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8"/>
    <x v="33"/>
  </r>
  <r>
    <x v="3"/>
    <x v="3"/>
    <x v="1110"/>
    <x v="1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9"/>
    <x v="33"/>
  </r>
  <r>
    <x v="3"/>
    <x v="3"/>
    <x v="1111"/>
    <x v="1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0"/>
    <x v="33"/>
  </r>
  <r>
    <x v="3"/>
    <x v="3"/>
    <x v="1112"/>
    <x v="1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1"/>
    <x v="33"/>
  </r>
  <r>
    <x v="3"/>
    <x v="3"/>
    <x v="1113"/>
    <x v="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2"/>
    <x v="33"/>
  </r>
  <r>
    <x v="3"/>
    <x v="3"/>
    <x v="1114"/>
    <x v="1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3"/>
    <x v="33"/>
  </r>
  <r>
    <x v="3"/>
    <x v="3"/>
    <x v="1115"/>
    <x v="1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4"/>
    <x v="33"/>
  </r>
  <r>
    <x v="3"/>
    <x v="3"/>
    <x v="1116"/>
    <x v="1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5"/>
    <x v="33"/>
  </r>
  <r>
    <x v="3"/>
    <x v="3"/>
    <x v="1117"/>
    <x v="1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6"/>
    <x v="33"/>
  </r>
  <r>
    <x v="3"/>
    <x v="3"/>
    <x v="1118"/>
    <x v="1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3"/>
    <x v="17"/>
    <x v="33"/>
  </r>
  <r>
    <x v="3"/>
    <x v="3"/>
    <x v="1119"/>
    <x v="1121"/>
    <n v="0"/>
    <n v="0"/>
    <n v="0"/>
    <n v="0"/>
    <n v="0"/>
    <n v="0"/>
    <n v="0"/>
    <n v="0"/>
    <n v="0"/>
    <n v="0"/>
    <n v="0"/>
    <n v="0"/>
    <n v="60.37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0"/>
    <n v="0"/>
    <n v="0"/>
    <n v="0"/>
    <n v="75"/>
    <n v="0"/>
    <n v="0"/>
    <n v="0"/>
    <n v="0"/>
    <n v="0"/>
    <n v="0"/>
    <x v="2"/>
    <x v="4"/>
    <s v="81160                   "/>
    <x v="14"/>
    <x v="3"/>
    <x v="33"/>
  </r>
  <r>
    <x v="3"/>
    <x v="3"/>
    <x v="1120"/>
    <x v="1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4"/>
    <x v="33"/>
  </r>
  <r>
    <x v="3"/>
    <x v="3"/>
    <x v="1121"/>
    <x v="1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0"/>
    <x v="33"/>
  </r>
  <r>
    <x v="3"/>
    <x v="3"/>
    <x v="1122"/>
    <x v="1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5"/>
    <x v="33"/>
  </r>
  <r>
    <x v="3"/>
    <x v="3"/>
    <x v="1123"/>
    <x v="1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6"/>
    <x v="33"/>
  </r>
  <r>
    <x v="3"/>
    <x v="3"/>
    <x v="1124"/>
    <x v="1126"/>
    <n v="0"/>
    <n v="0"/>
    <n v="0"/>
    <n v="0"/>
    <n v="0"/>
    <n v="0"/>
    <n v="0"/>
    <n v="6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"/>
    <x v="33"/>
  </r>
  <r>
    <x v="3"/>
    <x v="3"/>
    <x v="1125"/>
    <x v="1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7"/>
    <x v="33"/>
  </r>
  <r>
    <x v="3"/>
    <x v="3"/>
    <x v="1126"/>
    <x v="1128"/>
    <n v="0"/>
    <n v="0"/>
    <n v="0"/>
    <n v="0"/>
    <n v="0"/>
    <n v="0"/>
    <n v="0"/>
    <n v="0"/>
    <n v="0"/>
    <n v="0"/>
    <n v="0"/>
    <n v="6.3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8"/>
    <x v="33"/>
  </r>
  <r>
    <x v="3"/>
    <x v="3"/>
    <x v="1127"/>
    <x v="1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9"/>
    <x v="33"/>
  </r>
  <r>
    <x v="3"/>
    <x v="3"/>
    <x v="1128"/>
    <x v="1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0"/>
    <x v="33"/>
  </r>
  <r>
    <x v="3"/>
    <x v="3"/>
    <x v="1129"/>
    <x v="1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1"/>
    <x v="33"/>
  </r>
  <r>
    <x v="3"/>
    <x v="3"/>
    <x v="1130"/>
    <x v="1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2"/>
    <x v="33"/>
  </r>
  <r>
    <x v="3"/>
    <x v="3"/>
    <x v="1131"/>
    <x v="1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3"/>
    <x v="33"/>
  </r>
  <r>
    <x v="3"/>
    <x v="3"/>
    <x v="1132"/>
    <x v="1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4"/>
    <x v="33"/>
  </r>
  <r>
    <x v="3"/>
    <x v="3"/>
    <x v="1133"/>
    <x v="1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5"/>
    <x v="33"/>
  </r>
  <r>
    <x v="3"/>
    <x v="3"/>
    <x v="1134"/>
    <x v="1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6"/>
    <x v="33"/>
  </r>
  <r>
    <x v="3"/>
    <x v="3"/>
    <x v="1135"/>
    <x v="1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4"/>
    <x v="17"/>
    <x v="33"/>
  </r>
  <r>
    <x v="3"/>
    <x v="3"/>
    <x v="1136"/>
    <x v="1138"/>
    <n v="0"/>
    <n v="0"/>
    <n v="0"/>
    <n v="0"/>
    <n v="0"/>
    <n v="0"/>
    <n v="0"/>
    <n v="0"/>
    <n v="0"/>
    <n v="0"/>
    <n v="0"/>
    <n v="0"/>
    <n v="111.4"/>
    <n v="23.15"/>
    <n v="0"/>
    <n v="0"/>
    <n v="0"/>
    <n v="0"/>
    <n v="0"/>
    <n v="0"/>
    <n v="0"/>
    <n v="0"/>
    <n v="0"/>
    <n v="0"/>
    <n v="0"/>
    <n v="16.10000000000000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25"/>
    <n v="0"/>
    <n v="0"/>
    <n v="0"/>
    <n v="0"/>
    <n v="0"/>
    <n v="0"/>
    <n v="0"/>
    <n v="0"/>
    <n v="0"/>
    <n v="0"/>
    <x v="2"/>
    <x v="4"/>
    <s v="81160                   "/>
    <x v="15"/>
    <x v="3"/>
    <x v="33"/>
  </r>
  <r>
    <x v="3"/>
    <x v="3"/>
    <x v="1137"/>
    <x v="1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4"/>
    <x v="33"/>
  </r>
  <r>
    <x v="3"/>
    <x v="3"/>
    <x v="1138"/>
    <x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0"/>
    <x v="33"/>
  </r>
  <r>
    <x v="3"/>
    <x v="3"/>
    <x v="1139"/>
    <x v="1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5"/>
    <x v="33"/>
  </r>
  <r>
    <x v="3"/>
    <x v="3"/>
    <x v="1140"/>
    <x v="1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6"/>
    <x v="33"/>
  </r>
  <r>
    <x v="3"/>
    <x v="3"/>
    <x v="1141"/>
    <x v="1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"/>
    <x v="33"/>
  </r>
  <r>
    <x v="3"/>
    <x v="3"/>
    <x v="1142"/>
    <x v="1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7"/>
    <x v="33"/>
  </r>
  <r>
    <x v="3"/>
    <x v="3"/>
    <x v="1143"/>
    <x v="1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8"/>
    <x v="33"/>
  </r>
  <r>
    <x v="3"/>
    <x v="3"/>
    <x v="1144"/>
    <x v="1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9"/>
    <x v="33"/>
  </r>
  <r>
    <x v="3"/>
    <x v="3"/>
    <x v="1145"/>
    <x v="1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0"/>
    <x v="33"/>
  </r>
  <r>
    <x v="3"/>
    <x v="3"/>
    <x v="1146"/>
    <x v="1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1"/>
    <x v="33"/>
  </r>
  <r>
    <x v="3"/>
    <x v="3"/>
    <x v="1147"/>
    <x v="1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2"/>
    <x v="33"/>
  </r>
  <r>
    <x v="3"/>
    <x v="3"/>
    <x v="1148"/>
    <x v="1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3"/>
    <x v="33"/>
  </r>
  <r>
    <x v="3"/>
    <x v="3"/>
    <x v="1149"/>
    <x v="1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4"/>
    <x v="33"/>
  </r>
  <r>
    <x v="3"/>
    <x v="3"/>
    <x v="1150"/>
    <x v="1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5"/>
    <x v="33"/>
  </r>
  <r>
    <x v="3"/>
    <x v="3"/>
    <x v="1151"/>
    <x v="1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6"/>
    <x v="33"/>
  </r>
  <r>
    <x v="3"/>
    <x v="3"/>
    <x v="1152"/>
    <x v="1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5"/>
    <x v="17"/>
    <x v="33"/>
  </r>
  <r>
    <x v="3"/>
    <x v="3"/>
    <x v="1153"/>
    <x v="1155"/>
    <n v="0"/>
    <n v="0"/>
    <n v="0"/>
    <n v="0"/>
    <n v="0"/>
    <n v="0"/>
    <n v="4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7"/>
    <x v="3"/>
    <x v="38"/>
  </r>
  <r>
    <x v="3"/>
    <x v="3"/>
    <x v="1154"/>
    <x v="1156"/>
    <n v="0"/>
    <n v="0"/>
    <n v="0"/>
    <n v="0"/>
    <n v="0"/>
    <n v="0"/>
    <n v="4.8600000000000003"/>
    <n v="0"/>
    <n v="0"/>
    <n v="0"/>
    <n v="0"/>
    <n v="0"/>
    <n v="0"/>
    <n v="0"/>
    <n v="0"/>
    <n v="56.1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7"/>
    <x v="1"/>
    <x v="38"/>
  </r>
  <r>
    <x v="3"/>
    <x v="3"/>
    <x v="1155"/>
    <x v="1157"/>
    <n v="0"/>
    <n v="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7"/>
    <x v="8"/>
    <x v="38"/>
  </r>
  <r>
    <x v="3"/>
    <x v="3"/>
    <x v="1156"/>
    <x v="1158"/>
    <n v="0"/>
    <n v="0"/>
    <n v="0"/>
    <n v="0"/>
    <n v="0"/>
    <n v="0"/>
    <n v="0"/>
    <n v="3354.03"/>
    <n v="233.58"/>
    <n v="1623.05"/>
    <n v="812.92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7"/>
    <x v="11"/>
    <x v="38"/>
  </r>
  <r>
    <x v="3"/>
    <x v="3"/>
    <x v="1157"/>
    <x v="1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7"/>
    <x v="13"/>
    <x v="38"/>
  </r>
  <r>
    <x v="3"/>
    <x v="3"/>
    <x v="1158"/>
    <x v="1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3"/>
    <x v="33"/>
  </r>
  <r>
    <x v="3"/>
    <x v="3"/>
    <x v="1159"/>
    <x v="1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4"/>
    <x v="33"/>
  </r>
  <r>
    <x v="3"/>
    <x v="3"/>
    <x v="1160"/>
    <x v="1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0"/>
    <x v="33"/>
  </r>
  <r>
    <x v="3"/>
    <x v="3"/>
    <x v="1161"/>
    <x v="1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5"/>
    <x v="33"/>
  </r>
  <r>
    <x v="3"/>
    <x v="3"/>
    <x v="1162"/>
    <x v="1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6"/>
    <x v="33"/>
  </r>
  <r>
    <x v="3"/>
    <x v="3"/>
    <x v="1163"/>
    <x v="1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"/>
    <x v="33"/>
  </r>
  <r>
    <x v="3"/>
    <x v="3"/>
    <x v="1164"/>
    <x v="1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7"/>
    <x v="33"/>
  </r>
  <r>
    <x v="3"/>
    <x v="3"/>
    <x v="1165"/>
    <x v="1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8"/>
    <x v="33"/>
  </r>
  <r>
    <x v="3"/>
    <x v="3"/>
    <x v="1166"/>
    <x v="1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9"/>
    <x v="33"/>
  </r>
  <r>
    <x v="3"/>
    <x v="3"/>
    <x v="1167"/>
    <x v="1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0"/>
    <x v="33"/>
  </r>
  <r>
    <x v="3"/>
    <x v="3"/>
    <x v="1168"/>
    <x v="1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1"/>
    <x v="33"/>
  </r>
  <r>
    <x v="3"/>
    <x v="3"/>
    <x v="1169"/>
    <x v="1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2"/>
    <x v="33"/>
  </r>
  <r>
    <x v="3"/>
    <x v="3"/>
    <x v="1170"/>
    <x v="1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3"/>
    <x v="33"/>
  </r>
  <r>
    <x v="3"/>
    <x v="3"/>
    <x v="1171"/>
    <x v="1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4"/>
    <x v="33"/>
  </r>
  <r>
    <x v="3"/>
    <x v="3"/>
    <x v="1172"/>
    <x v="1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5"/>
    <x v="33"/>
  </r>
  <r>
    <x v="3"/>
    <x v="3"/>
    <x v="1173"/>
    <x v="1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6"/>
    <x v="33"/>
  </r>
  <r>
    <x v="3"/>
    <x v="3"/>
    <x v="1174"/>
    <x v="1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8"/>
    <x v="17"/>
    <x v="33"/>
  </r>
  <r>
    <x v="3"/>
    <x v="3"/>
    <x v="1175"/>
    <x v="1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3"/>
    <x v="33"/>
  </r>
  <r>
    <x v="3"/>
    <x v="3"/>
    <x v="1176"/>
    <x v="1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4"/>
    <x v="33"/>
  </r>
  <r>
    <x v="3"/>
    <x v="3"/>
    <x v="1177"/>
    <x v="1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0"/>
    <x v="33"/>
  </r>
  <r>
    <x v="3"/>
    <x v="3"/>
    <x v="1178"/>
    <x v="1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5"/>
    <x v="33"/>
  </r>
  <r>
    <x v="3"/>
    <x v="3"/>
    <x v="1179"/>
    <x v="1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6"/>
    <x v="33"/>
  </r>
  <r>
    <x v="3"/>
    <x v="3"/>
    <x v="1180"/>
    <x v="1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"/>
    <x v="33"/>
  </r>
  <r>
    <x v="3"/>
    <x v="3"/>
    <x v="1181"/>
    <x v="1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7"/>
    <x v="33"/>
  </r>
  <r>
    <x v="3"/>
    <x v="3"/>
    <x v="1182"/>
    <x v="1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8"/>
    <x v="33"/>
  </r>
  <r>
    <x v="3"/>
    <x v="3"/>
    <x v="1183"/>
    <x v="1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9"/>
    <x v="33"/>
  </r>
  <r>
    <x v="3"/>
    <x v="3"/>
    <x v="1184"/>
    <x v="1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0"/>
    <x v="33"/>
  </r>
  <r>
    <x v="3"/>
    <x v="3"/>
    <x v="1185"/>
    <x v="11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1"/>
    <x v="33"/>
  </r>
  <r>
    <x v="3"/>
    <x v="3"/>
    <x v="1186"/>
    <x v="1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2"/>
    <x v="33"/>
  </r>
  <r>
    <x v="3"/>
    <x v="3"/>
    <x v="1187"/>
    <x v="1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3"/>
    <x v="33"/>
  </r>
  <r>
    <x v="3"/>
    <x v="3"/>
    <x v="1188"/>
    <x v="1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4"/>
    <x v="33"/>
  </r>
  <r>
    <x v="3"/>
    <x v="3"/>
    <x v="1189"/>
    <x v="1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5"/>
    <x v="33"/>
  </r>
  <r>
    <x v="3"/>
    <x v="3"/>
    <x v="1190"/>
    <x v="1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6"/>
    <x v="33"/>
  </r>
  <r>
    <x v="3"/>
    <x v="3"/>
    <x v="1191"/>
    <x v="1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19"/>
    <x v="17"/>
    <x v="33"/>
  </r>
  <r>
    <x v="3"/>
    <x v="3"/>
    <x v="1192"/>
    <x v="1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3"/>
    <x v="33"/>
  </r>
  <r>
    <x v="3"/>
    <x v="3"/>
    <x v="1193"/>
    <x v="1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4"/>
    <x v="33"/>
  </r>
  <r>
    <x v="3"/>
    <x v="3"/>
    <x v="1194"/>
    <x v="1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0"/>
    <x v="33"/>
  </r>
  <r>
    <x v="3"/>
    <x v="3"/>
    <x v="1195"/>
    <x v="1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5"/>
    <x v="33"/>
  </r>
  <r>
    <x v="3"/>
    <x v="3"/>
    <x v="1196"/>
    <x v="1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6"/>
    <x v="33"/>
  </r>
  <r>
    <x v="3"/>
    <x v="3"/>
    <x v="1197"/>
    <x v="1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"/>
    <x v="33"/>
  </r>
  <r>
    <x v="3"/>
    <x v="3"/>
    <x v="1198"/>
    <x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7"/>
    <x v="33"/>
  </r>
  <r>
    <x v="3"/>
    <x v="3"/>
    <x v="1199"/>
    <x v="1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8"/>
    <x v="33"/>
  </r>
  <r>
    <x v="3"/>
    <x v="3"/>
    <x v="1200"/>
    <x v="1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9"/>
    <x v="33"/>
  </r>
  <r>
    <x v="3"/>
    <x v="3"/>
    <x v="1201"/>
    <x v="1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0"/>
    <x v="33"/>
  </r>
  <r>
    <x v="3"/>
    <x v="3"/>
    <x v="1202"/>
    <x v="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1"/>
    <x v="33"/>
  </r>
  <r>
    <x v="3"/>
    <x v="3"/>
    <x v="1203"/>
    <x v="1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2"/>
    <x v="33"/>
  </r>
  <r>
    <x v="3"/>
    <x v="3"/>
    <x v="1204"/>
    <x v="1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3"/>
    <x v="33"/>
  </r>
  <r>
    <x v="3"/>
    <x v="3"/>
    <x v="1205"/>
    <x v="1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4"/>
    <x v="33"/>
  </r>
  <r>
    <x v="3"/>
    <x v="3"/>
    <x v="1206"/>
    <x v="1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5"/>
    <x v="33"/>
  </r>
  <r>
    <x v="3"/>
    <x v="3"/>
    <x v="1207"/>
    <x v="1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6"/>
    <x v="33"/>
  </r>
  <r>
    <x v="3"/>
    <x v="3"/>
    <x v="1208"/>
    <x v="1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60                   "/>
    <x v="22"/>
    <x v="17"/>
    <x v="33"/>
  </r>
  <r>
    <x v="3"/>
    <x v="3"/>
    <x v="1209"/>
    <x v="12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8"/>
    <x v="9"/>
    <x v="36"/>
  </r>
  <r>
    <x v="3"/>
    <x v="3"/>
    <x v="1210"/>
    <x v="1212"/>
    <n v="124.75"/>
    <n v="0"/>
    <n v="0"/>
    <n v="0"/>
    <n v="4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3"/>
    <x v="37"/>
  </r>
  <r>
    <x v="3"/>
    <x v="3"/>
    <x v="1211"/>
    <x v="1213"/>
    <n v="0"/>
    <n v="0"/>
    <n v="0"/>
    <n v="0"/>
    <n v="0"/>
    <n v="0"/>
    <n v="0"/>
    <n v="0"/>
    <n v="0"/>
    <n v="78.8"/>
    <n v="0"/>
    <n v="0"/>
    <n v="0"/>
    <n v="0"/>
    <n v="0"/>
    <n v="156.4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4"/>
    <x v="37"/>
  </r>
  <r>
    <x v="3"/>
    <x v="3"/>
    <x v="1212"/>
    <x v="1214"/>
    <n v="0"/>
    <n v="0"/>
    <n v="0"/>
    <n v="17.399999999999999"/>
    <n v="0"/>
    <n v="0"/>
    <n v="0"/>
    <n v="0"/>
    <n v="0"/>
    <n v="0"/>
    <n v="0"/>
    <n v="0"/>
    <n v="0"/>
    <n v="0"/>
    <n v="0"/>
    <n v="556.59"/>
    <n v="514.1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0"/>
    <n v="0"/>
    <n v="0"/>
    <n v="0"/>
    <n v="0"/>
    <n v="0"/>
    <n v="0"/>
    <x v="2"/>
    <x v="4"/>
    <s v="81170                   "/>
    <x v="11"/>
    <x v="1"/>
    <x v="37"/>
  </r>
  <r>
    <x v="3"/>
    <x v="3"/>
    <x v="1213"/>
    <x v="1215"/>
    <n v="0"/>
    <n v="0"/>
    <n v="0"/>
    <n v="0"/>
    <n v="0"/>
    <n v="0"/>
    <n v="0"/>
    <n v="0"/>
    <n v="0"/>
    <n v="69"/>
    <n v="0"/>
    <n v="204.96"/>
    <n v="0"/>
    <n v="0"/>
    <n v="0"/>
    <n v="0"/>
    <n v="0"/>
    <n v="0"/>
    <n v="0"/>
    <n v="0"/>
    <n v="0"/>
    <n v="0"/>
    <n v="0"/>
    <n v="0"/>
    <n v="45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69"/>
    <n v="0"/>
    <n v="205"/>
    <x v="2"/>
    <x v="4"/>
    <s v="81170                   "/>
    <x v="11"/>
    <x v="8"/>
    <x v="37"/>
  </r>
  <r>
    <x v="3"/>
    <x v="3"/>
    <x v="1214"/>
    <x v="1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9"/>
    <x v="37"/>
  </r>
  <r>
    <x v="3"/>
    <x v="3"/>
    <x v="1215"/>
    <x v="1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10"/>
    <x v="37"/>
  </r>
  <r>
    <x v="3"/>
    <x v="3"/>
    <x v="1216"/>
    <x v="1218"/>
    <n v="0"/>
    <n v="0"/>
    <n v="0"/>
    <n v="0"/>
    <n v="0"/>
    <n v="630"/>
    <n v="519"/>
    <n v="0"/>
    <n v="0"/>
    <n v="89"/>
    <n v="0"/>
    <n v="0"/>
    <n v="0"/>
    <n v="89"/>
    <n v="0"/>
    <n v="299.94"/>
    <n v="0"/>
    <n v="0"/>
    <n v="92.9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0"/>
    <n v="0"/>
    <n v="0"/>
    <n v="250"/>
    <n v="0"/>
    <n v="0"/>
    <n v="250"/>
    <n v="0"/>
    <n v="0"/>
    <n v="25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11"/>
    <x v="37"/>
  </r>
  <r>
    <x v="3"/>
    <x v="3"/>
    <x v="1217"/>
    <x v="1219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300"/>
    <n v="0"/>
    <n v="0"/>
    <n v="300"/>
    <n v="0"/>
    <n v="0"/>
    <n v="300"/>
    <n v="0"/>
    <x v="2"/>
    <x v="4"/>
    <s v="81170                   "/>
    <x v="11"/>
    <x v="12"/>
    <x v="37"/>
  </r>
  <r>
    <x v="3"/>
    <x v="3"/>
    <x v="1218"/>
    <x v="1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13"/>
    <x v="37"/>
  </r>
  <r>
    <x v="3"/>
    <x v="3"/>
    <x v="1219"/>
    <x v="1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14"/>
    <x v="37"/>
  </r>
  <r>
    <x v="3"/>
    <x v="3"/>
    <x v="1220"/>
    <x v="1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500"/>
    <n v="0"/>
    <n v="0"/>
    <n v="500"/>
    <n v="0"/>
    <n v="0"/>
    <n v="500"/>
    <n v="0"/>
    <n v="0"/>
    <n v="0"/>
    <n v="0"/>
    <n v="0"/>
    <n v="0"/>
    <n v="0"/>
    <n v="0"/>
    <n v="0"/>
    <n v="0"/>
    <n v="0"/>
    <n v="0"/>
    <n v="0"/>
    <x v="2"/>
    <x v="4"/>
    <s v="81170                   "/>
    <x v="11"/>
    <x v="16"/>
    <x v="37"/>
  </r>
  <r>
    <x v="3"/>
    <x v="3"/>
    <x v="1221"/>
    <x v="1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3"/>
    <x v="33"/>
  </r>
  <r>
    <x v="3"/>
    <x v="3"/>
    <x v="1222"/>
    <x v="1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1"/>
    <x v="33"/>
  </r>
  <r>
    <x v="3"/>
    <x v="3"/>
    <x v="1223"/>
    <x v="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7"/>
    <x v="33"/>
  </r>
  <r>
    <x v="3"/>
    <x v="3"/>
    <x v="1224"/>
    <x v="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8"/>
    <x v="33"/>
  </r>
  <r>
    <x v="3"/>
    <x v="3"/>
    <x v="1225"/>
    <x v="12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10"/>
    <x v="33"/>
  </r>
  <r>
    <x v="3"/>
    <x v="3"/>
    <x v="1226"/>
    <x v="1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4"/>
    <x v="13"/>
    <x v="33"/>
  </r>
  <r>
    <x v="3"/>
    <x v="3"/>
    <x v="1227"/>
    <x v="1229"/>
    <n v="0"/>
    <n v="0"/>
    <n v="0"/>
    <n v="0"/>
    <n v="0"/>
    <n v="0"/>
    <n v="0"/>
    <n v="0"/>
    <n v="0"/>
    <n v="0"/>
    <n v="0"/>
    <n v="0"/>
    <n v="0"/>
    <n v="0"/>
    <n v="0"/>
    <n v="58.0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0"/>
    <n v="0"/>
    <n v="0"/>
    <n v="0"/>
    <n v="0"/>
    <n v="0"/>
    <n v="0"/>
    <x v="2"/>
    <x v="4"/>
    <s v="81170                   "/>
    <x v="15"/>
    <x v="3"/>
    <x v="33"/>
  </r>
  <r>
    <x v="3"/>
    <x v="3"/>
    <x v="1228"/>
    <x v="1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3"/>
    <x v="38"/>
  </r>
  <r>
    <x v="3"/>
    <x v="3"/>
    <x v="1229"/>
    <x v="1231"/>
    <n v="0"/>
    <n v="0"/>
    <n v="0"/>
    <n v="0"/>
    <n v="0"/>
    <n v="0"/>
    <n v="0"/>
    <n v="0"/>
    <n v="0"/>
    <n v="0"/>
    <n v="0"/>
    <n v="0"/>
    <n v="64.5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0"/>
    <x v="38"/>
  </r>
  <r>
    <x v="3"/>
    <x v="3"/>
    <x v="1230"/>
    <x v="1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x v="2"/>
    <x v="4"/>
    <s v="81170                   "/>
    <x v="17"/>
    <x v="1"/>
    <x v="38"/>
  </r>
  <r>
    <x v="3"/>
    <x v="3"/>
    <x v="1231"/>
    <x v="1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3.9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7"/>
    <x v="38"/>
  </r>
  <r>
    <x v="3"/>
    <x v="3"/>
    <x v="1232"/>
    <x v="1234"/>
    <n v="0"/>
    <n v="0"/>
    <n v="1898.86"/>
    <n v="0"/>
    <n v="0"/>
    <n v="0"/>
    <n v="0"/>
    <n v="0"/>
    <n v="0"/>
    <n v="0"/>
    <n v="0"/>
    <n v="0"/>
    <n v="64.5"/>
    <n v="0"/>
    <n v="0"/>
    <n v="0"/>
    <n v="0"/>
    <n v="8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8"/>
    <x v="38"/>
  </r>
  <r>
    <x v="3"/>
    <x v="3"/>
    <x v="1233"/>
    <x v="1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9"/>
    <x v="38"/>
  </r>
  <r>
    <x v="3"/>
    <x v="3"/>
    <x v="1234"/>
    <x v="1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10"/>
    <x v="38"/>
  </r>
  <r>
    <x v="3"/>
    <x v="3"/>
    <x v="1235"/>
    <x v="1237"/>
    <n v="0"/>
    <n v="0"/>
    <n v="0"/>
    <n v="0"/>
    <n v="0"/>
    <n v="0"/>
    <n v="3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11"/>
    <x v="38"/>
  </r>
  <r>
    <x v="3"/>
    <x v="3"/>
    <x v="1236"/>
    <x v="1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x v="2"/>
    <x v="4"/>
    <s v="81170                   "/>
    <x v="17"/>
    <x v="12"/>
    <x v="38"/>
  </r>
  <r>
    <x v="3"/>
    <x v="3"/>
    <x v="1237"/>
    <x v="1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3.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x v="2"/>
    <x v="4"/>
    <s v="81170                   "/>
    <x v="17"/>
    <x v="13"/>
    <x v="38"/>
  </r>
  <r>
    <x v="3"/>
    <x v="3"/>
    <x v="1238"/>
    <x v="1240"/>
    <n v="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15"/>
    <x v="38"/>
  </r>
  <r>
    <x v="3"/>
    <x v="3"/>
    <x v="1239"/>
    <x v="1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17"/>
    <x v="16"/>
    <x v="38"/>
  </r>
  <r>
    <x v="3"/>
    <x v="3"/>
    <x v="1240"/>
    <x v="12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70                   "/>
    <x v="22"/>
    <x v="12"/>
    <x v="33"/>
  </r>
  <r>
    <x v="3"/>
    <x v="3"/>
    <x v="1241"/>
    <x v="1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2"/>
    <x v="3"/>
    <x v="33"/>
  </r>
  <r>
    <x v="3"/>
    <x v="3"/>
    <x v="1242"/>
    <x v="1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2"/>
    <x v="1"/>
    <x v="33"/>
  </r>
  <r>
    <x v="3"/>
    <x v="3"/>
    <x v="1243"/>
    <x v="1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2"/>
    <x v="10"/>
    <x v="33"/>
  </r>
  <r>
    <x v="3"/>
    <x v="3"/>
    <x v="1244"/>
    <x v="1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2"/>
    <x v="13"/>
    <x v="33"/>
  </r>
  <r>
    <x v="3"/>
    <x v="3"/>
    <x v="1245"/>
    <x v="1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2"/>
    <x v="15"/>
    <x v="33"/>
  </r>
  <r>
    <x v="3"/>
    <x v="3"/>
    <x v="1246"/>
    <x v="1248"/>
    <n v="0"/>
    <n v="0"/>
    <n v="0"/>
    <n v="0"/>
    <n v="0"/>
    <n v="0"/>
    <n v="0"/>
    <n v="0"/>
    <n v="75"/>
    <n v="36.85"/>
    <n v="0"/>
    <n v="0"/>
    <n v="0"/>
    <n v="0"/>
    <n v="22.5"/>
    <n v="0"/>
    <n v="0"/>
    <n v="92.77"/>
    <n v="45"/>
    <n v="4139.13"/>
    <n v="0"/>
    <n v="17.38"/>
    <n v="0"/>
    <n v="94.92"/>
    <n v="19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0"/>
    <n v="0"/>
    <n v="25"/>
    <n v="0"/>
    <n v="0"/>
    <n v="100"/>
    <n v="50"/>
    <n v="4200"/>
    <n v="75"/>
    <n v="50"/>
    <n v="0"/>
    <n v="0"/>
    <x v="2"/>
    <x v="4"/>
    <s v="81180                   "/>
    <x v="11"/>
    <x v="3"/>
    <x v="37"/>
  </r>
  <r>
    <x v="3"/>
    <x v="3"/>
    <x v="1247"/>
    <x v="1249"/>
    <n v="0"/>
    <n v="157.16999999999999"/>
    <n v="55.13"/>
    <n v="0"/>
    <n v="0"/>
    <n v="0"/>
    <n v="0"/>
    <n v="205"/>
    <n v="0"/>
    <n v="56.25"/>
    <n v="29.9"/>
    <n v="0"/>
    <n v="66.25"/>
    <n v="0"/>
    <n v="245.84"/>
    <n v="0"/>
    <n v="144.30000000000001"/>
    <n v="7.98"/>
    <n v="42.2"/>
    <n v="9.35"/>
    <n v="107.44"/>
    <n v="69.5"/>
    <n v="0"/>
    <n v="56"/>
    <n v="150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100"/>
    <n v="100"/>
    <n v="100"/>
    <n v="100"/>
    <n v="100"/>
    <n v="100"/>
    <n v="100"/>
    <n v="100"/>
    <n v="100"/>
    <n v="100"/>
    <n v="100"/>
    <n v="100"/>
    <x v="2"/>
    <x v="4"/>
    <s v="81180                   "/>
    <x v="11"/>
    <x v="4"/>
    <x v="37"/>
  </r>
  <r>
    <x v="3"/>
    <x v="3"/>
    <x v="1248"/>
    <x v="1250"/>
    <n v="0"/>
    <n v="37.5"/>
    <n v="0"/>
    <n v="0"/>
    <n v="0"/>
    <n v="0"/>
    <n v="0"/>
    <n v="365.5"/>
    <n v="0"/>
    <n v="0"/>
    <n v="0"/>
    <n v="0"/>
    <n v="37.5"/>
    <n v="0"/>
    <n v="0"/>
    <n v="398.2"/>
    <n v="44.01"/>
    <n v="169"/>
    <n v="244"/>
    <n v="34.799999999999997"/>
    <n v="0"/>
    <n v="0"/>
    <n v="0"/>
    <n v="19.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500"/>
    <n v="0"/>
    <n v="0"/>
    <n v="0"/>
    <n v="500"/>
    <n v="0"/>
    <n v="0"/>
    <n v="0"/>
    <n v="0"/>
    <x v="2"/>
    <x v="4"/>
    <s v="81180                   "/>
    <x v="11"/>
    <x v="1"/>
    <x v="37"/>
  </r>
  <r>
    <x v="3"/>
    <x v="3"/>
    <x v="1249"/>
    <x v="1251"/>
    <n v="0"/>
    <n v="82.17"/>
    <n v="21.83"/>
    <n v="29.5"/>
    <n v="0"/>
    <n v="50.77"/>
    <n v="0"/>
    <n v="75"/>
    <n v="187.5"/>
    <n v="36.85"/>
    <n v="0"/>
    <n v="0"/>
    <n v="18.75"/>
    <n v="0"/>
    <n v="51.84"/>
    <n v="0"/>
    <n v="373.1"/>
    <n v="1250.78"/>
    <n v="169"/>
    <n v="832.03"/>
    <n v="99.97"/>
    <n v="17.38"/>
    <n v="64"/>
    <n v="32.75"/>
    <n v="119.3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25"/>
    <n v="0"/>
    <n v="55"/>
    <n v="0"/>
    <n v="375"/>
    <n v="1250.78"/>
    <n v="169"/>
    <n v="832.03"/>
    <n v="188"/>
    <n v="37"/>
    <n v="0"/>
    <n v="0"/>
    <x v="2"/>
    <x v="4"/>
    <s v="81180                   "/>
    <x v="11"/>
    <x v="8"/>
    <x v="37"/>
  </r>
  <r>
    <x v="3"/>
    <x v="3"/>
    <x v="1250"/>
    <x v="1252"/>
    <n v="0"/>
    <n v="0"/>
    <n v="0"/>
    <n v="29.5"/>
    <n v="0"/>
    <n v="0"/>
    <n v="0"/>
    <n v="0"/>
    <n v="0"/>
    <n v="0"/>
    <n v="0"/>
    <n v="0"/>
    <n v="0"/>
    <n v="0"/>
    <n v="29.34"/>
    <n v="0"/>
    <n v="0"/>
    <n v="0"/>
    <n v="0"/>
    <n v="0"/>
    <n v="0"/>
    <n v="17.36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0"/>
    <n v="0"/>
    <n v="0"/>
    <n v="0"/>
    <n v="0"/>
    <n v="0"/>
    <n v="0"/>
    <x v="2"/>
    <x v="4"/>
    <s v="81180                   "/>
    <x v="11"/>
    <x v="9"/>
    <x v="37"/>
  </r>
  <r>
    <x v="3"/>
    <x v="3"/>
    <x v="1251"/>
    <x v="1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1"/>
    <x v="10"/>
    <x v="37"/>
  </r>
  <r>
    <x v="3"/>
    <x v="3"/>
    <x v="1252"/>
    <x v="1254"/>
    <n v="0"/>
    <n v="0"/>
    <n v="0"/>
    <n v="0"/>
    <n v="0"/>
    <n v="382"/>
    <n v="37"/>
    <n v="647.5"/>
    <n v="0"/>
    <n v="0"/>
    <n v="0"/>
    <n v="0"/>
    <n v="0"/>
    <n v="0"/>
    <n v="311"/>
    <n v="0"/>
    <n v="0"/>
    <n v="0"/>
    <n v="131.9"/>
    <n v="34.78"/>
    <n v="101.23"/>
    <n v="0"/>
    <n v="18.7"/>
    <n v="62.75"/>
    <n v="149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x v="2"/>
    <x v="4"/>
    <s v="81180                   "/>
    <x v="11"/>
    <x v="11"/>
    <x v="37"/>
  </r>
  <r>
    <x v="3"/>
    <x v="3"/>
    <x v="1253"/>
    <x v="1255"/>
    <n v="0"/>
    <n v="0"/>
    <n v="0"/>
    <n v="0"/>
    <n v="0"/>
    <n v="0"/>
    <n v="0"/>
    <n v="0"/>
    <n v="0"/>
    <n v="0"/>
    <n v="0"/>
    <n v="0"/>
    <n v="0"/>
    <n v="0"/>
    <n v="0"/>
    <n v="0"/>
    <n v="0"/>
    <n v="169.58"/>
    <n v="0"/>
    <n v="47.25"/>
    <n v="24.96"/>
    <n v="17.3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1"/>
    <x v="12"/>
    <x v="37"/>
  </r>
  <r>
    <x v="3"/>
    <x v="3"/>
    <x v="1254"/>
    <x v="1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x v="2"/>
    <x v="4"/>
    <s v="81180                   "/>
    <x v="11"/>
    <x v="13"/>
    <x v="37"/>
  </r>
  <r>
    <x v="3"/>
    <x v="3"/>
    <x v="1255"/>
    <x v="1257"/>
    <n v="0"/>
    <n v="0"/>
    <n v="0"/>
    <n v="0"/>
    <n v="0"/>
    <n v="0"/>
    <n v="0"/>
    <n v="0"/>
    <n v="0"/>
    <n v="0"/>
    <n v="0"/>
    <n v="0"/>
    <n v="0"/>
    <n v="0"/>
    <n v="0"/>
    <n v="0"/>
    <n v="211.5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1"/>
    <x v="14"/>
    <x v="37"/>
  </r>
  <r>
    <x v="3"/>
    <x v="3"/>
    <x v="1256"/>
    <x v="1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180                   "/>
    <x v="11"/>
    <x v="15"/>
    <x v="37"/>
  </r>
  <r>
    <x v="3"/>
    <x v="3"/>
    <x v="1257"/>
    <x v="1259"/>
    <n v="0"/>
    <n v="44.66"/>
    <n v="21.84"/>
    <n v="0"/>
    <n v="0"/>
    <n v="0"/>
    <n v="0"/>
    <n v="0"/>
    <n v="0"/>
    <n v="56.25"/>
    <n v="0"/>
    <n v="22.91"/>
    <n v="112.5"/>
    <n v="0"/>
    <n v="0"/>
    <n v="0"/>
    <n v="0"/>
    <n v="0"/>
    <n v="0"/>
    <n v="34.78"/>
    <n v="24.96"/>
    <n v="0"/>
    <n v="0"/>
    <n v="32.75"/>
    <n v="28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12.5"/>
    <n v="0"/>
    <n v="0"/>
    <n v="0"/>
    <n v="0"/>
    <n v="0"/>
    <n v="0"/>
    <n v="35"/>
    <n v="0"/>
    <n v="56"/>
    <n v="0"/>
    <n v="23"/>
    <x v="2"/>
    <x v="4"/>
    <s v="81180                   "/>
    <x v="11"/>
    <x v="16"/>
    <x v="37"/>
  </r>
  <r>
    <x v="3"/>
    <x v="3"/>
    <x v="1258"/>
    <x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4"/>
    <x v="10"/>
    <x v="41"/>
  </r>
  <r>
    <x v="3"/>
    <x v="3"/>
    <x v="1259"/>
    <x v="1261"/>
    <n v="0"/>
    <n v="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7"/>
    <x v="0"/>
    <x v="38"/>
  </r>
  <r>
    <x v="3"/>
    <x v="3"/>
    <x v="1260"/>
    <x v="1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7"/>
    <x v="8"/>
    <x v="38"/>
  </r>
  <r>
    <x v="3"/>
    <x v="3"/>
    <x v="1261"/>
    <x v="1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7"/>
    <x v="9"/>
    <x v="38"/>
  </r>
  <r>
    <x v="3"/>
    <x v="3"/>
    <x v="1262"/>
    <x v="1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80                   "/>
    <x v="17"/>
    <x v="15"/>
    <x v="38"/>
  </r>
  <r>
    <x v="3"/>
    <x v="3"/>
    <x v="1263"/>
    <x v="1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2"/>
    <x v="15"/>
    <x v="33"/>
  </r>
  <r>
    <x v="3"/>
    <x v="3"/>
    <x v="1264"/>
    <x v="1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"/>
    <x v="33"/>
  </r>
  <r>
    <x v="3"/>
    <x v="3"/>
    <x v="1265"/>
    <x v="1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7"/>
    <x v="33"/>
  </r>
  <r>
    <x v="3"/>
    <x v="3"/>
    <x v="1266"/>
    <x v="1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8"/>
    <x v="33"/>
  </r>
  <r>
    <x v="3"/>
    <x v="3"/>
    <x v="1267"/>
    <x v="1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9"/>
    <x v="33"/>
  </r>
  <r>
    <x v="3"/>
    <x v="3"/>
    <x v="1268"/>
    <x v="1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0"/>
    <x v="33"/>
  </r>
  <r>
    <x v="3"/>
    <x v="3"/>
    <x v="1269"/>
    <x v="1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1"/>
    <x v="33"/>
  </r>
  <r>
    <x v="3"/>
    <x v="3"/>
    <x v="1270"/>
    <x v="1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2"/>
    <x v="33"/>
  </r>
  <r>
    <x v="3"/>
    <x v="3"/>
    <x v="1271"/>
    <x v="1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3"/>
    <x v="33"/>
  </r>
  <r>
    <x v="3"/>
    <x v="3"/>
    <x v="1272"/>
    <x v="12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4"/>
    <x v="33"/>
  </r>
  <r>
    <x v="3"/>
    <x v="3"/>
    <x v="1273"/>
    <x v="1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5"/>
    <x v="33"/>
  </r>
  <r>
    <x v="3"/>
    <x v="3"/>
    <x v="1274"/>
    <x v="1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6"/>
    <x v="33"/>
  </r>
  <r>
    <x v="3"/>
    <x v="3"/>
    <x v="1275"/>
    <x v="1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5"/>
    <x v="17"/>
    <x v="33"/>
  </r>
  <r>
    <x v="3"/>
    <x v="3"/>
    <x v="1276"/>
    <x v="1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6"/>
    <x v="36"/>
  </r>
  <r>
    <x v="3"/>
    <x v="3"/>
    <x v="1277"/>
    <x v="1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"/>
    <x v="36"/>
  </r>
  <r>
    <x v="3"/>
    <x v="3"/>
    <x v="1278"/>
    <x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7"/>
    <x v="36"/>
  </r>
  <r>
    <x v="3"/>
    <x v="3"/>
    <x v="1279"/>
    <x v="1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8"/>
    <x v="36"/>
  </r>
  <r>
    <x v="3"/>
    <x v="3"/>
    <x v="1280"/>
    <x v="1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9"/>
    <x v="36"/>
  </r>
  <r>
    <x v="3"/>
    <x v="3"/>
    <x v="1281"/>
    <x v="1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0"/>
    <x v="36"/>
  </r>
  <r>
    <x v="3"/>
    <x v="3"/>
    <x v="1282"/>
    <x v="1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1"/>
    <x v="36"/>
  </r>
  <r>
    <x v="3"/>
    <x v="3"/>
    <x v="1283"/>
    <x v="1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2"/>
    <x v="36"/>
  </r>
  <r>
    <x v="3"/>
    <x v="3"/>
    <x v="1284"/>
    <x v="1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3"/>
    <x v="36"/>
  </r>
  <r>
    <x v="3"/>
    <x v="3"/>
    <x v="1285"/>
    <x v="12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4"/>
    <x v="36"/>
  </r>
  <r>
    <x v="3"/>
    <x v="3"/>
    <x v="1286"/>
    <x v="1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5"/>
    <x v="36"/>
  </r>
  <r>
    <x v="3"/>
    <x v="3"/>
    <x v="1287"/>
    <x v="1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6"/>
    <x v="36"/>
  </r>
  <r>
    <x v="3"/>
    <x v="3"/>
    <x v="1288"/>
    <x v="1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8"/>
    <x v="17"/>
    <x v="36"/>
  </r>
  <r>
    <x v="3"/>
    <x v="3"/>
    <x v="1289"/>
    <x v="1291"/>
    <n v="0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1"/>
    <x v="16"/>
    <x v="37"/>
  </r>
  <r>
    <x v="3"/>
    <x v="3"/>
    <x v="1290"/>
    <x v="1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81190                   "/>
    <x v="12"/>
    <x v="1"/>
    <x v="33"/>
  </r>
  <r>
    <x v="3"/>
    <x v="3"/>
    <x v="1291"/>
    <x v="1293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81190                   "/>
    <x v="12"/>
    <x v="11"/>
    <x v="33"/>
  </r>
  <r>
    <x v="3"/>
    <x v="3"/>
    <x v="1292"/>
    <x v="1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.33"/>
    <n v="0"/>
    <n v="0"/>
    <n v="33.33"/>
    <n v="0"/>
    <n v="0"/>
    <n v="33.33"/>
    <n v="0"/>
    <n v="0"/>
    <n v="33.33"/>
    <n v="0"/>
    <n v="0"/>
    <n v="0"/>
    <n v="0"/>
    <n v="0"/>
    <n v="0"/>
    <n v="0"/>
    <n v="0"/>
    <n v="0"/>
    <n v="0"/>
    <n v="0"/>
    <n v="0"/>
    <n v="0"/>
    <x v="2"/>
    <x v="4"/>
    <s v="81190                   "/>
    <x v="12"/>
    <x v="12"/>
    <x v="33"/>
  </r>
  <r>
    <x v="3"/>
    <x v="3"/>
    <x v="1293"/>
    <x v="1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2"/>
    <x v="13"/>
    <x v="33"/>
  </r>
  <r>
    <x v="3"/>
    <x v="3"/>
    <x v="1294"/>
    <x v="1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7"/>
    <x v="3"/>
    <x v="38"/>
  </r>
  <r>
    <x v="3"/>
    <x v="3"/>
    <x v="1295"/>
    <x v="1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7"/>
    <x v="1"/>
    <x v="38"/>
  </r>
  <r>
    <x v="3"/>
    <x v="3"/>
    <x v="1296"/>
    <x v="1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7"/>
    <x v="8"/>
    <x v="38"/>
  </r>
  <r>
    <x v="3"/>
    <x v="3"/>
    <x v="1297"/>
    <x v="1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17"/>
    <x v="13"/>
    <x v="38"/>
  </r>
  <r>
    <x v="3"/>
    <x v="3"/>
    <x v="1298"/>
    <x v="1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190                   "/>
    <x v="22"/>
    <x v="12"/>
    <x v="33"/>
  </r>
  <r>
    <x v="3"/>
    <x v="3"/>
    <x v="1299"/>
    <x v="1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0"/>
    <n v="500"/>
    <n v="0"/>
    <n v="0"/>
    <n v="50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2"/>
    <x v="3"/>
    <x v="33"/>
  </r>
  <r>
    <x v="3"/>
    <x v="3"/>
    <x v="1300"/>
    <x v="1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2"/>
    <x v="6"/>
    <x v="33"/>
  </r>
  <r>
    <x v="3"/>
    <x v="3"/>
    <x v="1301"/>
    <x v="1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2"/>
    <x v="10"/>
    <x v="33"/>
  </r>
  <r>
    <x v="3"/>
    <x v="3"/>
    <x v="1302"/>
    <x v="1304"/>
    <n v="0"/>
    <n v="0"/>
    <n v="0"/>
    <n v="0"/>
    <n v="0"/>
    <n v="0"/>
    <n v="46.08"/>
    <n v="69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2"/>
    <x v="11"/>
    <x v="33"/>
  </r>
  <r>
    <x v="3"/>
    <x v="3"/>
    <x v="1303"/>
    <x v="1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2"/>
    <x v="15"/>
    <x v="33"/>
  </r>
  <r>
    <x v="3"/>
    <x v="3"/>
    <x v="1304"/>
    <x v="1306"/>
    <n v="0"/>
    <n v="0"/>
    <n v="0"/>
    <n v="0"/>
    <n v="0"/>
    <n v="0"/>
    <n v="0"/>
    <n v="0"/>
    <n v="0"/>
    <n v="0"/>
    <n v="0"/>
    <n v="2500"/>
    <n v="0"/>
    <n v="0"/>
    <n v="0"/>
    <n v="250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2500"/>
    <x v="2"/>
    <x v="4"/>
    <s v="81200                   "/>
    <x v="8"/>
    <x v="2"/>
    <x v="36"/>
  </r>
  <r>
    <x v="3"/>
    <x v="3"/>
    <x v="1305"/>
    <x v="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8"/>
    <x v="3"/>
    <x v="36"/>
  </r>
  <r>
    <x v="3"/>
    <x v="3"/>
    <x v="1306"/>
    <x v="1308"/>
    <n v="353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8"/>
    <x v="1"/>
    <x v="36"/>
  </r>
  <r>
    <x v="3"/>
    <x v="3"/>
    <x v="1307"/>
    <x v="1309"/>
    <n v="0"/>
    <n v="0"/>
    <n v="0"/>
    <n v="2500"/>
    <n v="-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8"/>
    <x v="12"/>
    <x v="36"/>
  </r>
  <r>
    <x v="3"/>
    <x v="3"/>
    <x v="1308"/>
    <x v="1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8"/>
    <x v="13"/>
    <x v="36"/>
  </r>
  <r>
    <x v="3"/>
    <x v="3"/>
    <x v="1309"/>
    <x v="1311"/>
    <n v="226"/>
    <n v="0"/>
    <n v="0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59.81"/>
    <n v="39.7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3"/>
    <x v="37"/>
  </r>
  <r>
    <x v="3"/>
    <x v="3"/>
    <x v="1310"/>
    <x v="1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4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4"/>
    <x v="37"/>
  </r>
  <r>
    <x v="3"/>
    <x v="3"/>
    <x v="1311"/>
    <x v="1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1"/>
    <x v="37"/>
  </r>
  <r>
    <x v="3"/>
    <x v="3"/>
    <x v="1312"/>
    <x v="1314"/>
    <n v="113"/>
    <n v="924.27"/>
    <n v="0"/>
    <n v="0"/>
    <n v="0"/>
    <n v="384"/>
    <n v="0"/>
    <n v="0"/>
    <n v="0"/>
    <n v="0"/>
    <n v="0"/>
    <n v="0"/>
    <n v="0"/>
    <n v="0"/>
    <n v="0"/>
    <n v="0"/>
    <n v="0"/>
    <n v="29.99"/>
    <n v="0"/>
    <n v="65"/>
    <n v="0"/>
    <n v="0"/>
    <n v="67.73"/>
    <n v="39.7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75"/>
    <n v="0"/>
    <n v="0"/>
    <n v="0"/>
    <n v="0"/>
    <x v="2"/>
    <x v="4"/>
    <s v="81200                   "/>
    <x v="11"/>
    <x v="8"/>
    <x v="37"/>
  </r>
  <r>
    <x v="3"/>
    <x v="3"/>
    <x v="1313"/>
    <x v="1315"/>
    <n v="113"/>
    <n v="380.57"/>
    <n v="0"/>
    <n v="170"/>
    <n v="0"/>
    <n v="0"/>
    <n v="282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9"/>
    <x v="37"/>
  </r>
  <r>
    <x v="3"/>
    <x v="3"/>
    <x v="1314"/>
    <x v="1316"/>
    <n v="0"/>
    <n v="20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10"/>
    <x v="37"/>
  </r>
  <r>
    <x v="3"/>
    <x v="3"/>
    <x v="1315"/>
    <x v="1317"/>
    <n v="0"/>
    <n v="0"/>
    <n v="0"/>
    <n v="0"/>
    <n v="0"/>
    <n v="429.5"/>
    <n v="0"/>
    <n v="0"/>
    <n v="0"/>
    <n v="0"/>
    <n v="0"/>
    <n v="0"/>
    <n v="0"/>
    <n v="148"/>
    <n v="0"/>
    <n v="0"/>
    <n v="0"/>
    <n v="0"/>
    <n v="166.1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150"/>
    <n v="0"/>
    <n v="0"/>
    <n v="0"/>
    <n v="0"/>
    <n v="0"/>
    <x v="2"/>
    <x v="4"/>
    <s v="81200                   "/>
    <x v="11"/>
    <x v="11"/>
    <x v="37"/>
  </r>
  <r>
    <x v="3"/>
    <x v="3"/>
    <x v="1316"/>
    <x v="1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5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12"/>
    <x v="37"/>
  </r>
  <r>
    <x v="3"/>
    <x v="3"/>
    <x v="1317"/>
    <x v="1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13"/>
    <x v="37"/>
  </r>
  <r>
    <x v="3"/>
    <x v="3"/>
    <x v="1318"/>
    <x v="1320"/>
    <n v="0"/>
    <n v="601.91999999999996"/>
    <n v="0"/>
    <n v="0"/>
    <n v="0"/>
    <n v="111"/>
    <n v="0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1"/>
    <x v="15"/>
    <x v="37"/>
  </r>
  <r>
    <x v="3"/>
    <x v="3"/>
    <x v="1319"/>
    <x v="1321"/>
    <n v="0"/>
    <n v="185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3"/>
    <x v="33"/>
  </r>
  <r>
    <x v="3"/>
    <x v="3"/>
    <x v="1320"/>
    <x v="1322"/>
    <n v="0"/>
    <n v="0"/>
    <n v="0"/>
    <n v="0"/>
    <n v="0"/>
    <n v="0"/>
    <n v="0"/>
    <n v="0"/>
    <n v="0"/>
    <n v="0"/>
    <n v="0"/>
    <n v="0"/>
    <n v="150"/>
    <n v="276.5"/>
    <n v="0"/>
    <n v="-27.38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1"/>
    <x v="33"/>
  </r>
  <r>
    <x v="3"/>
    <x v="3"/>
    <x v="1321"/>
    <x v="1323"/>
    <n v="0"/>
    <n v="37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8"/>
    <x v="33"/>
  </r>
  <r>
    <x v="3"/>
    <x v="3"/>
    <x v="1322"/>
    <x v="1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9"/>
    <x v="33"/>
  </r>
  <r>
    <x v="3"/>
    <x v="3"/>
    <x v="1323"/>
    <x v="1325"/>
    <n v="0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10"/>
    <x v="33"/>
  </r>
  <r>
    <x v="3"/>
    <x v="3"/>
    <x v="1324"/>
    <x v="1326"/>
    <n v="0"/>
    <n v="0"/>
    <n v="0"/>
    <n v="0"/>
    <n v="0"/>
    <n v="0"/>
    <n v="0"/>
    <n v="0"/>
    <n v="0"/>
    <n v="0"/>
    <n v="0"/>
    <n v="0"/>
    <n v="150"/>
    <n v="276.49"/>
    <n v="0"/>
    <n v="-27.37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11"/>
    <x v="33"/>
  </r>
  <r>
    <x v="3"/>
    <x v="3"/>
    <x v="1325"/>
    <x v="1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12"/>
    <x v="33"/>
  </r>
  <r>
    <x v="3"/>
    <x v="3"/>
    <x v="1326"/>
    <x v="1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2"/>
    <x v="13"/>
    <x v="33"/>
  </r>
  <r>
    <x v="3"/>
    <x v="3"/>
    <x v="1327"/>
    <x v="1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3"/>
    <x v="10"/>
    <x v="33"/>
  </r>
  <r>
    <x v="3"/>
    <x v="3"/>
    <x v="1328"/>
    <x v="1330"/>
    <n v="0"/>
    <n v="0"/>
    <n v="0"/>
    <n v="0"/>
    <n v="0"/>
    <n v="0"/>
    <n v="415.22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3"/>
    <x v="33"/>
  </r>
  <r>
    <x v="3"/>
    <x v="3"/>
    <x v="1329"/>
    <x v="1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1"/>
    <x v="33"/>
  </r>
  <r>
    <x v="3"/>
    <x v="3"/>
    <x v="1330"/>
    <x v="1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7"/>
    <x v="33"/>
  </r>
  <r>
    <x v="3"/>
    <x v="3"/>
    <x v="1331"/>
    <x v="1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8"/>
    <x v="33"/>
  </r>
  <r>
    <x v="3"/>
    <x v="3"/>
    <x v="1332"/>
    <x v="1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10"/>
    <x v="33"/>
  </r>
  <r>
    <x v="3"/>
    <x v="3"/>
    <x v="1333"/>
    <x v="1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4"/>
    <x v="13"/>
    <x v="33"/>
  </r>
  <r>
    <x v="3"/>
    <x v="3"/>
    <x v="1334"/>
    <x v="1336"/>
    <n v="6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5"/>
    <x v="3"/>
    <x v="33"/>
  </r>
  <r>
    <x v="3"/>
    <x v="3"/>
    <x v="1335"/>
    <x v="1337"/>
    <n v="0"/>
    <n v="-37"/>
    <n v="35.520000000000003"/>
    <n v="2010"/>
    <n v="0"/>
    <n v="0"/>
    <n v="-503.33"/>
    <n v="0"/>
    <n v="0"/>
    <n v="0"/>
    <n v="0"/>
    <n v="0"/>
    <n v="0"/>
    <n v="1400"/>
    <n v="400"/>
    <n v="482.76"/>
    <n v="419.25"/>
    <n v="6.39"/>
    <n v="0"/>
    <n v="0"/>
    <n v="0"/>
    <n v="0"/>
    <n v="0"/>
    <n v="0"/>
    <n v="20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3"/>
    <x v="38"/>
  </r>
  <r>
    <x v="3"/>
    <x v="3"/>
    <x v="1336"/>
    <x v="1338"/>
    <n v="0"/>
    <n v="605"/>
    <n v="663.47"/>
    <n v="0"/>
    <n v="0"/>
    <n v="0"/>
    <n v="0"/>
    <n v="0"/>
    <n v="0"/>
    <n v="0"/>
    <n v="189.5"/>
    <n v="350"/>
    <n v="701.25"/>
    <n v="1216.28"/>
    <n v="606.54"/>
    <n v="281.82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0"/>
    <x v="38"/>
  </r>
  <r>
    <x v="3"/>
    <x v="3"/>
    <x v="1337"/>
    <x v="1339"/>
    <n v="0"/>
    <n v="0"/>
    <n v="0"/>
    <n v="0"/>
    <n v="0"/>
    <n v="0"/>
    <n v="0"/>
    <n v="0"/>
    <n v="0"/>
    <n v="0"/>
    <n v="0"/>
    <n v="0"/>
    <n v="0"/>
    <n v="0"/>
    <n v="0"/>
    <n v="0"/>
    <n v="112.5"/>
    <n v="258.19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"/>
    <x v="38"/>
  </r>
  <r>
    <x v="3"/>
    <x v="3"/>
    <x v="1338"/>
    <x v="1340"/>
    <n v="537.5"/>
    <n v="171.14"/>
    <n v="100.12"/>
    <n v="2010"/>
    <n v="-1975"/>
    <n v="1975"/>
    <n v="0"/>
    <n v="335.18"/>
    <n v="1975"/>
    <n v="338.9"/>
    <n v="450.5"/>
    <n v="350"/>
    <n v="1.25"/>
    <n v="2900.76"/>
    <n v="600"/>
    <n v="996.91"/>
    <n v="72"/>
    <n v="3216.05"/>
    <n v="-50.42"/>
    <n v="316.3"/>
    <n v="-162"/>
    <n v="0"/>
    <n v="0"/>
    <n v="0"/>
    <n v="6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3000"/>
    <n v="0"/>
    <n v="0"/>
    <n v="0"/>
    <n v="0"/>
    <n v="3000"/>
    <n v="600"/>
    <n v="1000"/>
    <n v="75"/>
    <n v="3200"/>
    <n v="0"/>
    <n v="325"/>
    <n v="1975"/>
    <n v="350"/>
    <n v="450"/>
    <n v="350"/>
    <n v="0"/>
    <x v="2"/>
    <x v="4"/>
    <s v="81200                   "/>
    <x v="17"/>
    <x v="8"/>
    <x v="38"/>
  </r>
  <r>
    <x v="3"/>
    <x v="3"/>
    <x v="1339"/>
    <x v="1341"/>
    <n v="537.5"/>
    <n v="88.23"/>
    <n v="31.44"/>
    <n v="339.6"/>
    <n v="0"/>
    <n v="66.37"/>
    <n v="25"/>
    <n v="1253.32"/>
    <n v="-300"/>
    <n v="0"/>
    <n v="0"/>
    <n v="0"/>
    <n v="700"/>
    <n v="104.5"/>
    <n v="1175.06"/>
    <n v="755.02"/>
    <n v="0"/>
    <n v="0"/>
    <n v="0"/>
    <n v="0"/>
    <n v="0"/>
    <n v="0"/>
    <n v="0"/>
    <n v="0"/>
    <n v="5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105"/>
    <n v="1200"/>
    <n v="800"/>
    <n v="0"/>
    <n v="0"/>
    <n v="2000"/>
    <n v="0"/>
    <n v="0"/>
    <n v="0"/>
    <n v="0"/>
    <n v="0"/>
    <x v="2"/>
    <x v="4"/>
    <s v="81200                   "/>
    <x v="17"/>
    <x v="9"/>
    <x v="38"/>
  </r>
  <r>
    <x v="3"/>
    <x v="3"/>
    <x v="1340"/>
    <x v="1342"/>
    <n v="109.44"/>
    <n v="0"/>
    <n v="0"/>
    <n v="0"/>
    <n v="0"/>
    <n v="0"/>
    <n v="-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0"/>
    <x v="38"/>
  </r>
  <r>
    <x v="3"/>
    <x v="3"/>
    <x v="1341"/>
    <x v="1343"/>
    <n v="0"/>
    <n v="0"/>
    <n v="0"/>
    <n v="0"/>
    <n v="-1975"/>
    <n v="1975"/>
    <n v="2274.7600000000002"/>
    <n v="962.89"/>
    <n v="1975"/>
    <n v="233.61"/>
    <n v="261"/>
    <n v="0"/>
    <n v="0"/>
    <n v="0"/>
    <n v="0"/>
    <n v="175.16"/>
    <n v="112.5"/>
    <n v="200"/>
    <n v="0"/>
    <n v="882.67"/>
    <n v="-16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150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1"/>
    <x v="38"/>
  </r>
  <r>
    <x v="3"/>
    <x v="3"/>
    <x v="1342"/>
    <x v="1344"/>
    <n v="0"/>
    <n v="0"/>
    <n v="72.37"/>
    <n v="0"/>
    <n v="0"/>
    <n v="0"/>
    <n v="-378.33"/>
    <n v="250"/>
    <n v="0"/>
    <n v="0"/>
    <n v="0"/>
    <n v="0"/>
    <n v="0"/>
    <n v="0"/>
    <n v="0"/>
    <n v="-186.59"/>
    <n v="0"/>
    <n v="6.0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2"/>
    <x v="38"/>
  </r>
  <r>
    <x v="3"/>
    <x v="3"/>
    <x v="1343"/>
    <x v="13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0"/>
    <n v="1000"/>
    <n v="0"/>
    <n v="0"/>
    <n v="1000"/>
    <n v="0"/>
    <x v="2"/>
    <x v="4"/>
    <s v="81200                   "/>
    <x v="17"/>
    <x v="13"/>
    <x v="38"/>
  </r>
  <r>
    <x v="3"/>
    <x v="3"/>
    <x v="1344"/>
    <x v="1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4"/>
    <x v="38"/>
  </r>
  <r>
    <x v="3"/>
    <x v="3"/>
    <x v="1345"/>
    <x v="1347"/>
    <n v="1075"/>
    <n v="735.22"/>
    <n v="1165.17"/>
    <n v="990"/>
    <n v="0"/>
    <n v="0"/>
    <n v="0"/>
    <n v="0"/>
    <n v="0"/>
    <n v="0"/>
    <n v="0"/>
    <n v="0"/>
    <n v="0"/>
    <n v="432"/>
    <n v="28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5"/>
    <x v="38"/>
  </r>
  <r>
    <x v="3"/>
    <x v="3"/>
    <x v="1346"/>
    <x v="1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00                   "/>
    <x v="17"/>
    <x v="17"/>
    <x v="38"/>
  </r>
  <r>
    <x v="3"/>
    <x v="3"/>
    <x v="1347"/>
    <x v="1349"/>
    <n v="0"/>
    <n v="0"/>
    <n v="0"/>
    <n v="0"/>
    <n v="9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210                   "/>
    <x v="2"/>
    <x v="3"/>
    <x v="33"/>
  </r>
  <r>
    <x v="3"/>
    <x v="3"/>
    <x v="1348"/>
    <x v="1350"/>
    <n v="0"/>
    <n v="0"/>
    <n v="0"/>
    <n v="40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"/>
    <x v="33"/>
  </r>
  <r>
    <x v="3"/>
    <x v="3"/>
    <x v="1349"/>
    <x v="1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9"/>
    <x v="33"/>
  </r>
  <r>
    <x v="3"/>
    <x v="3"/>
    <x v="1350"/>
    <x v="1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0"/>
    <x v="33"/>
  </r>
  <r>
    <x v="3"/>
    <x v="3"/>
    <x v="1351"/>
    <x v="1353"/>
    <n v="0"/>
    <n v="0"/>
    <n v="0"/>
    <n v="0"/>
    <n v="0"/>
    <n v="0"/>
    <n v="0"/>
    <n v="10.78"/>
    <n v="0"/>
    <n v="0"/>
    <n v="0"/>
    <n v="0"/>
    <n v="0"/>
    <n v="0"/>
    <n v="0"/>
    <n v="0"/>
    <n v="0"/>
    <n v="0"/>
    <n v="0"/>
    <n v="0"/>
    <n v="0"/>
    <n v="26.36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1"/>
    <x v="33"/>
  </r>
  <r>
    <x v="3"/>
    <x v="3"/>
    <x v="1352"/>
    <x v="13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2"/>
    <x v="33"/>
  </r>
  <r>
    <x v="3"/>
    <x v="3"/>
    <x v="1353"/>
    <x v="1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3"/>
    <x v="33"/>
  </r>
  <r>
    <x v="3"/>
    <x v="3"/>
    <x v="1354"/>
    <x v="1356"/>
    <n v="0"/>
    <n v="54.95"/>
    <n v="0"/>
    <n v="128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"/>
    <x v="15"/>
    <x v="33"/>
  </r>
  <r>
    <x v="3"/>
    <x v="3"/>
    <x v="1355"/>
    <x v="13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3"/>
    <x v="36"/>
  </r>
  <r>
    <x v="3"/>
    <x v="3"/>
    <x v="1356"/>
    <x v="1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4"/>
    <x v="36"/>
  </r>
  <r>
    <x v="3"/>
    <x v="3"/>
    <x v="1357"/>
    <x v="1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0"/>
    <x v="36"/>
  </r>
  <r>
    <x v="3"/>
    <x v="3"/>
    <x v="1358"/>
    <x v="1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5"/>
    <x v="36"/>
  </r>
  <r>
    <x v="3"/>
    <x v="3"/>
    <x v="1359"/>
    <x v="1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6"/>
    <x v="36"/>
  </r>
  <r>
    <x v="3"/>
    <x v="3"/>
    <x v="1360"/>
    <x v="1362"/>
    <n v="0"/>
    <n v="0"/>
    <n v="0"/>
    <n v="0"/>
    <n v="14.18"/>
    <n v="0"/>
    <n v="0"/>
    <n v="0"/>
    <n v="0"/>
    <n v="0"/>
    <n v="0"/>
    <n v="0"/>
    <n v="0"/>
    <n v="0"/>
    <n v="0"/>
    <n v="0"/>
    <n v="0"/>
    <n v="0"/>
    <n v="0"/>
    <n v="0"/>
    <n v="0"/>
    <n v="3.6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"/>
    <x v="36"/>
  </r>
  <r>
    <x v="3"/>
    <x v="3"/>
    <x v="1361"/>
    <x v="1363"/>
    <n v="0"/>
    <n v="0"/>
    <n v="0"/>
    <n v="0"/>
    <n v="32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7"/>
    <x v="36"/>
  </r>
  <r>
    <x v="3"/>
    <x v="3"/>
    <x v="1362"/>
    <x v="1364"/>
    <n v="0"/>
    <n v="0"/>
    <n v="0"/>
    <n v="0"/>
    <n v="29.08"/>
    <n v="0"/>
    <n v="0"/>
    <n v="0"/>
    <n v="0"/>
    <n v="24.37"/>
    <n v="0"/>
    <n v="0"/>
    <n v="0"/>
    <n v="0"/>
    <n v="0"/>
    <n v="9.39"/>
    <n v="0"/>
    <n v="0"/>
    <n v="0"/>
    <n v="0"/>
    <n v="0"/>
    <n v="9.57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9"/>
    <n v="0"/>
    <n v="0"/>
    <n v="0"/>
    <n v="0"/>
    <n v="0"/>
    <n v="24"/>
    <n v="0"/>
    <n v="0"/>
    <x v="2"/>
    <x v="4"/>
    <s v="81210                   "/>
    <x v="8"/>
    <x v="8"/>
    <x v="36"/>
  </r>
  <r>
    <x v="3"/>
    <x v="3"/>
    <x v="1363"/>
    <x v="1365"/>
    <n v="0"/>
    <n v="0"/>
    <n v="0"/>
    <n v="0"/>
    <n v="7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9"/>
    <x v="36"/>
  </r>
  <r>
    <x v="3"/>
    <x v="3"/>
    <x v="1364"/>
    <x v="1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0"/>
    <x v="36"/>
  </r>
  <r>
    <x v="3"/>
    <x v="3"/>
    <x v="1365"/>
    <x v="1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1"/>
    <x v="36"/>
  </r>
  <r>
    <x v="3"/>
    <x v="3"/>
    <x v="1366"/>
    <x v="1368"/>
    <n v="0"/>
    <n v="0"/>
    <n v="0"/>
    <n v="0"/>
    <n v="29.24"/>
    <n v="0"/>
    <n v="0"/>
    <n v="0"/>
    <n v="94.92"/>
    <n v="103.36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103"/>
    <n v="0"/>
    <n v="0"/>
    <x v="2"/>
    <x v="4"/>
    <s v="81210                   "/>
    <x v="8"/>
    <x v="12"/>
    <x v="36"/>
  </r>
  <r>
    <x v="3"/>
    <x v="3"/>
    <x v="1367"/>
    <x v="1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3"/>
    <x v="36"/>
  </r>
  <r>
    <x v="3"/>
    <x v="3"/>
    <x v="1368"/>
    <x v="1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4"/>
    <x v="36"/>
  </r>
  <r>
    <x v="3"/>
    <x v="3"/>
    <x v="1369"/>
    <x v="1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5"/>
    <x v="36"/>
  </r>
  <r>
    <x v="3"/>
    <x v="3"/>
    <x v="1370"/>
    <x v="1372"/>
    <n v="0"/>
    <n v="0"/>
    <n v="0"/>
    <n v="15.44"/>
    <n v="7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6"/>
    <x v="36"/>
  </r>
  <r>
    <x v="3"/>
    <x v="3"/>
    <x v="1371"/>
    <x v="1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8"/>
    <x v="17"/>
    <x v="36"/>
  </r>
  <r>
    <x v="3"/>
    <x v="3"/>
    <x v="1372"/>
    <x v="1374"/>
    <n v="129.19999999999999"/>
    <n v="0"/>
    <n v="0"/>
    <n v="124.2"/>
    <n v="0"/>
    <n v="0"/>
    <n v="0"/>
    <n v="90.18"/>
    <n v="0"/>
    <n v="0"/>
    <n v="19.43"/>
    <n v="0"/>
    <n v="0"/>
    <n v="0"/>
    <n v="0"/>
    <n v="23.88"/>
    <n v="0"/>
    <n v="92.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x v="2"/>
    <x v="4"/>
    <s v="81210                   "/>
    <x v="11"/>
    <x v="3"/>
    <x v="37"/>
  </r>
  <r>
    <x v="3"/>
    <x v="3"/>
    <x v="1373"/>
    <x v="1375"/>
    <n v="0"/>
    <n v="0"/>
    <n v="0"/>
    <n v="0"/>
    <n v="2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4"/>
    <x v="37"/>
  </r>
  <r>
    <x v="3"/>
    <x v="3"/>
    <x v="1374"/>
    <x v="1376"/>
    <n v="0"/>
    <n v="0"/>
    <n v="0"/>
    <n v="0"/>
    <n v="0"/>
    <n v="0"/>
    <n v="0"/>
    <n v="0"/>
    <n v="0"/>
    <n v="0"/>
    <n v="0"/>
    <n v="0"/>
    <n v="0"/>
    <n v="0"/>
    <n v="0"/>
    <n v="0"/>
    <n v="8.8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7"/>
    <x v="37"/>
  </r>
  <r>
    <x v="3"/>
    <x v="3"/>
    <x v="1375"/>
    <x v="1377"/>
    <n v="0"/>
    <n v="0"/>
    <n v="0"/>
    <n v="0"/>
    <n v="0"/>
    <n v="0"/>
    <n v="0"/>
    <n v="0"/>
    <n v="0"/>
    <n v="0"/>
    <n v="101"/>
    <n v="0"/>
    <n v="0"/>
    <n v="0"/>
    <n v="0"/>
    <n v="5.36"/>
    <n v="0"/>
    <n v="92.5"/>
    <n v="0"/>
    <n v="0"/>
    <n v="0"/>
    <n v="0"/>
    <n v="47.1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100"/>
    <n v="0"/>
    <n v="0"/>
    <n v="0"/>
    <n v="0"/>
    <n v="100"/>
    <n v="0"/>
    <x v="2"/>
    <x v="4"/>
    <s v="81210                   "/>
    <x v="11"/>
    <x v="8"/>
    <x v="37"/>
  </r>
  <r>
    <x v="3"/>
    <x v="3"/>
    <x v="1376"/>
    <x v="1378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9"/>
    <x v="37"/>
  </r>
  <r>
    <x v="3"/>
    <x v="3"/>
    <x v="1377"/>
    <x v="1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10"/>
    <x v="37"/>
  </r>
  <r>
    <x v="3"/>
    <x v="3"/>
    <x v="1378"/>
    <x v="1380"/>
    <n v="0"/>
    <n v="0"/>
    <n v="0"/>
    <n v="0"/>
    <n v="0"/>
    <n v="0"/>
    <n v="36.47"/>
    <n v="105.36"/>
    <n v="0"/>
    <n v="0"/>
    <n v="0"/>
    <n v="0"/>
    <n v="0"/>
    <n v="0"/>
    <n v="0"/>
    <n v="0"/>
    <n v="0"/>
    <n v="15.96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11"/>
    <x v="37"/>
  </r>
  <r>
    <x v="3"/>
    <x v="3"/>
    <x v="1379"/>
    <x v="1381"/>
    <n v="0"/>
    <n v="0"/>
    <n v="0"/>
    <n v="0"/>
    <n v="17.05"/>
    <n v="0"/>
    <n v="0"/>
    <n v="0"/>
    <n v="0"/>
    <n v="0"/>
    <n v="0"/>
    <n v="0"/>
    <n v="0"/>
    <n v="0"/>
    <n v="0"/>
    <n v="22.48"/>
    <n v="0"/>
    <n v="0"/>
    <n v="0"/>
    <n v="39.1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1"/>
    <x v="12"/>
    <x v="37"/>
  </r>
  <r>
    <x v="3"/>
    <x v="3"/>
    <x v="1380"/>
    <x v="1382"/>
    <n v="0"/>
    <n v="0"/>
    <n v="0"/>
    <n v="0"/>
    <n v="0"/>
    <n v="0"/>
    <n v="0"/>
    <n v="0"/>
    <n v="0"/>
    <n v="0"/>
    <n v="0"/>
    <n v="8.2799999999999994"/>
    <n v="14.98"/>
    <n v="0"/>
    <n v="0"/>
    <n v="0"/>
    <n v="0"/>
    <n v="0"/>
    <n v="0"/>
    <n v="0"/>
    <n v="0"/>
    <n v="105.9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0"/>
    <x v="2"/>
    <x v="4"/>
    <s v="81210                   "/>
    <x v="12"/>
    <x v="3"/>
    <x v="33"/>
  </r>
  <r>
    <x v="3"/>
    <x v="3"/>
    <x v="1381"/>
    <x v="1383"/>
    <n v="0"/>
    <n v="0"/>
    <n v="0"/>
    <n v="0"/>
    <n v="0"/>
    <n v="0"/>
    <n v="0"/>
    <n v="0"/>
    <n v="0"/>
    <n v="0"/>
    <n v="0"/>
    <n v="0"/>
    <n v="0"/>
    <n v="0"/>
    <n v="52.96"/>
    <n v="67.319999999999993"/>
    <n v="53.08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50"/>
    <n v="0"/>
    <n v="0"/>
    <n v="50"/>
    <n v="0"/>
    <n v="0"/>
    <n v="50"/>
    <n v="0"/>
    <n v="0"/>
    <n v="50"/>
    <n v="0"/>
    <x v="2"/>
    <x v="4"/>
    <s v="81210                   "/>
    <x v="12"/>
    <x v="1"/>
    <x v="33"/>
  </r>
  <r>
    <x v="3"/>
    <x v="3"/>
    <x v="1382"/>
    <x v="1384"/>
    <n v="0"/>
    <n v="0"/>
    <n v="0"/>
    <n v="0"/>
    <n v="0"/>
    <n v="0"/>
    <n v="0"/>
    <n v="0"/>
    <n v="0"/>
    <n v="0"/>
    <n v="0"/>
    <n v="16.5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2"/>
    <x v="8"/>
    <x v="33"/>
  </r>
  <r>
    <x v="3"/>
    <x v="3"/>
    <x v="1383"/>
    <x v="1385"/>
    <n v="0"/>
    <n v="0"/>
    <n v="0"/>
    <n v="0"/>
    <n v="0"/>
    <n v="0"/>
    <n v="0"/>
    <n v="0"/>
    <n v="0"/>
    <n v="0"/>
    <n v="0"/>
    <n v="5.27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2"/>
    <x v="9"/>
    <x v="33"/>
  </r>
  <r>
    <x v="3"/>
    <x v="3"/>
    <x v="1384"/>
    <x v="1386"/>
    <n v="0"/>
    <n v="0"/>
    <n v="0"/>
    <n v="0"/>
    <n v="0"/>
    <n v="0"/>
    <n v="7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2"/>
    <x v="10"/>
    <x v="33"/>
  </r>
  <r>
    <x v="3"/>
    <x v="3"/>
    <x v="1385"/>
    <x v="1387"/>
    <n v="0"/>
    <n v="0"/>
    <n v="0"/>
    <n v="0"/>
    <n v="0"/>
    <n v="0"/>
    <n v="0"/>
    <n v="0"/>
    <n v="0"/>
    <n v="0"/>
    <n v="0"/>
    <n v="0"/>
    <n v="0"/>
    <n v="0"/>
    <n v="82.86"/>
    <n v="69.900000000000006"/>
    <n v="40.6"/>
    <n v="0"/>
    <n v="16.1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x v="2"/>
    <x v="4"/>
    <s v="81210                   "/>
    <x v="12"/>
    <x v="11"/>
    <x v="33"/>
  </r>
  <r>
    <x v="3"/>
    <x v="3"/>
    <x v="1386"/>
    <x v="1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2"/>
    <x v="13"/>
    <x v="33"/>
  </r>
  <r>
    <x v="3"/>
    <x v="3"/>
    <x v="1387"/>
    <x v="1389"/>
    <n v="0"/>
    <n v="0"/>
    <n v="0"/>
    <n v="0"/>
    <n v="0"/>
    <n v="0"/>
    <n v="0"/>
    <n v="0"/>
    <n v="24.23"/>
    <n v="0"/>
    <n v="0"/>
    <n v="0"/>
    <n v="0"/>
    <n v="0"/>
    <n v="52.76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x v="2"/>
    <x v="4"/>
    <s v="81210                   "/>
    <x v="13"/>
    <x v="3"/>
    <x v="33"/>
  </r>
  <r>
    <x v="3"/>
    <x v="3"/>
    <x v="1388"/>
    <x v="1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7"/>
    <n v="0"/>
    <n v="0"/>
    <n v="0"/>
    <n v="14.87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7"/>
    <n v="0"/>
    <n v="0"/>
    <n v="0"/>
    <n v="0"/>
    <n v="0"/>
    <x v="2"/>
    <x v="4"/>
    <s v="81210                   "/>
    <x v="14"/>
    <x v="3"/>
    <x v="33"/>
  </r>
  <r>
    <x v="3"/>
    <x v="3"/>
    <x v="1389"/>
    <x v="1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30"/>
    <n v="30"/>
    <n v="30"/>
    <n v="30"/>
    <n v="30"/>
    <n v="30"/>
    <n v="0"/>
    <n v="0"/>
    <n v="0"/>
    <n v="0"/>
    <n v="0"/>
    <n v="0"/>
    <n v="0"/>
    <n v="0"/>
    <n v="0"/>
    <n v="0"/>
    <n v="0"/>
    <n v="0"/>
    <x v="2"/>
    <x v="4"/>
    <s v="81210                   "/>
    <x v="14"/>
    <x v="1"/>
    <x v="33"/>
  </r>
  <r>
    <x v="3"/>
    <x v="3"/>
    <x v="1390"/>
    <x v="1392"/>
    <n v="0"/>
    <n v="0"/>
    <n v="0"/>
    <n v="0"/>
    <n v="88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4"/>
    <x v="8"/>
    <x v="33"/>
  </r>
  <r>
    <x v="3"/>
    <x v="3"/>
    <x v="1391"/>
    <x v="13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4"/>
    <x v="10"/>
    <x v="33"/>
  </r>
  <r>
    <x v="3"/>
    <x v="3"/>
    <x v="1392"/>
    <x v="1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4"/>
    <x v="13"/>
    <x v="33"/>
  </r>
  <r>
    <x v="3"/>
    <x v="3"/>
    <x v="1393"/>
    <x v="1395"/>
    <n v="0"/>
    <n v="60"/>
    <n v="0"/>
    <n v="0"/>
    <n v="23.04"/>
    <n v="308.49"/>
    <n v="22.64"/>
    <n v="22.64"/>
    <n v="0"/>
    <n v="60"/>
    <n v="0"/>
    <n v="0"/>
    <n v="21.77"/>
    <n v="0"/>
    <n v="0"/>
    <n v="10.039999999999999"/>
    <n v="0"/>
    <n v="0"/>
    <n v="53.48"/>
    <n v="0"/>
    <n v="0"/>
    <n v="135.53"/>
    <n v="271.05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0"/>
    <n v="50"/>
    <n v="50"/>
    <n v="0"/>
    <n v="50"/>
    <n v="50"/>
    <n v="0"/>
    <n v="50"/>
    <n v="50"/>
    <n v="0"/>
    <n v="50"/>
    <n v="25"/>
    <n v="0"/>
    <n v="0"/>
    <n v="15"/>
    <n v="0"/>
    <n v="0"/>
    <n v="55"/>
    <n v="0"/>
    <n v="0"/>
    <n v="75"/>
    <n v="0"/>
    <n v="0"/>
    <x v="2"/>
    <x v="4"/>
    <s v="81210                   "/>
    <x v="15"/>
    <x v="3"/>
    <x v="33"/>
  </r>
  <r>
    <x v="3"/>
    <x v="3"/>
    <x v="1394"/>
    <x v="1396"/>
    <n v="0"/>
    <n v="0"/>
    <n v="0"/>
    <n v="0"/>
    <n v="0"/>
    <n v="0"/>
    <n v="0"/>
    <n v="14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5"/>
    <x v="16"/>
    <x v="33"/>
  </r>
  <r>
    <x v="3"/>
    <x v="3"/>
    <x v="1395"/>
    <x v="1397"/>
    <n v="105.84"/>
    <n v="38.75"/>
    <n v="0"/>
    <n v="21.2"/>
    <n v="19.38"/>
    <n v="12.72"/>
    <n v="0"/>
    <n v="0"/>
    <n v="0"/>
    <n v="0"/>
    <n v="0"/>
    <n v="36.07"/>
    <n v="0"/>
    <n v="0"/>
    <n v="38.86"/>
    <n v="63.18"/>
    <n v="0"/>
    <n v="0"/>
    <n v="100.79"/>
    <n v="9.56"/>
    <n v="0"/>
    <n v="0"/>
    <n v="20.27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"/>
    <n v="400"/>
    <n v="482.76"/>
    <n v="419.25"/>
    <n v="0"/>
    <n v="0"/>
    <n v="0"/>
    <n v="0"/>
    <n v="0"/>
    <n v="0"/>
    <n v="0"/>
    <x v="2"/>
    <x v="4"/>
    <s v="81210                   "/>
    <x v="17"/>
    <x v="3"/>
    <x v="38"/>
  </r>
  <r>
    <x v="3"/>
    <x v="3"/>
    <x v="1396"/>
    <x v="1398"/>
    <n v="48.58"/>
    <n v="31.27"/>
    <n v="0"/>
    <n v="0"/>
    <n v="0"/>
    <n v="7.08"/>
    <n v="0"/>
    <n v="0"/>
    <n v="3.53"/>
    <n v="0"/>
    <n v="0"/>
    <n v="0"/>
    <n v="0"/>
    <n v="0"/>
    <n v="0"/>
    <n v="7.18"/>
    <n v="0"/>
    <n v="4.3099999999999996"/>
    <n v="0"/>
    <n v="0"/>
    <n v="0"/>
    <n v="0"/>
    <n v="0"/>
    <n v="2.490000000000000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0"/>
    <x v="38"/>
  </r>
  <r>
    <x v="3"/>
    <x v="3"/>
    <x v="1397"/>
    <x v="1399"/>
    <n v="0"/>
    <n v="0"/>
    <n v="0"/>
    <n v="0"/>
    <n v="0"/>
    <n v="0"/>
    <n v="0"/>
    <n v="0"/>
    <n v="0"/>
    <n v="0"/>
    <n v="0"/>
    <n v="14.3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5"/>
    <x v="38"/>
  </r>
  <r>
    <x v="3"/>
    <x v="3"/>
    <x v="1398"/>
    <x v="1400"/>
    <n v="0"/>
    <n v="14.9"/>
    <n v="0"/>
    <n v="44.33"/>
    <n v="0"/>
    <n v="0"/>
    <n v="0"/>
    <n v="11.48"/>
    <n v="0"/>
    <n v="0"/>
    <n v="0"/>
    <n v="89.14"/>
    <n v="0"/>
    <n v="0"/>
    <n v="10.8"/>
    <n v="140.13999999999999"/>
    <n v="0"/>
    <n v="0"/>
    <n v="0"/>
    <n v="0"/>
    <n v="0"/>
    <n v="0"/>
    <n v="6.9"/>
    <n v="23.1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"/>
    <x v="38"/>
  </r>
  <r>
    <x v="3"/>
    <x v="3"/>
    <x v="1399"/>
    <x v="1401"/>
    <n v="11.74"/>
    <n v="435.47"/>
    <n v="24"/>
    <n v="57.14"/>
    <n v="12.57"/>
    <n v="27.3"/>
    <n v="0"/>
    <n v="12.37"/>
    <n v="0"/>
    <n v="0"/>
    <n v="55.82"/>
    <n v="135.21"/>
    <n v="0"/>
    <n v="0"/>
    <n v="0"/>
    <n v="106.67"/>
    <n v="59.21"/>
    <n v="0"/>
    <n v="10.130000000000001"/>
    <n v="5.78"/>
    <n v="0"/>
    <n v="0"/>
    <n v="41.93"/>
    <n v="9.9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0"/>
    <n v="150"/>
    <n v="150"/>
    <n v="150"/>
    <n v="150"/>
    <n v="150"/>
    <n v="150"/>
    <n v="150"/>
    <n v="150"/>
    <n v="150"/>
    <n v="150"/>
    <n v="150"/>
    <n v="30"/>
    <n v="30"/>
    <n v="30"/>
    <n v="30"/>
    <n v="30"/>
    <n v="30"/>
    <n v="30"/>
    <n v="30"/>
    <n v="30"/>
    <n v="30"/>
    <n v="30"/>
    <n v="30"/>
    <x v="2"/>
    <x v="4"/>
    <s v="81210                   "/>
    <x v="17"/>
    <x v="8"/>
    <x v="38"/>
  </r>
  <r>
    <x v="3"/>
    <x v="3"/>
    <x v="1400"/>
    <x v="1402"/>
    <n v="53.04"/>
    <n v="0"/>
    <n v="0"/>
    <n v="16.86"/>
    <n v="0"/>
    <n v="14.64"/>
    <n v="0"/>
    <n v="0"/>
    <n v="0"/>
    <n v="0"/>
    <n v="0"/>
    <n v="95.68"/>
    <n v="0"/>
    <n v="0"/>
    <n v="0"/>
    <n v="25.88"/>
    <n v="0"/>
    <n v="0"/>
    <n v="0"/>
    <n v="6.4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250"/>
    <n v="250"/>
    <n v="250"/>
    <n v="250"/>
    <n v="100"/>
    <n v="100"/>
    <n v="100"/>
    <n v="100"/>
    <n v="100"/>
    <n v="100"/>
    <n v="25"/>
    <n v="25"/>
    <n v="25"/>
    <n v="25"/>
    <n v="25"/>
    <n v="25"/>
    <n v="25"/>
    <n v="25"/>
    <n v="25"/>
    <n v="25"/>
    <n v="25"/>
    <n v="25"/>
    <x v="2"/>
    <x v="4"/>
    <s v="81210                   "/>
    <x v="17"/>
    <x v="9"/>
    <x v="38"/>
  </r>
  <r>
    <x v="3"/>
    <x v="3"/>
    <x v="1401"/>
    <x v="1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0"/>
    <x v="38"/>
  </r>
  <r>
    <x v="3"/>
    <x v="3"/>
    <x v="1402"/>
    <x v="1404"/>
    <n v="0"/>
    <n v="0"/>
    <n v="0"/>
    <n v="213.12"/>
    <n v="319.95"/>
    <n v="0"/>
    <n v="0"/>
    <n v="4781.6099999999997"/>
    <n v="0"/>
    <n v="0"/>
    <n v="0"/>
    <n v="8.8800000000000008"/>
    <n v="0"/>
    <n v="0"/>
    <n v="26.51"/>
    <n v="232.23"/>
    <n v="0"/>
    <n v="0"/>
    <n v="105.84"/>
    <n v="0"/>
    <n v="0"/>
    <n v="0"/>
    <n v="31.23"/>
    <n v="39.7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1"/>
    <x v="38"/>
  </r>
  <r>
    <x v="3"/>
    <x v="3"/>
    <x v="1403"/>
    <x v="1405"/>
    <n v="14.06"/>
    <n v="86.73"/>
    <n v="0"/>
    <n v="0"/>
    <n v="15.99"/>
    <n v="0"/>
    <n v="0"/>
    <n v="0"/>
    <n v="24.75"/>
    <n v="0"/>
    <n v="0"/>
    <n v="70.069999999999993"/>
    <n v="0"/>
    <n v="0"/>
    <n v="0"/>
    <n v="17.79"/>
    <n v="0"/>
    <n v="18.3"/>
    <n v="0"/>
    <n v="0"/>
    <n v="124"/>
    <n v="11.34"/>
    <n v="54.84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2"/>
    <x v="38"/>
  </r>
  <r>
    <x v="3"/>
    <x v="3"/>
    <x v="1404"/>
    <x v="1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3"/>
    <x v="38"/>
  </r>
  <r>
    <x v="3"/>
    <x v="3"/>
    <x v="1405"/>
    <x v="1407"/>
    <n v="65.06"/>
    <n v="19.05"/>
    <n v="0"/>
    <n v="0"/>
    <n v="0"/>
    <n v="0"/>
    <n v="0"/>
    <n v="0"/>
    <n v="0"/>
    <n v="0"/>
    <n v="0"/>
    <n v="0"/>
    <n v="0"/>
    <n v="0"/>
    <n v="17.66"/>
    <n v="0"/>
    <n v="0"/>
    <n v="0"/>
    <n v="28.1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5"/>
    <x v="38"/>
  </r>
  <r>
    <x v="3"/>
    <x v="3"/>
    <x v="1406"/>
    <x v="1408"/>
    <n v="0"/>
    <n v="0"/>
    <n v="0"/>
    <n v="0"/>
    <n v="21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0"/>
    <x v="2"/>
    <x v="4"/>
    <s v="81210                   "/>
    <x v="17"/>
    <x v="16"/>
    <x v="38"/>
  </r>
  <r>
    <x v="3"/>
    <x v="3"/>
    <x v="1407"/>
    <x v="1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7"/>
    <x v="18"/>
    <x v="38"/>
  </r>
  <r>
    <x v="3"/>
    <x v="3"/>
    <x v="1408"/>
    <x v="1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18"/>
    <x v="4"/>
    <x v="33"/>
  </r>
  <r>
    <x v="3"/>
    <x v="3"/>
    <x v="1409"/>
    <x v="1411"/>
    <n v="0"/>
    <n v="113.44"/>
    <n v="57.74"/>
    <n v="0"/>
    <n v="0"/>
    <n v="0"/>
    <n v="0"/>
    <n v="0"/>
    <n v="0"/>
    <n v="0"/>
    <n v="0"/>
    <n v="0"/>
    <n v="42.76"/>
    <n v="0"/>
    <n v="0"/>
    <n v="0"/>
    <n v="0"/>
    <n v="57.01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60"/>
    <n v="0"/>
    <n v="0"/>
    <n v="0"/>
    <n v="0"/>
    <n v="0"/>
    <n v="0"/>
    <x v="2"/>
    <x v="4"/>
    <s v="81210                   "/>
    <x v="19"/>
    <x v="3"/>
    <x v="33"/>
  </r>
  <r>
    <x v="3"/>
    <x v="3"/>
    <x v="1410"/>
    <x v="1412"/>
    <n v="0"/>
    <n v="0"/>
    <n v="0"/>
    <n v="0"/>
    <n v="0"/>
    <n v="0"/>
    <n v="30.61"/>
    <n v="0"/>
    <n v="0"/>
    <n v="0"/>
    <n v="0"/>
    <n v="0"/>
    <n v="0"/>
    <n v="0"/>
    <n v="0"/>
    <n v="12.2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2"/>
    <x v="11"/>
    <x v="33"/>
  </r>
  <r>
    <x v="3"/>
    <x v="3"/>
    <x v="1411"/>
    <x v="1413"/>
    <n v="0"/>
    <n v="0"/>
    <n v="0"/>
    <n v="0"/>
    <n v="0"/>
    <n v="21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10                   "/>
    <x v="22"/>
    <x v="12"/>
    <x v="33"/>
  </r>
  <r>
    <x v="3"/>
    <x v="3"/>
    <x v="1412"/>
    <x v="1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3"/>
    <x v="36"/>
  </r>
  <r>
    <x v="3"/>
    <x v="3"/>
    <x v="1413"/>
    <x v="1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4"/>
    <x v="36"/>
  </r>
  <r>
    <x v="3"/>
    <x v="3"/>
    <x v="1414"/>
    <x v="1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0"/>
    <x v="36"/>
  </r>
  <r>
    <x v="3"/>
    <x v="3"/>
    <x v="1415"/>
    <x v="1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5"/>
    <x v="36"/>
  </r>
  <r>
    <x v="3"/>
    <x v="3"/>
    <x v="1416"/>
    <x v="1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6"/>
    <x v="36"/>
  </r>
  <r>
    <x v="3"/>
    <x v="3"/>
    <x v="1417"/>
    <x v="1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1"/>
    <x v="36"/>
  </r>
  <r>
    <x v="3"/>
    <x v="3"/>
    <x v="1418"/>
    <x v="1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7"/>
    <x v="36"/>
  </r>
  <r>
    <x v="3"/>
    <x v="3"/>
    <x v="1419"/>
    <x v="1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8"/>
    <x v="36"/>
  </r>
  <r>
    <x v="3"/>
    <x v="3"/>
    <x v="1420"/>
    <x v="1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10"/>
    <x v="36"/>
  </r>
  <r>
    <x v="3"/>
    <x v="3"/>
    <x v="1421"/>
    <x v="1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8"/>
    <x v="13"/>
    <x v="36"/>
  </r>
  <r>
    <x v="3"/>
    <x v="3"/>
    <x v="1422"/>
    <x v="1424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3"/>
    <x v="37"/>
  </r>
  <r>
    <x v="3"/>
    <x v="3"/>
    <x v="1423"/>
    <x v="1425"/>
    <n v="0"/>
    <n v="0"/>
    <n v="0"/>
    <n v="0"/>
    <n v="65"/>
    <n v="0"/>
    <n v="0"/>
    <n v="0"/>
    <n v="0"/>
    <n v="0"/>
    <n v="0"/>
    <n v="0"/>
    <n v="0"/>
    <n v="20.56"/>
    <n v="20.9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1"/>
    <x v="37"/>
  </r>
  <r>
    <x v="3"/>
    <x v="3"/>
    <x v="1424"/>
    <x v="1426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8"/>
    <x v="37"/>
  </r>
  <r>
    <x v="3"/>
    <x v="3"/>
    <x v="1425"/>
    <x v="1427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9"/>
    <x v="37"/>
  </r>
  <r>
    <x v="3"/>
    <x v="3"/>
    <x v="1426"/>
    <x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13"/>
    <x v="37"/>
  </r>
  <r>
    <x v="3"/>
    <x v="3"/>
    <x v="1427"/>
    <x v="1429"/>
    <n v="0"/>
    <n v="0"/>
    <n v="0"/>
    <n v="0"/>
    <n v="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1"/>
    <x v="15"/>
    <x v="37"/>
  </r>
  <r>
    <x v="3"/>
    <x v="3"/>
    <x v="1428"/>
    <x v="1430"/>
    <n v="0"/>
    <n v="0"/>
    <n v="0"/>
    <n v="0"/>
    <n v="0"/>
    <n v="0"/>
    <n v="0"/>
    <n v="0"/>
    <n v="0"/>
    <n v="0"/>
    <n v="0"/>
    <n v="0"/>
    <n v="0"/>
    <n v="0"/>
    <n v="948.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0"/>
    <n v="0"/>
    <n v="0"/>
    <n v="0"/>
    <n v="150"/>
    <n v="0"/>
    <n v="0"/>
    <n v="150"/>
    <n v="0"/>
    <n v="0"/>
    <n v="300"/>
    <n v="0"/>
    <n v="0"/>
    <n v="0"/>
    <n v="0"/>
    <x v="2"/>
    <x v="4"/>
    <s v="81220                   "/>
    <x v="12"/>
    <x v="1"/>
    <x v="33"/>
  </r>
  <r>
    <x v="3"/>
    <x v="3"/>
    <x v="1429"/>
    <x v="1431"/>
    <n v="0"/>
    <n v="0"/>
    <n v="0"/>
    <n v="0"/>
    <n v="0"/>
    <n v="0"/>
    <n v="0"/>
    <n v="0"/>
    <n v="0"/>
    <n v="0"/>
    <n v="0"/>
    <n v="0"/>
    <n v="0"/>
    <n v="0"/>
    <n v="32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0"/>
    <n v="0"/>
    <x v="2"/>
    <x v="4"/>
    <s v="81220                   "/>
    <x v="12"/>
    <x v="11"/>
    <x v="33"/>
  </r>
  <r>
    <x v="3"/>
    <x v="3"/>
    <x v="1430"/>
    <x v="1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2"/>
    <x v="13"/>
    <x v="33"/>
  </r>
  <r>
    <x v="3"/>
    <x v="3"/>
    <x v="1431"/>
    <x v="14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00"/>
    <n v="200"/>
    <n v="0"/>
    <n v="300"/>
    <n v="200"/>
    <n v="6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3"/>
    <x v="3"/>
    <x v="33"/>
  </r>
  <r>
    <x v="3"/>
    <x v="3"/>
    <x v="1432"/>
    <x v="1434"/>
    <n v="0"/>
    <n v="0"/>
    <n v="60"/>
    <n v="0"/>
    <n v="0"/>
    <n v="0"/>
    <n v="0"/>
    <n v="280.16000000000003"/>
    <n v="0"/>
    <n v="0"/>
    <n v="0"/>
    <n v="0"/>
    <n v="0"/>
    <n v="0"/>
    <n v="0"/>
    <n v="62.99"/>
    <n v="0"/>
    <n v="30"/>
    <n v="53.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0"/>
    <n v="50"/>
    <n v="75"/>
    <n v="0"/>
    <n v="0"/>
    <n v="0"/>
    <n v="0"/>
    <n v="0"/>
    <x v="2"/>
    <x v="4"/>
    <s v="81220                   "/>
    <x v="14"/>
    <x v="3"/>
    <x v="33"/>
  </r>
  <r>
    <x v="3"/>
    <x v="3"/>
    <x v="1433"/>
    <x v="1435"/>
    <n v="0"/>
    <n v="0"/>
    <n v="0"/>
    <n v="0"/>
    <n v="6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4"/>
    <x v="8"/>
    <x v="33"/>
  </r>
  <r>
    <x v="3"/>
    <x v="3"/>
    <x v="1434"/>
    <x v="1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4"/>
    <x v="10"/>
    <x v="33"/>
  </r>
  <r>
    <x v="3"/>
    <x v="3"/>
    <x v="1435"/>
    <x v="1437"/>
    <n v="0"/>
    <n v="0"/>
    <n v="0"/>
    <n v="0"/>
    <n v="0"/>
    <n v="32.409999999999997"/>
    <n v="13.89"/>
    <n v="60"/>
    <n v="0"/>
    <n v="0"/>
    <n v="0"/>
    <n v="0"/>
    <n v="0"/>
    <n v="0"/>
    <n v="220"/>
    <n v="60"/>
    <n v="0"/>
    <n v="0"/>
    <n v="0"/>
    <n v="0"/>
    <n v="0"/>
    <n v="61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225"/>
    <n v="60"/>
    <n v="0"/>
    <n v="0"/>
    <n v="0"/>
    <n v="0"/>
    <n v="0"/>
    <n v="0"/>
    <n v="0"/>
    <n v="0"/>
    <x v="2"/>
    <x v="4"/>
    <s v="81220                   "/>
    <x v="15"/>
    <x v="3"/>
    <x v="33"/>
  </r>
  <r>
    <x v="3"/>
    <x v="3"/>
    <x v="1436"/>
    <x v="1438"/>
    <n v="0"/>
    <n v="0"/>
    <n v="0"/>
    <n v="0"/>
    <n v="25.75"/>
    <n v="0"/>
    <n v="0"/>
    <n v="0"/>
    <n v="0"/>
    <n v="0"/>
    <n v="54.8"/>
    <n v="0"/>
    <n v="0"/>
    <n v="0"/>
    <n v="0"/>
    <n v="0"/>
    <n v="0"/>
    <n v="0"/>
    <n v="0"/>
    <n v="0"/>
    <n v="31.82"/>
    <n v="0"/>
    <n v="10.99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3"/>
    <x v="38"/>
  </r>
  <r>
    <x v="3"/>
    <x v="3"/>
    <x v="1437"/>
    <x v="1439"/>
    <n v="0"/>
    <n v="0"/>
    <n v="0"/>
    <n v="0"/>
    <n v="0"/>
    <n v="0"/>
    <n v="37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00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0"/>
    <x v="38"/>
  </r>
  <r>
    <x v="3"/>
    <x v="3"/>
    <x v="1438"/>
    <x v="1440"/>
    <n v="0"/>
    <n v="0"/>
    <n v="0"/>
    <n v="0"/>
    <n v="0"/>
    <n v="0"/>
    <n v="0"/>
    <n v="0"/>
    <n v="0"/>
    <n v="0"/>
    <n v="0"/>
    <n v="0"/>
    <n v="46.39"/>
    <n v="0"/>
    <n v="155.99"/>
    <n v="0"/>
    <n v="23.77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6"/>
    <x v="38"/>
  </r>
  <r>
    <x v="3"/>
    <x v="3"/>
    <x v="1439"/>
    <x v="1441"/>
    <n v="0"/>
    <n v="0"/>
    <n v="0"/>
    <n v="0"/>
    <n v="0"/>
    <n v="0"/>
    <n v="0"/>
    <n v="0"/>
    <n v="0"/>
    <n v="0"/>
    <n v="0"/>
    <n v="0"/>
    <n v="0"/>
    <n v="0"/>
    <n v="180"/>
    <n v="0"/>
    <n v="1199.97"/>
    <n v="130.91999999999999"/>
    <n v="0"/>
    <n v="65.260000000000005"/>
    <n v="49.5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"/>
    <x v="38"/>
  </r>
  <r>
    <x v="3"/>
    <x v="3"/>
    <x v="1440"/>
    <x v="1442"/>
    <n v="138.99"/>
    <n v="31.64"/>
    <n v="46.34"/>
    <n v="0"/>
    <n v="219.88"/>
    <n v="0"/>
    <n v="1719.45"/>
    <n v="3795"/>
    <n v="0"/>
    <n v="0"/>
    <n v="0"/>
    <n v="0"/>
    <n v="580.94000000000005"/>
    <n v="0"/>
    <n v="145.19"/>
    <n v="338.36"/>
    <n v="359.58"/>
    <n v="1020"/>
    <n v="1708.47"/>
    <n v="23.12"/>
    <n v="-501.72"/>
    <n v="0"/>
    <n v="0"/>
    <n v="97.9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1000"/>
    <n v="0"/>
    <n v="0"/>
    <n v="0"/>
    <n v="2000"/>
    <n v="0"/>
    <n v="0"/>
    <n v="0"/>
    <n v="0"/>
    <n v="0"/>
    <x v="2"/>
    <x v="4"/>
    <s v="81220                   "/>
    <x v="17"/>
    <x v="8"/>
    <x v="38"/>
  </r>
  <r>
    <x v="3"/>
    <x v="3"/>
    <x v="1441"/>
    <x v="1443"/>
    <n v="0"/>
    <n v="0"/>
    <n v="0"/>
    <n v="0"/>
    <n v="219.87"/>
    <n v="0"/>
    <n v="398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9"/>
    <x v="38"/>
  </r>
  <r>
    <x v="3"/>
    <x v="3"/>
    <x v="1442"/>
    <x v="1444"/>
    <n v="47.6"/>
    <n v="0"/>
    <n v="0"/>
    <n v="0"/>
    <n v="0"/>
    <n v="0"/>
    <n v="452.07"/>
    <n v="1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0"/>
    <x v="38"/>
  </r>
  <r>
    <x v="3"/>
    <x v="3"/>
    <x v="1443"/>
    <x v="1445"/>
    <n v="0"/>
    <n v="0"/>
    <n v="0"/>
    <n v="0"/>
    <n v="0"/>
    <n v="0"/>
    <n v="0"/>
    <n v="11417"/>
    <n v="762.86"/>
    <n v="0"/>
    <n v="0"/>
    <n v="1755"/>
    <n v="485.6"/>
    <n v="195"/>
    <n v="2340"/>
    <n v="855"/>
    <n v="96.12"/>
    <n v="0"/>
    <n v="2000"/>
    <n v="145"/>
    <n v="811.45"/>
    <n v="1290.32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2500"/>
    <n v="25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1"/>
    <x v="38"/>
  </r>
  <r>
    <x v="3"/>
    <x v="3"/>
    <x v="1444"/>
    <x v="1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44999999999999"/>
    <n v="136.46"/>
    <n v="133.27000000000001"/>
    <n v="0"/>
    <n v="0"/>
    <n v="448.1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300"/>
    <n v="0"/>
    <n v="300"/>
    <n v="0"/>
    <n v="0"/>
    <n v="450"/>
    <n v="300"/>
    <n v="0"/>
    <x v="2"/>
    <x v="4"/>
    <s v="81220                   "/>
    <x v="17"/>
    <x v="12"/>
    <x v="38"/>
  </r>
  <r>
    <x v="3"/>
    <x v="3"/>
    <x v="1445"/>
    <x v="14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2000"/>
    <n v="0"/>
    <n v="0"/>
    <n v="0"/>
    <n v="0"/>
    <n v="0"/>
    <x v="2"/>
    <x v="4"/>
    <s v="81220                   "/>
    <x v="17"/>
    <x v="13"/>
    <x v="38"/>
  </r>
  <r>
    <x v="3"/>
    <x v="3"/>
    <x v="1446"/>
    <x v="1448"/>
    <n v="0"/>
    <n v="230.55"/>
    <n v="613.91"/>
    <n v="41"/>
    <n v="199.49"/>
    <n v="0"/>
    <n v="518.59"/>
    <n v="14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5"/>
    <x v="38"/>
  </r>
  <r>
    <x v="3"/>
    <x v="3"/>
    <x v="1447"/>
    <x v="1449"/>
    <n v="0"/>
    <n v="0"/>
    <n v="0"/>
    <n v="0"/>
    <n v="2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6"/>
    <x v="38"/>
  </r>
  <r>
    <x v="3"/>
    <x v="3"/>
    <x v="1448"/>
    <x v="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17"/>
    <x v="17"/>
    <x v="38"/>
  </r>
  <r>
    <x v="3"/>
    <x v="3"/>
    <x v="1449"/>
    <x v="14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20                   "/>
    <x v="22"/>
    <x v="12"/>
    <x v="33"/>
  </r>
  <r>
    <x v="3"/>
    <x v="3"/>
    <x v="1450"/>
    <x v="1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3"/>
    <x v="38"/>
  </r>
  <r>
    <x v="3"/>
    <x v="3"/>
    <x v="1451"/>
    <x v="1453"/>
    <n v="0"/>
    <n v="0"/>
    <n v="0"/>
    <n v="0"/>
    <n v="0"/>
    <n v="0"/>
    <n v="0"/>
    <n v="0"/>
    <n v="0"/>
    <n v="0"/>
    <n v="0"/>
    <n v="0"/>
    <n v="0"/>
    <n v="0"/>
    <n v="0"/>
    <n v="0"/>
    <n v="0"/>
    <n v="20.6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1"/>
    <x v="38"/>
  </r>
  <r>
    <x v="3"/>
    <x v="3"/>
    <x v="1452"/>
    <x v="1454"/>
    <n v="0"/>
    <n v="0"/>
    <n v="0"/>
    <n v="0"/>
    <n v="0"/>
    <n v="0"/>
    <n v="0"/>
    <n v="0"/>
    <n v="0"/>
    <n v="0"/>
    <n v="0"/>
    <n v="0"/>
    <n v="0"/>
    <n v="0"/>
    <n v="0"/>
    <n v="24.03"/>
    <n v="0"/>
    <n v="40.7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8"/>
    <x v="38"/>
  </r>
  <r>
    <x v="3"/>
    <x v="3"/>
    <x v="1453"/>
    <x v="1455"/>
    <n v="0"/>
    <n v="0"/>
    <n v="0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10"/>
    <x v="38"/>
  </r>
  <r>
    <x v="3"/>
    <x v="3"/>
    <x v="1454"/>
    <x v="1456"/>
    <n v="0"/>
    <n v="0"/>
    <n v="0"/>
    <n v="0"/>
    <n v="106.64"/>
    <n v="0"/>
    <n v="0"/>
    <n v="0"/>
    <n v="0"/>
    <n v="0"/>
    <n v="0"/>
    <n v="0"/>
    <n v="0"/>
    <n v="0"/>
    <n v="0"/>
    <n v="0"/>
    <n v="0"/>
    <n v="19.71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11"/>
    <x v="38"/>
  </r>
  <r>
    <x v="3"/>
    <x v="3"/>
    <x v="1455"/>
    <x v="1457"/>
    <n v="0"/>
    <n v="0"/>
    <n v="0"/>
    <n v="0"/>
    <n v="0"/>
    <n v="47.6"/>
    <n v="0"/>
    <n v="0"/>
    <n v="0"/>
    <n v="0"/>
    <n v="0"/>
    <n v="0"/>
    <n v="0"/>
    <n v="0"/>
    <n v="0"/>
    <n v="32.49"/>
    <n v="0"/>
    <n v="15.79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12"/>
    <x v="38"/>
  </r>
  <r>
    <x v="3"/>
    <x v="3"/>
    <x v="1456"/>
    <x v="1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40                   "/>
    <x v="17"/>
    <x v="13"/>
    <x v="38"/>
  </r>
  <r>
    <x v="3"/>
    <x v="3"/>
    <x v="1457"/>
    <x v="1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8"/>
    <x v="3"/>
    <x v="36"/>
  </r>
  <r>
    <x v="3"/>
    <x v="3"/>
    <x v="1458"/>
    <x v="1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8"/>
    <x v="1"/>
    <x v="36"/>
  </r>
  <r>
    <x v="3"/>
    <x v="3"/>
    <x v="1459"/>
    <x v="1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8"/>
    <x v="10"/>
    <x v="36"/>
  </r>
  <r>
    <x v="3"/>
    <x v="3"/>
    <x v="1460"/>
    <x v="1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8"/>
    <x v="13"/>
    <x v="36"/>
  </r>
  <r>
    <x v="3"/>
    <x v="3"/>
    <x v="1461"/>
    <x v="1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1"/>
    <x v="3"/>
    <x v="37"/>
  </r>
  <r>
    <x v="3"/>
    <x v="3"/>
    <x v="1462"/>
    <x v="1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1"/>
    <x v="8"/>
    <x v="37"/>
  </r>
  <r>
    <x v="3"/>
    <x v="3"/>
    <x v="1463"/>
    <x v="1465"/>
    <n v="0"/>
    <n v="0"/>
    <n v="0"/>
    <n v="0"/>
    <n v="0"/>
    <n v="0"/>
    <n v="0"/>
    <n v="0"/>
    <n v="549.84"/>
    <n v="0"/>
    <n v="0"/>
    <n v="0"/>
    <n v="0"/>
    <n v="0"/>
    <n v="0"/>
    <n v="0"/>
    <n v="0"/>
    <n v="0"/>
    <n v="115.74"/>
    <n v="0"/>
    <n v="190.24"/>
    <n v="331.76"/>
    <n v="0"/>
    <n v="1370.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80"/>
    <n v="1080"/>
    <n v="0"/>
    <n v="0"/>
    <n v="810"/>
    <n v="810"/>
    <n v="0"/>
    <n v="1350"/>
    <n v="1350"/>
    <n v="0"/>
    <n v="0"/>
    <n v="0"/>
    <n v="300"/>
    <n v="0"/>
    <n v="0"/>
    <n v="300"/>
    <n v="0"/>
    <n v="300"/>
    <n v="0"/>
    <n v="300"/>
    <n v="0"/>
    <n v="300"/>
    <n v="0"/>
    <n v="0"/>
    <x v="2"/>
    <x v="4"/>
    <s v="81250                   "/>
    <x v="12"/>
    <x v="1"/>
    <x v="33"/>
  </r>
  <r>
    <x v="3"/>
    <x v="3"/>
    <x v="1464"/>
    <x v="1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8"/>
    <x v="33"/>
  </r>
  <r>
    <x v="3"/>
    <x v="3"/>
    <x v="1465"/>
    <x v="1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9"/>
    <x v="33"/>
  </r>
  <r>
    <x v="3"/>
    <x v="3"/>
    <x v="1466"/>
    <x v="1468"/>
    <n v="0"/>
    <n v="0"/>
    <n v="0"/>
    <n v="0"/>
    <n v="0"/>
    <n v="0"/>
    <n v="176.32"/>
    <n v="0"/>
    <n v="109.04"/>
    <n v="0"/>
    <n v="0"/>
    <n v="70.76000000000000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0"/>
    <x v="33"/>
  </r>
  <r>
    <x v="3"/>
    <x v="3"/>
    <x v="1467"/>
    <x v="1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1"/>
    <x v="33"/>
  </r>
  <r>
    <x v="3"/>
    <x v="3"/>
    <x v="1468"/>
    <x v="1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79.48"/>
    <n v="0"/>
    <n v="0"/>
    <n v="52.2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0"/>
    <n v="0"/>
    <n v="0"/>
    <n v="0"/>
    <n v="0"/>
    <n v="0"/>
    <n v="0"/>
    <n v="0"/>
    <x v="2"/>
    <x v="4"/>
    <s v="81250                   "/>
    <x v="12"/>
    <x v="12"/>
    <x v="33"/>
  </r>
  <r>
    <x v="3"/>
    <x v="3"/>
    <x v="1469"/>
    <x v="1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3"/>
    <x v="33"/>
  </r>
  <r>
    <x v="3"/>
    <x v="3"/>
    <x v="1470"/>
    <x v="1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5"/>
    <x v="33"/>
  </r>
  <r>
    <x v="3"/>
    <x v="3"/>
    <x v="1471"/>
    <x v="14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6"/>
    <x v="33"/>
  </r>
  <r>
    <x v="3"/>
    <x v="3"/>
    <x v="1472"/>
    <x v="1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2"/>
    <x v="17"/>
    <x v="33"/>
  </r>
  <r>
    <x v="3"/>
    <x v="3"/>
    <x v="1473"/>
    <x v="1475"/>
    <n v="0"/>
    <n v="266.39999999999998"/>
    <n v="0"/>
    <n v="0"/>
    <n v="1392"/>
    <n v="0"/>
    <n v="0"/>
    <n v="0"/>
    <n v="0"/>
    <n v="0"/>
    <n v="0"/>
    <n v="0"/>
    <n v="0"/>
    <n v="0"/>
    <n v="0"/>
    <n v="0"/>
    <n v="0"/>
    <n v="0"/>
    <n v="0"/>
    <n v="0"/>
    <n v="1378.2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4"/>
    <x v="3"/>
    <x v="33"/>
  </r>
  <r>
    <x v="3"/>
    <x v="3"/>
    <x v="1474"/>
    <x v="1476"/>
    <n v="0"/>
    <n v="0"/>
    <n v="0"/>
    <n v="0"/>
    <n v="0"/>
    <n v="0"/>
    <n v="0"/>
    <n v="0"/>
    <n v="0"/>
    <n v="0"/>
    <n v="0"/>
    <n v="0"/>
    <n v="0"/>
    <n v="0"/>
    <n v="0"/>
    <n v="0"/>
    <n v="0"/>
    <n v="9.3000000000000007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560"/>
    <n v="778"/>
    <n v="0"/>
    <n v="0"/>
    <n v="0"/>
    <n v="0"/>
    <n v="0"/>
    <n v="0"/>
    <n v="0"/>
    <n v="0"/>
    <n v="0"/>
    <n v="0"/>
    <n v="0"/>
    <n v="500"/>
    <n v="0"/>
    <n v="0"/>
    <n v="0"/>
    <n v="500"/>
    <n v="0"/>
    <n v="0"/>
    <n v="0"/>
    <n v="0"/>
    <x v="2"/>
    <x v="4"/>
    <s v="81250                   "/>
    <x v="14"/>
    <x v="1"/>
    <x v="33"/>
  </r>
  <r>
    <x v="3"/>
    <x v="3"/>
    <x v="1475"/>
    <x v="1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250                   "/>
    <x v="14"/>
    <x v="7"/>
    <x v="33"/>
  </r>
  <r>
    <x v="3"/>
    <x v="3"/>
    <x v="1476"/>
    <x v="14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4"/>
    <x v="8"/>
    <x v="33"/>
  </r>
  <r>
    <x v="3"/>
    <x v="3"/>
    <x v="1477"/>
    <x v="1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4"/>
    <x v="13"/>
    <x v="33"/>
  </r>
  <r>
    <x v="3"/>
    <x v="3"/>
    <x v="1478"/>
    <x v="1480"/>
    <n v="0"/>
    <n v="0"/>
    <n v="0"/>
    <n v="0"/>
    <n v="0"/>
    <n v="4.34"/>
    <n v="0"/>
    <n v="0"/>
    <n v="616.59"/>
    <n v="0"/>
    <n v="0"/>
    <n v="516.46"/>
    <n v="0"/>
    <n v="0"/>
    <n v="0"/>
    <n v="0"/>
    <n v="0"/>
    <n v="0"/>
    <n v="0"/>
    <n v="0"/>
    <n v="0"/>
    <n v="0"/>
    <n v="1510.3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"/>
    <n v="0"/>
    <n v="0"/>
    <n v="525"/>
    <x v="2"/>
    <x v="4"/>
    <s v="81250                   "/>
    <x v="15"/>
    <x v="3"/>
    <x v="33"/>
  </r>
  <r>
    <x v="3"/>
    <x v="3"/>
    <x v="1479"/>
    <x v="1481"/>
    <n v="9657"/>
    <n v="5002.2"/>
    <n v="0"/>
    <n v="4540.8"/>
    <n v="3850.2"/>
    <n v="4668.6000000000004"/>
    <n v="1867.8"/>
    <n v="3663"/>
    <n v="0"/>
    <n v="0"/>
    <n v="3000"/>
    <n v="3019.2"/>
    <n v="0"/>
    <n v="0"/>
    <n v="2066.4"/>
    <n v="0"/>
    <n v="17515.5"/>
    <n v="3764.6"/>
    <n v="3702.6"/>
    <n v="5666.4"/>
    <n v="3861.2"/>
    <n v="3684.2"/>
    <n v="0"/>
    <n v="0"/>
    <n v="2045.4"/>
    <n v="5483.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982"/>
    <n v="8822.1"/>
    <n v="7425"/>
    <n v="2982"/>
    <n v="1835.4"/>
    <n v="5838.48"/>
    <n v="11025.6"/>
    <n v="3858"/>
    <n v="0"/>
    <n v="7680.9"/>
    <n v="0"/>
    <n v="8250"/>
    <n v="6660"/>
    <n v="6450"/>
    <n v="0"/>
    <n v="8825"/>
    <n v="4325"/>
    <n v="9500"/>
    <n v="2685"/>
    <n v="3225"/>
    <n v="0"/>
    <n v="2469"/>
    <n v="3225"/>
    <x v="2"/>
    <x v="4"/>
    <s v="81250                   "/>
    <x v="17"/>
    <x v="3"/>
    <x v="38"/>
  </r>
  <r>
    <x v="3"/>
    <x v="3"/>
    <x v="1480"/>
    <x v="1482"/>
    <n v="0"/>
    <n v="0"/>
    <n v="2556"/>
    <n v="0"/>
    <n v="0"/>
    <n v="2129.4"/>
    <n v="0"/>
    <n v="0"/>
    <n v="0"/>
    <n v="0"/>
    <n v="0"/>
    <n v="0"/>
    <n v="0"/>
    <n v="0"/>
    <n v="913.2"/>
    <n v="0"/>
    <n v="3663.6"/>
    <n v="0"/>
    <n v="0"/>
    <n v="0"/>
    <n v="4269"/>
    <n v="2710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333"/>
    <n v="0"/>
    <n v="759"/>
    <n v="0"/>
    <n v="0"/>
    <n v="0"/>
    <n v="0"/>
    <n v="4269"/>
    <n v="0"/>
    <n v="0"/>
    <n v="0"/>
    <n v="0"/>
    <n v="5690"/>
    <n v="0"/>
    <n v="5690"/>
    <n v="0"/>
    <n v="0"/>
    <n v="0"/>
    <n v="3674"/>
    <n v="0"/>
    <n v="0"/>
    <n v="0"/>
    <n v="0"/>
    <x v="2"/>
    <x v="4"/>
    <s v="81250                   "/>
    <x v="17"/>
    <x v="0"/>
    <x v="38"/>
  </r>
  <r>
    <x v="3"/>
    <x v="3"/>
    <x v="1481"/>
    <x v="1483"/>
    <n v="0"/>
    <n v="0"/>
    <n v="1308.5999999999999"/>
    <n v="2307.6"/>
    <n v="0"/>
    <n v="0"/>
    <n v="0"/>
    <n v="0"/>
    <n v="0"/>
    <n v="0"/>
    <n v="4000"/>
    <n v="-4000"/>
    <n v="0"/>
    <n v="0"/>
    <n v="0"/>
    <n v="0"/>
    <n v="3654.9"/>
    <n v="3857.6"/>
    <n v="0"/>
    <n v="1596.4"/>
    <n v="1596"/>
    <n v="9228.6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631"/>
    <n v="4138.8"/>
    <n v="0"/>
    <n v="3436.8"/>
    <n v="0"/>
    <n v="0"/>
    <n v="0"/>
    <n v="0"/>
    <n v="0"/>
    <n v="0"/>
    <n v="0"/>
    <n v="0"/>
    <n v="0"/>
    <n v="0"/>
    <n v="2187"/>
    <n v="1935"/>
    <n v="0"/>
    <n v="0"/>
    <n v="0"/>
    <n v="3472.2"/>
    <n v="1985.4"/>
    <n v="2287.8000000000002"/>
    <x v="2"/>
    <x v="4"/>
    <s v="81250                   "/>
    <x v="17"/>
    <x v="1"/>
    <x v="38"/>
  </r>
  <r>
    <x v="3"/>
    <x v="3"/>
    <x v="1482"/>
    <x v="14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250                   "/>
    <x v="17"/>
    <x v="7"/>
    <x v="38"/>
  </r>
  <r>
    <x v="3"/>
    <x v="3"/>
    <x v="1482"/>
    <x v="1484"/>
    <n v="0"/>
    <n v="0"/>
    <n v="0"/>
    <n v="0"/>
    <n v="0"/>
    <n v="0"/>
    <n v="0"/>
    <n v="3373.8"/>
    <n v="0"/>
    <n v="354.6"/>
    <n v="0"/>
    <n v="0"/>
    <n v="0"/>
    <n v="0"/>
    <n v="0"/>
    <n v="0"/>
    <n v="4686"/>
    <n v="0"/>
    <n v="0"/>
    <n v="0"/>
    <n v="0"/>
    <n v="5757"/>
    <n v="0"/>
    <n v="3099"/>
    <n v="6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25"/>
    <n v="0"/>
    <n v="0"/>
    <n v="0"/>
    <n v="0"/>
    <n v="0"/>
    <n v="0"/>
    <n v="0"/>
    <n v="0"/>
    <n v="0"/>
    <x v="2"/>
    <x v="4"/>
    <s v="81250                   "/>
    <x v="17"/>
    <x v="7"/>
    <x v="38"/>
  </r>
  <r>
    <x v="3"/>
    <x v="3"/>
    <x v="1483"/>
    <x v="1485"/>
    <n v="0"/>
    <n v="6994.8"/>
    <n v="2272.8000000000002"/>
    <n v="1098"/>
    <n v="4096.8"/>
    <n v="3147.6"/>
    <n v="2097"/>
    <n v="0"/>
    <n v="0"/>
    <n v="1042.8"/>
    <n v="0"/>
    <n v="1219.2"/>
    <n v="0"/>
    <n v="1990.8"/>
    <n v="0"/>
    <n v="0"/>
    <n v="6040.8"/>
    <n v="0"/>
    <n v="2202"/>
    <n v="6261.8"/>
    <n v="-2375.6"/>
    <n v="43137.8"/>
    <n v="0"/>
    <n v="0"/>
    <n v="87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982"/>
    <n v="0"/>
    <n v="6375"/>
    <n v="1788.6"/>
    <n v="0"/>
    <n v="0"/>
    <n v="2572.5"/>
    <n v="5166.0600000000004"/>
    <n v="0"/>
    <n v="0"/>
    <n v="0"/>
    <n v="0"/>
    <n v="0"/>
    <n v="14400"/>
    <n v="0"/>
    <n v="0"/>
    <n v="5265"/>
    <n v="4125"/>
    <n v="0"/>
    <n v="0"/>
    <n v="3120"/>
    <n v="0"/>
    <n v="0"/>
    <n v="1825"/>
    <x v="2"/>
    <x v="4"/>
    <s v="81250                   "/>
    <x v="17"/>
    <x v="8"/>
    <x v="38"/>
  </r>
  <r>
    <x v="3"/>
    <x v="3"/>
    <x v="1484"/>
    <x v="1486"/>
    <n v="2203.1999999999998"/>
    <n v="2934"/>
    <n v="-2934"/>
    <n v="0"/>
    <n v="0"/>
    <n v="0"/>
    <n v="3672.6"/>
    <n v="0"/>
    <n v="0"/>
    <n v="1790.4"/>
    <n v="0"/>
    <n v="1396.8"/>
    <n v="0"/>
    <n v="0"/>
    <n v="0"/>
    <n v="0"/>
    <n v="1006.5"/>
    <n v="1056.5999999999999"/>
    <n v="0"/>
    <n v="1647"/>
    <n v="637.20000000000005"/>
    <n v="3218.4"/>
    <n v="0"/>
    <n v="0"/>
    <n v="1549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987.5"/>
    <n v="0"/>
    <n v="1929"/>
    <n v="964.5"/>
    <n v="2542.5"/>
    <n v="2420.4"/>
    <n v="0"/>
    <n v="0"/>
    <n v="0"/>
    <n v="0"/>
    <n v="2685"/>
    <n v="0"/>
    <n v="2685"/>
    <n v="0"/>
    <n v="0"/>
    <n v="0"/>
    <n v="0"/>
    <n v="0"/>
    <n v="0"/>
    <n v="0"/>
    <n v="0"/>
    <x v="2"/>
    <x v="4"/>
    <s v="81250                   "/>
    <x v="17"/>
    <x v="9"/>
    <x v="38"/>
  </r>
  <r>
    <x v="3"/>
    <x v="3"/>
    <x v="1485"/>
    <x v="1487"/>
    <n v="0"/>
    <n v="0"/>
    <n v="0"/>
    <n v="1573.2"/>
    <n v="0"/>
    <n v="0"/>
    <n v="0"/>
    <n v="0"/>
    <n v="62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7"/>
    <x v="10"/>
    <x v="38"/>
  </r>
  <r>
    <x v="3"/>
    <x v="3"/>
    <x v="1486"/>
    <x v="1488"/>
    <n v="0"/>
    <n v="0"/>
    <n v="0"/>
    <n v="0"/>
    <n v="0"/>
    <n v="0"/>
    <n v="0"/>
    <n v="0"/>
    <n v="0"/>
    <n v="0"/>
    <n v="0"/>
    <n v="2205"/>
    <n v="0"/>
    <n v="0"/>
    <n v="0"/>
    <n v="0"/>
    <n v="0"/>
    <n v="0"/>
    <n v="1100"/>
    <n v="-514.4"/>
    <n v="0"/>
    <n v="0"/>
    <n v="0"/>
    <n v="0"/>
    <n v="3423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0.5"/>
    <n v="1900.5"/>
    <n v="0"/>
    <n v="0"/>
    <n v="0"/>
    <n v="0"/>
    <n v="0"/>
    <n v="0"/>
    <n v="1557"/>
    <n v="0"/>
    <n v="0"/>
    <n v="0"/>
    <n v="0"/>
    <n v="0"/>
    <n v="0"/>
    <n v="0"/>
    <n v="0"/>
    <n v="0"/>
    <x v="2"/>
    <x v="4"/>
    <s v="81250                   "/>
    <x v="17"/>
    <x v="11"/>
    <x v="38"/>
  </r>
  <r>
    <x v="3"/>
    <x v="3"/>
    <x v="1487"/>
    <x v="1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5"/>
    <n v="0"/>
    <n v="0"/>
    <n v="0"/>
    <n v="0"/>
    <n v="0"/>
    <n v="0"/>
    <n v="0"/>
    <n v="0"/>
    <n v="0"/>
    <x v="2"/>
    <x v="4"/>
    <s v="81250                   "/>
    <x v="17"/>
    <x v="12"/>
    <x v="38"/>
  </r>
  <r>
    <x v="3"/>
    <x v="3"/>
    <x v="1488"/>
    <x v="1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2"/>
    <n v="0"/>
    <n v="8104"/>
    <n v="0"/>
    <n v="0"/>
    <n v="3674"/>
    <n v="0"/>
    <n v="0"/>
    <x v="2"/>
    <x v="4"/>
    <s v="81250                   "/>
    <x v="17"/>
    <x v="13"/>
    <x v="38"/>
  </r>
  <r>
    <x v="3"/>
    <x v="3"/>
    <x v="1489"/>
    <x v="1491"/>
    <n v="3055.2"/>
    <n v="0"/>
    <n v="1212"/>
    <n v="0"/>
    <n v="0"/>
    <n v="0"/>
    <n v="3561"/>
    <n v="0"/>
    <n v="0"/>
    <n v="0"/>
    <n v="0"/>
    <n v="1118.4000000000001"/>
    <n v="0"/>
    <n v="0"/>
    <n v="2594.4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936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7"/>
    <x v="15"/>
    <x v="38"/>
  </r>
  <r>
    <x v="3"/>
    <x v="3"/>
    <x v="1490"/>
    <x v="1492"/>
    <n v="0"/>
    <n v="0"/>
    <n v="0"/>
    <n v="0"/>
    <n v="0"/>
    <n v="724.5"/>
    <n v="0"/>
    <n v="0"/>
    <n v="0"/>
    <n v="0"/>
    <n v="75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7"/>
    <x v="16"/>
    <x v="38"/>
  </r>
  <r>
    <x v="3"/>
    <x v="3"/>
    <x v="1491"/>
    <x v="1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50                   "/>
    <x v="17"/>
    <x v="18"/>
    <x v="2"/>
  </r>
  <r>
    <x v="3"/>
    <x v="3"/>
    <x v="1492"/>
    <x v="1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1"/>
    <x v="33"/>
  </r>
  <r>
    <x v="3"/>
    <x v="3"/>
    <x v="1493"/>
    <x v="1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7"/>
    <x v="33"/>
  </r>
  <r>
    <x v="3"/>
    <x v="3"/>
    <x v="1494"/>
    <x v="1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8"/>
    <x v="33"/>
  </r>
  <r>
    <x v="3"/>
    <x v="3"/>
    <x v="1495"/>
    <x v="14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9"/>
    <x v="33"/>
  </r>
  <r>
    <x v="3"/>
    <x v="3"/>
    <x v="1496"/>
    <x v="1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0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11"/>
    <x v="33"/>
  </r>
  <r>
    <x v="3"/>
    <x v="3"/>
    <x v="1497"/>
    <x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2"/>
    <x v="13"/>
    <x v="33"/>
  </r>
  <r>
    <x v="3"/>
    <x v="3"/>
    <x v="1498"/>
    <x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4"/>
    <x v="9"/>
    <x v="33"/>
  </r>
  <r>
    <x v="3"/>
    <x v="3"/>
    <x v="1499"/>
    <x v="1501"/>
    <n v="0"/>
    <n v="3609.81"/>
    <n v="0"/>
    <n v="0"/>
    <n v="0"/>
    <n v="0"/>
    <n v="0"/>
    <n v="0"/>
    <n v="0"/>
    <n v="0"/>
    <n v="0"/>
    <n v="0"/>
    <n v="0"/>
    <n v="0"/>
    <n v="0"/>
    <n v="0"/>
    <n v="0"/>
    <n v="0"/>
    <n v="14549.0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43.33"/>
    <n v="0"/>
    <n v="0"/>
    <n v="0"/>
    <n v="0"/>
    <n v="0"/>
    <n v="0"/>
    <n v="0"/>
    <n v="0"/>
    <n v="12855"/>
    <n v="0"/>
    <n v="0"/>
    <n v="12855"/>
    <n v="0"/>
    <n v="0"/>
    <n v="0"/>
    <n v="0"/>
    <n v="0"/>
    <x v="2"/>
    <x v="4"/>
    <s v="81260                   "/>
    <x v="17"/>
    <x v="3"/>
    <x v="38"/>
  </r>
  <r>
    <x v="3"/>
    <x v="3"/>
    <x v="1500"/>
    <x v="1502"/>
    <n v="0"/>
    <n v="0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0"/>
    <x v="38"/>
  </r>
  <r>
    <x v="3"/>
    <x v="3"/>
    <x v="1501"/>
    <x v="1503"/>
    <n v="5066.3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1"/>
    <x v="38"/>
  </r>
  <r>
    <x v="3"/>
    <x v="3"/>
    <x v="1502"/>
    <x v="1504"/>
    <n v="0"/>
    <n v="0"/>
    <n v="0"/>
    <n v="0"/>
    <n v="0"/>
    <n v="0"/>
    <n v="0"/>
    <n v="0"/>
    <n v="0"/>
    <n v="0"/>
    <n v="0"/>
    <n v="0"/>
    <n v="10535.49"/>
    <n v="0"/>
    <n v="0"/>
    <n v="0"/>
    <n v="0"/>
    <n v="0"/>
    <n v="14620.68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391.67"/>
    <n v="0"/>
    <n v="0"/>
    <n v="0"/>
    <n v="0"/>
    <n v="0"/>
    <n v="13043.33"/>
    <n v="0"/>
    <n v="0"/>
    <n v="0"/>
    <n v="0"/>
    <n v="0"/>
    <n v="0"/>
    <n v="9375"/>
    <n v="0"/>
    <n v="0"/>
    <n v="0"/>
    <n v="0"/>
    <n v="0"/>
    <n v="0"/>
    <n v="0"/>
    <n v="0"/>
    <n v="0"/>
    <n v="0"/>
    <x v="2"/>
    <x v="4"/>
    <s v="81260                   "/>
    <x v="17"/>
    <x v="8"/>
    <x v="38"/>
  </r>
  <r>
    <x v="3"/>
    <x v="3"/>
    <x v="1503"/>
    <x v="1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40"/>
    <n v="0"/>
    <n v="0"/>
    <n v="0"/>
    <n v="0"/>
    <n v="0"/>
    <n v="0"/>
    <x v="2"/>
    <x v="4"/>
    <s v="81260                   "/>
    <x v="17"/>
    <x v="9"/>
    <x v="38"/>
  </r>
  <r>
    <x v="3"/>
    <x v="3"/>
    <x v="1504"/>
    <x v="1506"/>
    <n v="0"/>
    <n v="0"/>
    <n v="0"/>
    <n v="0"/>
    <n v="0"/>
    <n v="3831.47"/>
    <n v="3831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10"/>
    <x v="38"/>
  </r>
  <r>
    <x v="3"/>
    <x v="3"/>
    <x v="1505"/>
    <x v="1507"/>
    <n v="0"/>
    <n v="0"/>
    <n v="0"/>
    <n v="0"/>
    <n v="0"/>
    <n v="0"/>
    <n v="0"/>
    <n v="1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11"/>
    <x v="38"/>
  </r>
  <r>
    <x v="3"/>
    <x v="3"/>
    <x v="1506"/>
    <x v="1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12"/>
    <x v="38"/>
  </r>
  <r>
    <x v="3"/>
    <x v="3"/>
    <x v="1507"/>
    <x v="1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x v="2"/>
    <x v="4"/>
    <s v="81260                   "/>
    <x v="17"/>
    <x v="13"/>
    <x v="38"/>
  </r>
  <r>
    <x v="3"/>
    <x v="3"/>
    <x v="1508"/>
    <x v="1510"/>
    <n v="0"/>
    <n v="0"/>
    <n v="0"/>
    <n v="0"/>
    <n v="0"/>
    <n v="3989.79"/>
    <n v="3989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60                   "/>
    <x v="17"/>
    <x v="15"/>
    <x v="38"/>
  </r>
  <r>
    <x v="3"/>
    <x v="3"/>
    <x v="1509"/>
    <x v="1511"/>
    <n v="0"/>
    <n v="0"/>
    <n v="0"/>
    <n v="0"/>
    <n v="0"/>
    <n v="0"/>
    <n v="0"/>
    <n v="0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"/>
    <n v="96"/>
    <n v="0"/>
    <n v="120"/>
    <n v="0"/>
    <n v="465.6"/>
    <n v="120"/>
    <n v="240"/>
    <n v="0"/>
    <n v="38.4"/>
    <n v="19.2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3"/>
    <x v="33"/>
  </r>
  <r>
    <x v="3"/>
    <x v="3"/>
    <x v="1510"/>
    <x v="1512"/>
    <n v="250.8"/>
    <n v="68.400000000000006"/>
    <n v="0"/>
    <n v="319.2"/>
    <n v="0"/>
    <n v="342"/>
    <n v="136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"/>
    <n v="96"/>
    <n v="0"/>
    <n v="120"/>
    <n v="0"/>
    <n v="465.6"/>
    <n v="120"/>
    <n v="240"/>
    <n v="0"/>
    <n v="38.4"/>
    <n v="19.2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"/>
    <x v="33"/>
  </r>
  <r>
    <x v="3"/>
    <x v="3"/>
    <x v="1511"/>
    <x v="15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9"/>
    <x v="33"/>
  </r>
  <r>
    <x v="3"/>
    <x v="3"/>
    <x v="1512"/>
    <x v="1514"/>
    <n v="0"/>
    <n v="0"/>
    <n v="0"/>
    <n v="0"/>
    <n v="0"/>
    <n v="0"/>
    <n v="389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0"/>
    <x v="33"/>
  </r>
  <r>
    <x v="3"/>
    <x v="3"/>
    <x v="1513"/>
    <x v="1515"/>
    <n v="0"/>
    <n v="0"/>
    <n v="0"/>
    <n v="0"/>
    <n v="0"/>
    <n v="0"/>
    <n v="0"/>
    <n v="101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"/>
    <n v="96"/>
    <n v="0"/>
    <n v="120"/>
    <n v="0"/>
    <n v="465.6"/>
    <n v="120"/>
    <n v="240"/>
    <n v="0"/>
    <n v="38.4"/>
    <n v="19.2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1"/>
    <x v="33"/>
  </r>
  <r>
    <x v="3"/>
    <x v="3"/>
    <x v="1514"/>
    <x v="1516"/>
    <n v="91.68"/>
    <n v="0"/>
    <n v="0"/>
    <n v="0"/>
    <n v="0"/>
    <n v="458.4"/>
    <n v="0"/>
    <n v="412.56"/>
    <n v="412.56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"/>
    <n v="96"/>
    <n v="0"/>
    <n v="120"/>
    <n v="0"/>
    <n v="465.6"/>
    <n v="120"/>
    <n v="240"/>
    <n v="0"/>
    <n v="38.4"/>
    <n v="19.2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2"/>
    <x v="33"/>
  </r>
  <r>
    <x v="3"/>
    <x v="3"/>
    <x v="1515"/>
    <x v="15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3"/>
    <x v="33"/>
  </r>
  <r>
    <x v="3"/>
    <x v="3"/>
    <x v="1516"/>
    <x v="1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4"/>
    <n v="96"/>
    <n v="0"/>
    <n v="120"/>
    <n v="0"/>
    <n v="465.6"/>
    <n v="120"/>
    <n v="240"/>
    <n v="0"/>
    <n v="38.4"/>
    <n v="19.2"/>
    <n v="0"/>
    <n v="0"/>
    <n v="0"/>
    <n v="0"/>
    <n v="0"/>
    <n v="0"/>
    <n v="0"/>
    <n v="0"/>
    <n v="0"/>
    <n v="0"/>
    <n v="0"/>
    <n v="0"/>
    <n v="0"/>
    <x v="2"/>
    <x v="4"/>
    <s v="81270                   "/>
    <x v="2"/>
    <x v="15"/>
    <x v="33"/>
  </r>
  <r>
    <x v="3"/>
    <x v="3"/>
    <x v="1517"/>
    <x v="1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8"/>
    <x v="36"/>
  </r>
  <r>
    <x v="3"/>
    <x v="3"/>
    <x v="1518"/>
    <x v="1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9"/>
    <x v="36"/>
  </r>
  <r>
    <x v="3"/>
    <x v="3"/>
    <x v="1519"/>
    <x v="1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0"/>
    <x v="36"/>
  </r>
  <r>
    <x v="3"/>
    <x v="3"/>
    <x v="1520"/>
    <x v="1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1"/>
    <x v="36"/>
  </r>
  <r>
    <x v="3"/>
    <x v="3"/>
    <x v="1521"/>
    <x v="1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2"/>
    <x v="36"/>
  </r>
  <r>
    <x v="3"/>
    <x v="3"/>
    <x v="1522"/>
    <x v="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4"/>
    <x v="36"/>
  </r>
  <r>
    <x v="3"/>
    <x v="3"/>
    <x v="1523"/>
    <x v="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5"/>
    <x v="36"/>
  </r>
  <r>
    <x v="3"/>
    <x v="3"/>
    <x v="1524"/>
    <x v="1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6"/>
    <x v="36"/>
  </r>
  <r>
    <x v="3"/>
    <x v="3"/>
    <x v="1525"/>
    <x v="1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8"/>
    <x v="17"/>
    <x v="36"/>
  </r>
  <r>
    <x v="3"/>
    <x v="3"/>
    <x v="1526"/>
    <x v="1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1"/>
    <x v="3"/>
    <x v="37"/>
  </r>
  <r>
    <x v="3"/>
    <x v="3"/>
    <x v="1527"/>
    <x v="1529"/>
    <n v="0"/>
    <n v="0"/>
    <n v="0"/>
    <n v="0"/>
    <n v="0"/>
    <n v="0"/>
    <n v="0"/>
    <n v="0"/>
    <n v="570.41"/>
    <n v="0"/>
    <n v="0"/>
    <n v="0"/>
    <n v="0"/>
    <n v="0"/>
    <n v="0"/>
    <n v="0"/>
    <n v="0"/>
    <n v="0"/>
    <n v="0"/>
    <n v="0"/>
    <n v="1396.9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02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2"/>
    <x v="1"/>
    <x v="33"/>
  </r>
  <r>
    <x v="3"/>
    <x v="3"/>
    <x v="1528"/>
    <x v="1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2"/>
    <x v="8"/>
    <x v="33"/>
  </r>
  <r>
    <x v="3"/>
    <x v="3"/>
    <x v="1529"/>
    <x v="15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2"/>
    <x v="9"/>
    <x v="33"/>
  </r>
  <r>
    <x v="3"/>
    <x v="3"/>
    <x v="1530"/>
    <x v="1532"/>
    <n v="0"/>
    <n v="0"/>
    <n v="0"/>
    <n v="0"/>
    <n v="0"/>
    <n v="0"/>
    <n v="0"/>
    <n v="0"/>
    <n v="228.96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2"/>
    <x v="10"/>
    <x v="33"/>
  </r>
  <r>
    <x v="3"/>
    <x v="3"/>
    <x v="1531"/>
    <x v="1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1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x v="2"/>
    <x v="4"/>
    <s v="81270                   "/>
    <x v="12"/>
    <x v="11"/>
    <x v="33"/>
  </r>
  <r>
    <x v="3"/>
    <x v="3"/>
    <x v="1532"/>
    <x v="1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3.88"/>
    <n v="150"/>
    <n v="0"/>
    <n v="0"/>
    <n v="-299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0"/>
    <n v="0"/>
    <n v="0"/>
    <n v="0"/>
    <n v="460"/>
    <n v="0"/>
    <n v="532"/>
    <n v="0"/>
    <n v="0"/>
    <x v="2"/>
    <x v="4"/>
    <s v="81270                   "/>
    <x v="12"/>
    <x v="12"/>
    <x v="33"/>
  </r>
  <r>
    <x v="3"/>
    <x v="3"/>
    <x v="1533"/>
    <x v="1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2"/>
    <x v="13"/>
    <x v="33"/>
  </r>
  <r>
    <x v="3"/>
    <x v="3"/>
    <x v="1534"/>
    <x v="1536"/>
    <n v="0"/>
    <n v="742.98"/>
    <n v="0"/>
    <n v="800"/>
    <n v="1598.96"/>
    <n v="0"/>
    <n v="0"/>
    <n v="400"/>
    <n v="161"/>
    <n v="0"/>
    <n v="0"/>
    <n v="0"/>
    <n v="0"/>
    <n v="0"/>
    <n v="0"/>
    <n v="1233"/>
    <n v="0"/>
    <n v="0"/>
    <n v="517.5"/>
    <n v="0"/>
    <n v="517.5"/>
    <n v="1115"/>
    <n v="-1.5"/>
    <n v="102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"/>
    <n v="0"/>
    <n v="0"/>
    <n v="525"/>
    <n v="0"/>
    <n v="175"/>
    <n v="0"/>
    <n v="0"/>
    <n v="0"/>
    <x v="2"/>
    <x v="4"/>
    <s v="81270                   "/>
    <x v="14"/>
    <x v="3"/>
    <x v="33"/>
  </r>
  <r>
    <x v="3"/>
    <x v="3"/>
    <x v="1535"/>
    <x v="1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6"/>
    <x v="33"/>
  </r>
  <r>
    <x v="3"/>
    <x v="3"/>
    <x v="1536"/>
    <x v="1538"/>
    <n v="0"/>
    <n v="633.66"/>
    <n v="0"/>
    <n v="0"/>
    <n v="0"/>
    <n v="0"/>
    <n v="0"/>
    <n v="0"/>
    <n v="0"/>
    <n v="0"/>
    <n v="0"/>
    <n v="0"/>
    <n v="0"/>
    <n v="0"/>
    <n v="0"/>
    <n v="16.940000000000001"/>
    <n v="0"/>
    <n v="0"/>
    <n v="0"/>
    <n v="0"/>
    <n v="0"/>
    <n v="62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"/>
    <n v="1425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1"/>
    <x v="33"/>
  </r>
  <r>
    <x v="3"/>
    <x v="3"/>
    <x v="1537"/>
    <x v="1539"/>
    <n v="0"/>
    <n v="0"/>
    <n v="0"/>
    <n v="0"/>
    <n v="966.32"/>
    <n v="0"/>
    <n v="0"/>
    <n v="0"/>
    <n v="0"/>
    <n v="0"/>
    <n v="0"/>
    <n v="0"/>
    <n v="0"/>
    <n v="0"/>
    <n v="0"/>
    <n v="14.9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8"/>
    <x v="33"/>
  </r>
  <r>
    <x v="3"/>
    <x v="3"/>
    <x v="1538"/>
    <x v="1540"/>
    <n v="0"/>
    <n v="0"/>
    <n v="0"/>
    <n v="0"/>
    <n v="0"/>
    <n v="0"/>
    <n v="0"/>
    <n v="0"/>
    <n v="0"/>
    <n v="0"/>
    <n v="0"/>
    <n v="0"/>
    <n v="0"/>
    <n v="0"/>
    <n v="0"/>
    <n v="2.84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10"/>
    <x v="33"/>
  </r>
  <r>
    <x v="3"/>
    <x v="3"/>
    <x v="1539"/>
    <x v="1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13"/>
    <x v="33"/>
  </r>
  <r>
    <x v="3"/>
    <x v="3"/>
    <x v="1540"/>
    <x v="1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0"/>
    <n v="59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4"/>
    <x v="16"/>
    <x v="33"/>
  </r>
  <r>
    <x v="3"/>
    <x v="3"/>
    <x v="1541"/>
    <x v="1543"/>
    <n v="0"/>
    <n v="0"/>
    <n v="0"/>
    <n v="870"/>
    <n v="225"/>
    <n v="0"/>
    <n v="0"/>
    <n v="0"/>
    <n v="0"/>
    <n v="0"/>
    <n v="0"/>
    <n v="0"/>
    <n v="0"/>
    <n v="0"/>
    <n v="549.84"/>
    <n v="520.26"/>
    <n v="0"/>
    <n v="0"/>
    <n v="0"/>
    <n v="0"/>
    <n v="0"/>
    <n v="450"/>
    <n v="979.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680"/>
    <n v="0"/>
    <n v="900"/>
    <n v="0"/>
    <n v="0"/>
    <n v="0"/>
    <n v="0"/>
    <n v="0"/>
    <n v="0"/>
    <n v="0"/>
    <n v="550"/>
    <n v="525"/>
    <n v="0"/>
    <n v="0"/>
    <n v="0"/>
    <n v="0"/>
    <n v="0"/>
    <n v="0"/>
    <n v="0"/>
    <n v="0"/>
    <x v="2"/>
    <x v="4"/>
    <s v="81270                   "/>
    <x v="15"/>
    <x v="3"/>
    <x v="33"/>
  </r>
  <r>
    <x v="3"/>
    <x v="3"/>
    <x v="1542"/>
    <x v="1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5"/>
    <x v="7"/>
    <x v="33"/>
  </r>
  <r>
    <x v="3"/>
    <x v="3"/>
    <x v="1543"/>
    <x v="1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5"/>
    <x v="9"/>
    <x v="33"/>
  </r>
  <r>
    <x v="3"/>
    <x v="3"/>
    <x v="1544"/>
    <x v="1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5"/>
    <x v="10"/>
    <x v="33"/>
  </r>
  <r>
    <x v="3"/>
    <x v="3"/>
    <x v="1545"/>
    <x v="1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5"/>
    <x v="11"/>
    <x v="33"/>
  </r>
  <r>
    <x v="3"/>
    <x v="3"/>
    <x v="1546"/>
    <x v="1548"/>
    <n v="14348"/>
    <n v="37000"/>
    <n v="-972"/>
    <n v="0"/>
    <n v="0"/>
    <n v="5236"/>
    <n v="0"/>
    <n v="14536"/>
    <n v="0"/>
    <n v="5500"/>
    <n v="0"/>
    <n v="11142.5"/>
    <n v="0"/>
    <n v="0"/>
    <n v="18735"/>
    <n v="0"/>
    <n v="6643"/>
    <n v="33502.5"/>
    <n v="40422"/>
    <n v="4678"/>
    <n v="24900"/>
    <n v="7192"/>
    <n v="7178"/>
    <n v="0"/>
    <n v="2640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0600"/>
    <n v="0"/>
    <n v="0"/>
    <n v="7800"/>
    <n v="4300"/>
    <n v="28750"/>
    <n v="2150"/>
    <n v="24900"/>
    <n v="12780"/>
    <n v="0"/>
    <n v="18440"/>
    <n v="0"/>
    <n v="48000"/>
    <n v="0"/>
    <n v="0"/>
    <n v="0"/>
    <n v="0"/>
    <n v="50000"/>
    <n v="0"/>
    <n v="44000"/>
    <n v="0"/>
    <n v="0"/>
    <n v="0"/>
    <x v="2"/>
    <x v="4"/>
    <s v="81270                   "/>
    <x v="17"/>
    <x v="3"/>
    <x v="38"/>
  </r>
  <r>
    <x v="3"/>
    <x v="3"/>
    <x v="1547"/>
    <x v="1549"/>
    <n v="0"/>
    <n v="0"/>
    <n v="0"/>
    <n v="2167"/>
    <n v="705"/>
    <n v="0"/>
    <n v="0"/>
    <n v="7730"/>
    <n v="-70"/>
    <n v="0"/>
    <n v="4300"/>
    <n v="720"/>
    <n v="0"/>
    <n v="0"/>
    <n v="4196"/>
    <n v="0"/>
    <n v="0"/>
    <n v="0"/>
    <n v="6000"/>
    <n v="180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6700"/>
    <n v="0"/>
    <n v="0"/>
    <n v="0"/>
    <n v="0"/>
    <n v="4100"/>
    <n v="4100"/>
    <n v="0"/>
    <n v="0"/>
    <n v="6100"/>
    <n v="0"/>
    <n v="0"/>
    <n v="0"/>
    <n v="0"/>
    <n v="0"/>
    <n v="0"/>
    <n v="0"/>
    <n v="0"/>
    <n v="0"/>
    <n v="0"/>
    <n v="0"/>
    <n v="0"/>
    <n v="0"/>
    <x v="2"/>
    <x v="4"/>
    <s v="81270                   "/>
    <x v="17"/>
    <x v="0"/>
    <x v="38"/>
  </r>
  <r>
    <x v="3"/>
    <x v="3"/>
    <x v="1548"/>
    <x v="1550"/>
    <n v="0"/>
    <n v="15148"/>
    <n v="10036"/>
    <n v="0"/>
    <n v="0"/>
    <n v="13592"/>
    <n v="0"/>
    <n v="16492"/>
    <n v="6028"/>
    <n v="8000"/>
    <n v="0"/>
    <n v="4038"/>
    <n v="0"/>
    <n v="0"/>
    <n v="16438"/>
    <n v="0"/>
    <n v="2961"/>
    <n v="0"/>
    <n v="14922"/>
    <n v="0"/>
    <n v="4300"/>
    <n v="-4300"/>
    <n v="0"/>
    <n v="402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9040"/>
    <n v="0"/>
    <n v="0"/>
    <n v="0"/>
    <n v="5500"/>
    <n v="15100"/>
    <n v="2480"/>
    <n v="4300"/>
    <n v="7900"/>
    <n v="2620"/>
    <n v="10300"/>
    <n v="10450"/>
    <n v="5650"/>
    <n v="3850"/>
    <n v="0"/>
    <n v="0"/>
    <n v="0"/>
    <n v="8000"/>
    <n v="3850"/>
    <n v="5050"/>
    <n v="0"/>
    <n v="0"/>
    <n v="0"/>
    <x v="2"/>
    <x v="4"/>
    <s v="81270                   "/>
    <x v="17"/>
    <x v="1"/>
    <x v="38"/>
  </r>
  <r>
    <x v="3"/>
    <x v="3"/>
    <x v="1549"/>
    <x v="1551"/>
    <n v="0"/>
    <n v="0"/>
    <n v="0"/>
    <n v="0"/>
    <n v="0"/>
    <n v="0"/>
    <n v="6780"/>
    <n v="0"/>
    <n v="0"/>
    <n v="9600"/>
    <n v="0"/>
    <n v="700"/>
    <n v="0"/>
    <n v="0"/>
    <n v="0"/>
    <n v="0"/>
    <n v="6264"/>
    <n v="7100"/>
    <n v="7268"/>
    <n v="-710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3500"/>
    <n v="0"/>
    <n v="10300"/>
    <n v="0"/>
    <n v="0"/>
    <n v="0"/>
    <n v="0"/>
    <n v="0"/>
    <n v="9500"/>
    <n v="0"/>
    <n v="0"/>
    <n v="0"/>
    <n v="0"/>
    <n v="0"/>
    <n v="0"/>
    <n v="7900"/>
    <n v="0"/>
    <n v="11325"/>
    <n v="0"/>
    <n v="0"/>
    <n v="6525"/>
    <x v="2"/>
    <x v="4"/>
    <s v="81270                   "/>
    <x v="17"/>
    <x v="7"/>
    <x v="38"/>
  </r>
  <r>
    <x v="3"/>
    <x v="3"/>
    <x v="1550"/>
    <x v="1552"/>
    <n v="0"/>
    <n v="31636"/>
    <n v="0"/>
    <n v="29372"/>
    <n v="0"/>
    <n v="0"/>
    <n v="0"/>
    <n v="2464"/>
    <n v="19078"/>
    <n v="0"/>
    <n v="940"/>
    <n v="3204"/>
    <n v="0"/>
    <n v="0"/>
    <n v="2658"/>
    <n v="0"/>
    <n v="23702.5"/>
    <n v="1986"/>
    <n v="43560"/>
    <n v="0"/>
    <n v="35600"/>
    <n v="-35600"/>
    <n v="55614"/>
    <n v="-2780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20"/>
    <n v="29480"/>
    <n v="0"/>
    <n v="15800"/>
    <n v="2800"/>
    <n v="49400"/>
    <n v="9700"/>
    <n v="35600"/>
    <n v="3580"/>
    <n v="0"/>
    <n v="0"/>
    <n v="25000"/>
    <n v="0"/>
    <n v="47000"/>
    <n v="0"/>
    <n v="0"/>
    <n v="4550"/>
    <n v="50000"/>
    <n v="4780"/>
    <n v="41500"/>
    <n v="0"/>
    <n v="0"/>
    <n v="0"/>
    <x v="2"/>
    <x v="4"/>
    <s v="81270                   "/>
    <x v="17"/>
    <x v="8"/>
    <x v="38"/>
  </r>
  <r>
    <x v="3"/>
    <x v="3"/>
    <x v="1551"/>
    <x v="1553"/>
    <n v="0"/>
    <n v="0"/>
    <n v="0"/>
    <n v="0"/>
    <n v="0"/>
    <n v="6197.14"/>
    <n v="0"/>
    <n v="0"/>
    <n v="0"/>
    <n v="0"/>
    <n v="0"/>
    <n v="0"/>
    <n v="0"/>
    <n v="0"/>
    <n v="0"/>
    <n v="0"/>
    <n v="4663"/>
    <n v="0"/>
    <n v="0"/>
    <n v="0"/>
    <n v="3274"/>
    <n v="-327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500"/>
    <n v="0"/>
    <n v="2320"/>
    <n v="0"/>
    <n v="0"/>
    <n v="0"/>
    <n v="3274"/>
    <n v="0"/>
    <n v="0"/>
    <n v="0"/>
    <n v="0"/>
    <n v="0"/>
    <n v="0"/>
    <n v="0"/>
    <n v="4500"/>
    <n v="0"/>
    <n v="0"/>
    <n v="0"/>
    <n v="0"/>
    <n v="0"/>
    <n v="0"/>
    <n v="0"/>
    <x v="2"/>
    <x v="4"/>
    <s v="81270                   "/>
    <x v="17"/>
    <x v="9"/>
    <x v="38"/>
  </r>
  <r>
    <x v="3"/>
    <x v="3"/>
    <x v="1552"/>
    <x v="1554"/>
    <n v="2236"/>
    <n v="3268"/>
    <n v="0"/>
    <n v="0"/>
    <n v="0"/>
    <n v="0"/>
    <n v="0"/>
    <n v="4216"/>
    <n v="212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7"/>
    <x v="10"/>
    <x v="38"/>
  </r>
  <r>
    <x v="3"/>
    <x v="3"/>
    <x v="1553"/>
    <x v="1555"/>
    <n v="0"/>
    <n v="0"/>
    <n v="0"/>
    <n v="0"/>
    <n v="0"/>
    <n v="0"/>
    <n v="0"/>
    <n v="0"/>
    <n v="5852"/>
    <n v="0"/>
    <n v="0"/>
    <n v="0"/>
    <n v="0"/>
    <n v="0"/>
    <n v="0"/>
    <n v="0"/>
    <n v="5745"/>
    <n v="0"/>
    <n v="2400"/>
    <n v="-388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7400"/>
    <n v="0"/>
    <n v="0"/>
    <n v="2750"/>
    <n v="2750"/>
    <n v="0"/>
    <n v="0"/>
    <n v="0"/>
    <n v="3200"/>
    <n v="0"/>
    <n v="0"/>
    <n v="0"/>
    <n v="2675"/>
    <n v="0"/>
    <n v="0"/>
    <n v="0"/>
    <n v="3250"/>
    <n v="0"/>
    <n v="0"/>
    <n v="0"/>
    <n v="0"/>
    <x v="2"/>
    <x v="4"/>
    <s v="81270                   "/>
    <x v="17"/>
    <x v="11"/>
    <x v="38"/>
  </r>
  <r>
    <x v="3"/>
    <x v="3"/>
    <x v="1554"/>
    <x v="1556"/>
    <n v="1516"/>
    <n v="0"/>
    <n v="1108"/>
    <n v="12720"/>
    <n v="748"/>
    <n v="14092"/>
    <n v="0"/>
    <n v="0"/>
    <n v="0"/>
    <n v="4300"/>
    <n v="0"/>
    <n v="10130"/>
    <n v="0"/>
    <n v="0"/>
    <n v="0"/>
    <n v="0"/>
    <n v="11752"/>
    <n v="0"/>
    <n v="6871"/>
    <n v="2430"/>
    <n v="19900"/>
    <n v="4291"/>
    <n v="0"/>
    <n v="324"/>
    <n v="275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9100"/>
    <n v="0"/>
    <n v="8500"/>
    <n v="770"/>
    <n v="2430"/>
    <n v="19900"/>
    <n v="1540"/>
    <n v="0"/>
    <n v="0"/>
    <n v="0"/>
    <n v="0"/>
    <n v="0"/>
    <n v="0"/>
    <n v="0"/>
    <n v="0"/>
    <n v="10800"/>
    <n v="0"/>
    <n v="0"/>
    <n v="15250"/>
    <n v="0"/>
    <n v="0"/>
    <x v="2"/>
    <x v="4"/>
    <s v="81270                   "/>
    <x v="17"/>
    <x v="12"/>
    <x v="38"/>
  </r>
  <r>
    <x v="3"/>
    <x v="3"/>
    <x v="1555"/>
    <x v="15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0"/>
    <n v="0"/>
    <n v="0"/>
    <n v="0"/>
    <n v="0"/>
    <n v="4450"/>
    <n v="0"/>
    <n v="0"/>
    <x v="2"/>
    <x v="4"/>
    <s v="81270                   "/>
    <x v="17"/>
    <x v="13"/>
    <x v="38"/>
  </r>
  <r>
    <x v="3"/>
    <x v="3"/>
    <x v="1556"/>
    <x v="1558"/>
    <n v="0"/>
    <n v="0"/>
    <n v="2872"/>
    <n v="3616"/>
    <n v="0"/>
    <n v="9320"/>
    <n v="0"/>
    <n v="0"/>
    <n v="0"/>
    <n v="0"/>
    <n v="0"/>
    <n v="444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7"/>
    <x v="15"/>
    <x v="38"/>
  </r>
  <r>
    <x v="3"/>
    <x v="3"/>
    <x v="1557"/>
    <x v="1559"/>
    <n v="10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7"/>
    <x v="16"/>
    <x v="38"/>
  </r>
  <r>
    <x v="3"/>
    <x v="3"/>
    <x v="1558"/>
    <x v="1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7"/>
    <x v="17"/>
    <x v="38"/>
  </r>
  <r>
    <x v="3"/>
    <x v="3"/>
    <x v="1559"/>
    <x v="1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18"/>
    <x v="8"/>
    <x v="33"/>
  </r>
  <r>
    <x v="3"/>
    <x v="3"/>
    <x v="1560"/>
    <x v="1562"/>
    <n v="0"/>
    <n v="0"/>
    <n v="0"/>
    <n v="0"/>
    <n v="0"/>
    <n v="0"/>
    <n v="0"/>
    <n v="0"/>
    <n v="203.58"/>
    <n v="0"/>
    <n v="0"/>
    <n v="0"/>
    <n v="0"/>
    <n v="0"/>
    <n v="0"/>
    <n v="0"/>
    <n v="258.63"/>
    <n v="0"/>
    <n v="0"/>
    <n v="0"/>
    <n v="288.91000000000003"/>
    <n v="0"/>
    <n v="250"/>
    <n v="519.2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85"/>
    <n v="0"/>
    <n v="0"/>
    <n v="0"/>
    <n v="0"/>
    <n v="0"/>
    <n v="725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22"/>
    <x v="12"/>
    <x v="33"/>
  </r>
  <r>
    <x v="3"/>
    <x v="3"/>
    <x v="1561"/>
    <x v="15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70                   "/>
    <x v="22"/>
    <x v="17"/>
    <x v="33"/>
  </r>
  <r>
    <x v="3"/>
    <x v="3"/>
    <x v="1562"/>
    <x v="1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280                   "/>
    <x v="17"/>
    <x v="3"/>
    <x v="38"/>
  </r>
  <r>
    <x v="3"/>
    <x v="3"/>
    <x v="1562"/>
    <x v="1564"/>
    <n v="0"/>
    <n v="0"/>
    <n v="0"/>
    <n v="0"/>
    <n v="0"/>
    <n v="800"/>
    <n v="800"/>
    <n v="0"/>
    <n v="0"/>
    <n v="0"/>
    <n v="0"/>
    <n v="552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3"/>
    <x v="38"/>
  </r>
  <r>
    <x v="3"/>
    <x v="3"/>
    <x v="1563"/>
    <x v="1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280                   "/>
    <x v="17"/>
    <x v="1"/>
    <x v="38"/>
  </r>
  <r>
    <x v="3"/>
    <x v="3"/>
    <x v="1563"/>
    <x v="1565"/>
    <n v="0"/>
    <n v="0"/>
    <n v="0"/>
    <n v="0"/>
    <n v="0"/>
    <n v="267.83"/>
    <n v="0"/>
    <n v="1200"/>
    <n v="0"/>
    <n v="0"/>
    <n v="0"/>
    <n v="801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1"/>
    <x v="38"/>
  </r>
  <r>
    <x v="3"/>
    <x v="3"/>
    <x v="1564"/>
    <x v="1566"/>
    <n v="0"/>
    <n v="0"/>
    <n v="0"/>
    <n v="0"/>
    <n v="0"/>
    <n v="1260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x v="2"/>
    <x v="4"/>
    <s v="81280                   "/>
    <x v="17"/>
    <x v="8"/>
    <x v="38"/>
  </r>
  <r>
    <x v="3"/>
    <x v="3"/>
    <x v="1565"/>
    <x v="1567"/>
    <n v="0"/>
    <n v="0"/>
    <n v="2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9"/>
    <x v="38"/>
  </r>
  <r>
    <x v="3"/>
    <x v="3"/>
    <x v="1566"/>
    <x v="15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10"/>
    <x v="38"/>
  </r>
  <r>
    <x v="3"/>
    <x v="3"/>
    <x v="1567"/>
    <x v="1569"/>
    <n v="0"/>
    <n v="0"/>
    <n v="0"/>
    <n v="0"/>
    <n v="0"/>
    <n v="0"/>
    <n v="0"/>
    <n v="0"/>
    <n v="0"/>
    <n v="0"/>
    <n v="0"/>
    <n v="0"/>
    <n v="0"/>
    <n v="0"/>
    <n v="472.7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400"/>
    <n v="4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11"/>
    <x v="38"/>
  </r>
  <r>
    <x v="3"/>
    <x v="3"/>
    <x v="1568"/>
    <x v="1570"/>
    <n v="0"/>
    <n v="0"/>
    <n v="0"/>
    <n v="43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12"/>
    <x v="38"/>
  </r>
  <r>
    <x v="3"/>
    <x v="3"/>
    <x v="1569"/>
    <x v="15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7"/>
    <x v="13"/>
    <x v="38"/>
  </r>
  <r>
    <x v="3"/>
    <x v="3"/>
    <x v="1570"/>
    <x v="1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8"/>
    <x v="7"/>
    <x v="33"/>
  </r>
  <r>
    <x v="3"/>
    <x v="3"/>
    <x v="1571"/>
    <x v="1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8"/>
    <x v="10"/>
    <x v="33"/>
  </r>
  <r>
    <x v="3"/>
    <x v="3"/>
    <x v="1572"/>
    <x v="15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80                   "/>
    <x v="18"/>
    <x v="11"/>
    <x v="33"/>
  </r>
  <r>
    <x v="3"/>
    <x v="3"/>
    <x v="1573"/>
    <x v="1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1"/>
    <x v="3"/>
    <x v="37"/>
  </r>
  <r>
    <x v="3"/>
    <x v="3"/>
    <x v="1574"/>
    <x v="1576"/>
    <n v="0"/>
    <n v="0"/>
    <n v="0"/>
    <n v="0"/>
    <n v="0"/>
    <n v="0"/>
    <n v="0"/>
    <n v="0"/>
    <n v="0"/>
    <n v="0"/>
    <n v="0"/>
    <n v="0"/>
    <n v="0"/>
    <n v="0"/>
    <n v="0"/>
    <n v="1200"/>
    <n v="0"/>
    <n v="0"/>
    <n v="40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"/>
    <n v="0"/>
    <n v="0"/>
    <n v="400"/>
    <n v="0"/>
    <n v="0"/>
    <n v="0"/>
    <n v="0"/>
    <n v="0"/>
    <x v="2"/>
    <x v="4"/>
    <s v="81290                   "/>
    <x v="14"/>
    <x v="3"/>
    <x v="33"/>
  </r>
  <r>
    <x v="3"/>
    <x v="3"/>
    <x v="1575"/>
    <x v="1577"/>
    <n v="0"/>
    <n v="0"/>
    <n v="0"/>
    <n v="0"/>
    <n v="0"/>
    <n v="0"/>
    <n v="0"/>
    <n v="0"/>
    <n v="0"/>
    <n v="0"/>
    <n v="0"/>
    <n v="0"/>
    <n v="0"/>
    <n v="0"/>
    <n v="0"/>
    <n v="0"/>
    <n v="73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0"/>
    <n v="0"/>
    <n v="0"/>
    <n v="0"/>
    <x v="2"/>
    <x v="4"/>
    <s v="81290                   "/>
    <x v="14"/>
    <x v="0"/>
    <x v="33"/>
  </r>
  <r>
    <x v="3"/>
    <x v="3"/>
    <x v="1576"/>
    <x v="15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4"/>
    <x v="8"/>
    <x v="33"/>
  </r>
  <r>
    <x v="3"/>
    <x v="3"/>
    <x v="1577"/>
    <x v="1579"/>
    <n v="0"/>
    <n v="0"/>
    <n v="0"/>
    <n v="0"/>
    <n v="0"/>
    <n v="0"/>
    <n v="0"/>
    <n v="0"/>
    <n v="0"/>
    <n v="0"/>
    <n v="0"/>
    <n v="0"/>
    <n v="0"/>
    <n v="0"/>
    <n v="22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"/>
    <n v="0"/>
    <n v="0"/>
    <n v="0"/>
    <n v="0"/>
    <n v="0"/>
    <n v="0"/>
    <n v="0"/>
    <n v="0"/>
    <n v="0"/>
    <x v="2"/>
    <x v="4"/>
    <s v="81290                   "/>
    <x v="15"/>
    <x v="3"/>
    <x v="33"/>
  </r>
  <r>
    <x v="3"/>
    <x v="3"/>
    <x v="1578"/>
    <x v="1580"/>
    <n v="6628"/>
    <n v="0"/>
    <n v="15452"/>
    <n v="0"/>
    <n v="0"/>
    <n v="17475"/>
    <n v="16475"/>
    <n v="0"/>
    <n v="0"/>
    <n v="0"/>
    <n v="0"/>
    <n v="0"/>
    <n v="0"/>
    <n v="0"/>
    <n v="12125"/>
    <n v="0"/>
    <n v="0"/>
    <n v="0"/>
    <n v="5580"/>
    <n v="5580"/>
    <n v="5580"/>
    <n v="8580"/>
    <n v="3710"/>
    <n v="371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094"/>
    <n v="3094"/>
    <n v="3094"/>
    <n v="3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3"/>
    <x v="38"/>
  </r>
  <r>
    <x v="3"/>
    <x v="3"/>
    <x v="1579"/>
    <x v="1581"/>
    <n v="0"/>
    <n v="0"/>
    <n v="0"/>
    <n v="0"/>
    <n v="0"/>
    <n v="100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500"/>
    <n v="5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0"/>
    <x v="38"/>
  </r>
  <r>
    <x v="3"/>
    <x v="3"/>
    <x v="1580"/>
    <x v="1582"/>
    <n v="0"/>
    <n v="0"/>
    <n v="22080"/>
    <n v="0"/>
    <n v="0"/>
    <n v="2237.5"/>
    <n v="22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"/>
    <x v="38"/>
  </r>
  <r>
    <x v="3"/>
    <x v="3"/>
    <x v="1581"/>
    <x v="1583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7"/>
    <x v="38"/>
  </r>
  <r>
    <x v="3"/>
    <x v="3"/>
    <x v="1582"/>
    <x v="1584"/>
    <n v="6233"/>
    <n v="-6233"/>
    <n v="18020"/>
    <n v="0"/>
    <n v="0"/>
    <n v="12745"/>
    <n v="13745"/>
    <n v="0"/>
    <n v="0"/>
    <n v="0"/>
    <n v="0"/>
    <n v="28200"/>
    <n v="0"/>
    <n v="3000"/>
    <n v="0"/>
    <n v="0"/>
    <n v="0"/>
    <n v="6175"/>
    <n v="9830"/>
    <n v="8080"/>
    <n v="8080"/>
    <n v="8080"/>
    <n v="4230"/>
    <n v="1024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800"/>
    <n v="6800"/>
    <n v="0"/>
    <n v="0"/>
    <n v="0"/>
    <n v="0"/>
    <n v="6300"/>
    <n v="6300"/>
    <n v="6300"/>
    <n v="6300"/>
    <n v="4050"/>
    <n v="4050"/>
    <n v="0"/>
    <n v="0"/>
    <n v="0"/>
    <n v="0"/>
    <n v="0"/>
    <n v="0"/>
    <n v="0"/>
    <n v="0"/>
    <n v="0"/>
    <n v="0"/>
    <n v="0"/>
    <n v="0"/>
    <x v="2"/>
    <x v="4"/>
    <s v="81290                   "/>
    <x v="17"/>
    <x v="8"/>
    <x v="38"/>
  </r>
  <r>
    <x v="3"/>
    <x v="3"/>
    <x v="1583"/>
    <x v="1585"/>
    <n v="3300"/>
    <n v="-3300"/>
    <n v="40100"/>
    <n v="0"/>
    <n v="0"/>
    <n v="500"/>
    <n v="500"/>
    <n v="0"/>
    <n v="0"/>
    <n v="0"/>
    <n v="0"/>
    <n v="0"/>
    <n v="0"/>
    <n v="0"/>
    <n v="12125"/>
    <n v="0"/>
    <n v="6175"/>
    <n v="0"/>
    <n v="0"/>
    <n v="0"/>
    <n v="0"/>
    <n v="0"/>
    <n v="4230"/>
    <n v="423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9"/>
    <x v="38"/>
  </r>
  <r>
    <x v="3"/>
    <x v="3"/>
    <x v="1584"/>
    <x v="1586"/>
    <n v="3600"/>
    <n v="0"/>
    <n v="-360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0"/>
    <x v="38"/>
  </r>
  <r>
    <x v="3"/>
    <x v="3"/>
    <x v="1585"/>
    <x v="1587"/>
    <n v="0"/>
    <n v="0"/>
    <n v="0"/>
    <n v="0"/>
    <n v="0"/>
    <n v="0"/>
    <n v="0"/>
    <n v="1440"/>
    <n v="0"/>
    <n v="0"/>
    <n v="0"/>
    <n v="0"/>
    <n v="0"/>
    <n v="0"/>
    <n v="0"/>
    <n v="0"/>
    <n v="0"/>
    <n v="12840"/>
    <n v="12840"/>
    <n v="-1284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1"/>
    <x v="38"/>
  </r>
  <r>
    <x v="3"/>
    <x v="3"/>
    <x v="1586"/>
    <x v="1588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2"/>
    <x v="38"/>
  </r>
  <r>
    <x v="3"/>
    <x v="3"/>
    <x v="1587"/>
    <x v="1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4320"/>
    <n v="4320"/>
    <n v="4320"/>
    <n v="0"/>
    <n v="0"/>
    <x v="2"/>
    <x v="4"/>
    <s v="81290                   "/>
    <x v="17"/>
    <x v="13"/>
    <x v="38"/>
  </r>
  <r>
    <x v="3"/>
    <x v="3"/>
    <x v="1588"/>
    <x v="1590"/>
    <n v="0"/>
    <n v="0"/>
    <n v="0"/>
    <n v="0"/>
    <n v="6000"/>
    <n v="15175"/>
    <n v="10175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5"/>
    <x v="38"/>
  </r>
  <r>
    <x v="3"/>
    <x v="3"/>
    <x v="1589"/>
    <x v="1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290                   "/>
    <x v="17"/>
    <x v="17"/>
    <x v="38"/>
  </r>
  <r>
    <x v="3"/>
    <x v="3"/>
    <x v="1590"/>
    <x v="1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2"/>
    <x v="3"/>
    <x v="33"/>
  </r>
  <r>
    <x v="3"/>
    <x v="3"/>
    <x v="1591"/>
    <x v="1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8"/>
    <x v="10"/>
    <x v="36"/>
  </r>
  <r>
    <x v="3"/>
    <x v="3"/>
    <x v="1592"/>
    <x v="1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3"/>
    <x v="37"/>
  </r>
  <r>
    <x v="3"/>
    <x v="3"/>
    <x v="1593"/>
    <x v="1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1"/>
    <x v="37"/>
  </r>
  <r>
    <x v="3"/>
    <x v="3"/>
    <x v="1594"/>
    <x v="1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8"/>
    <x v="37"/>
  </r>
  <r>
    <x v="3"/>
    <x v="3"/>
    <x v="1595"/>
    <x v="1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9"/>
    <x v="37"/>
  </r>
  <r>
    <x v="3"/>
    <x v="3"/>
    <x v="1596"/>
    <x v="1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10"/>
    <x v="37"/>
  </r>
  <r>
    <x v="3"/>
    <x v="3"/>
    <x v="1597"/>
    <x v="1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1"/>
    <x v="13"/>
    <x v="37"/>
  </r>
  <r>
    <x v="3"/>
    <x v="3"/>
    <x v="1598"/>
    <x v="1600"/>
    <n v="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4"/>
    <x v="1"/>
    <x v="33"/>
  </r>
  <r>
    <x v="3"/>
    <x v="3"/>
    <x v="1599"/>
    <x v="1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4"/>
    <x v="13"/>
    <x v="33"/>
  </r>
  <r>
    <x v="3"/>
    <x v="3"/>
    <x v="1600"/>
    <x v="1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-432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750"/>
    <n v="0"/>
    <n v="0"/>
    <n v="0"/>
    <n v="0"/>
    <n v="4320"/>
    <n v="4320"/>
    <n v="4320"/>
    <n v="7320"/>
    <n v="0"/>
    <n v="0"/>
    <n v="4400"/>
    <n v="4400"/>
    <n v="2903.75"/>
    <n v="2903.75"/>
    <n v="2903.75"/>
    <n v="2903.75"/>
    <n v="4685.75"/>
    <n v="1782"/>
    <n v="1782"/>
    <n v="1782"/>
    <n v="1782"/>
    <n v="0"/>
    <x v="2"/>
    <x v="4"/>
    <s v="81300                   "/>
    <x v="17"/>
    <x v="3"/>
    <x v="38"/>
  </r>
  <r>
    <x v="3"/>
    <x v="3"/>
    <x v="1601"/>
    <x v="1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80"/>
    <n v="734"/>
    <n v="0"/>
    <n v="780"/>
    <n v="0"/>
    <n v="0"/>
    <n v="2750"/>
    <n v="2750"/>
    <n v="0"/>
    <n v="0"/>
    <n v="0"/>
    <n v="0"/>
    <n v="500"/>
    <n v="0"/>
    <n v="0"/>
    <n v="0"/>
    <n v="0"/>
    <n v="0"/>
    <n v="5000"/>
    <n v="0"/>
    <n v="0"/>
    <n v="0"/>
    <n v="0"/>
    <n v="0"/>
    <x v="2"/>
    <x v="4"/>
    <s v="81300                   "/>
    <x v="17"/>
    <x v="0"/>
    <x v="38"/>
  </r>
  <r>
    <x v="3"/>
    <x v="3"/>
    <x v="1602"/>
    <x v="1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250"/>
    <n v="0"/>
    <n v="0"/>
    <n v="0"/>
    <n v="0"/>
    <n v="0"/>
    <n v="0"/>
    <n v="0"/>
    <n v="0"/>
    <n v="0"/>
    <n v="0"/>
    <n v="750"/>
    <n v="0"/>
    <n v="0"/>
    <n v="0"/>
    <n v="0"/>
    <n v="0"/>
    <n v="0"/>
    <n v="0"/>
    <n v="0"/>
    <n v="0"/>
    <n v="0"/>
    <n v="0"/>
    <x v="2"/>
    <x v="4"/>
    <s v="81300                   "/>
    <x v="17"/>
    <x v="1"/>
    <x v="38"/>
  </r>
  <r>
    <x v="3"/>
    <x v="3"/>
    <x v="1603"/>
    <x v="1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5500"/>
    <n v="0"/>
    <n v="0"/>
    <n v="0"/>
    <n v="0"/>
    <n v="0"/>
    <x v="2"/>
    <x v="4"/>
    <s v="81300                   "/>
    <x v="17"/>
    <x v="7"/>
    <x v="38"/>
  </r>
  <r>
    <x v="3"/>
    <x v="3"/>
    <x v="1604"/>
    <x v="1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00"/>
    <n v="600"/>
    <n v="0"/>
    <n v="0"/>
    <n v="0"/>
    <n v="0"/>
    <n v="0"/>
    <n v="0"/>
    <n v="0"/>
    <n v="0"/>
    <n v="0"/>
    <n v="0"/>
    <n v="4800"/>
    <n v="4800"/>
    <n v="7200"/>
    <n v="7200"/>
    <n v="7200"/>
    <n v="7200"/>
    <n v="3520"/>
    <n v="3520"/>
    <n v="3520"/>
    <n v="3520"/>
    <n v="3520"/>
    <n v="4400"/>
    <x v="2"/>
    <x v="4"/>
    <s v="81300                   "/>
    <x v="17"/>
    <x v="8"/>
    <x v="38"/>
  </r>
  <r>
    <x v="3"/>
    <x v="3"/>
    <x v="1605"/>
    <x v="1607"/>
    <n v="0"/>
    <n v="0"/>
    <n v="0"/>
    <n v="0"/>
    <n v="0"/>
    <n v="0"/>
    <n v="0"/>
    <n v="0"/>
    <n v="0"/>
    <n v="0"/>
    <n v="0"/>
    <n v="0"/>
    <n v="0"/>
    <n v="0"/>
    <n v="0"/>
    <n v="0"/>
    <n v="0"/>
    <n v="3156"/>
    <n v="0"/>
    <n v="-3156"/>
    <n v="7600"/>
    <n v="-760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156"/>
    <n v="3156"/>
    <n v="3156"/>
    <n v="3156"/>
    <n v="0"/>
    <n v="0"/>
    <n v="7600"/>
    <n v="0"/>
    <n v="4050"/>
    <n v="4050"/>
    <n v="0"/>
    <n v="0"/>
    <n v="0"/>
    <n v="0"/>
    <n v="0"/>
    <n v="0"/>
    <n v="0"/>
    <n v="0"/>
    <n v="0"/>
    <n v="0"/>
    <n v="0"/>
    <n v="0"/>
    <x v="2"/>
    <x v="4"/>
    <s v="81300                   "/>
    <x v="17"/>
    <x v="9"/>
    <x v="38"/>
  </r>
  <r>
    <x v="3"/>
    <x v="3"/>
    <x v="1606"/>
    <x v="1608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7"/>
    <x v="10"/>
    <x v="38"/>
  </r>
  <r>
    <x v="3"/>
    <x v="3"/>
    <x v="1607"/>
    <x v="1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x v="2"/>
    <x v="4"/>
    <s v="81300                   "/>
    <x v="17"/>
    <x v="11"/>
    <x v="38"/>
  </r>
  <r>
    <x v="3"/>
    <x v="3"/>
    <x v="1608"/>
    <x v="161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0"/>
    <n v="0"/>
    <n v="0"/>
    <n v="0"/>
    <n v="0"/>
    <n v="0"/>
    <n v="0"/>
    <n v="0"/>
    <n v="0"/>
    <n v="0"/>
    <n v="0"/>
    <n v="250"/>
    <n v="0"/>
    <n v="0"/>
    <n v="0"/>
    <n v="0"/>
    <n v="0"/>
    <n v="0"/>
    <n v="0"/>
    <n v="0"/>
    <n v="0"/>
    <n v="0"/>
    <n v="0"/>
    <x v="2"/>
    <x v="4"/>
    <s v="81300                   "/>
    <x v="17"/>
    <x v="12"/>
    <x v="38"/>
  </r>
  <r>
    <x v="3"/>
    <x v="3"/>
    <x v="1609"/>
    <x v="1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x v="2"/>
    <x v="4"/>
    <s v="81300                   "/>
    <x v="17"/>
    <x v="13"/>
    <x v="38"/>
  </r>
  <r>
    <x v="3"/>
    <x v="3"/>
    <x v="1610"/>
    <x v="1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00                   "/>
    <x v="17"/>
    <x v="15"/>
    <x v="38"/>
  </r>
  <r>
    <x v="3"/>
    <x v="3"/>
    <x v="1611"/>
    <x v="1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2"/>
    <x v="12"/>
    <x v="33"/>
  </r>
  <r>
    <x v="3"/>
    <x v="3"/>
    <x v="1612"/>
    <x v="1614"/>
    <n v="0"/>
    <n v="18070"/>
    <n v="0"/>
    <n v="0"/>
    <n v="0"/>
    <n v="9327.5"/>
    <n v="9327.5"/>
    <n v="0"/>
    <n v="0"/>
    <n v="0"/>
    <n v="0"/>
    <n v="0"/>
    <n v="0"/>
    <n v="17407"/>
    <n v="0"/>
    <n v="0"/>
    <n v="0"/>
    <n v="0"/>
    <n v="12236"/>
    <n v="0"/>
    <n v="5353"/>
    <n v="0"/>
    <n v="0"/>
    <n v="760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9608"/>
    <n v="0"/>
    <n v="0"/>
    <n v="0"/>
    <n v="0"/>
    <n v="11932"/>
    <n v="0"/>
    <n v="0"/>
    <n v="0"/>
    <n v="0"/>
    <n v="11932"/>
    <n v="0"/>
    <n v="17540"/>
    <n v="0"/>
    <n v="0"/>
    <n v="0"/>
    <n v="4485"/>
    <n v="10500"/>
    <n v="0"/>
    <n v="10500"/>
    <n v="0"/>
    <n v="0"/>
    <n v="6500"/>
    <x v="2"/>
    <x v="4"/>
    <s v="81310                   "/>
    <x v="17"/>
    <x v="3"/>
    <x v="38"/>
  </r>
  <r>
    <x v="3"/>
    <x v="3"/>
    <x v="1613"/>
    <x v="1615"/>
    <n v="0"/>
    <n v="0"/>
    <n v="0"/>
    <n v="700"/>
    <n v="-700"/>
    <n v="0"/>
    <n v="0"/>
    <n v="0"/>
    <n v="0"/>
    <n v="0"/>
    <n v="0"/>
    <n v="4615"/>
    <n v="0"/>
    <n v="0"/>
    <n v="0"/>
    <n v="0"/>
    <n v="0"/>
    <n v="0"/>
    <n v="5353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17"/>
    <x v="0"/>
    <x v="38"/>
  </r>
  <r>
    <x v="3"/>
    <x v="3"/>
    <x v="1614"/>
    <x v="1616"/>
    <n v="0"/>
    <n v="9945.02"/>
    <n v="0"/>
    <n v="0"/>
    <n v="0"/>
    <n v="0"/>
    <n v="0"/>
    <n v="0"/>
    <n v="0"/>
    <n v="0"/>
    <n v="0"/>
    <n v="0"/>
    <n v="700"/>
    <n v="8892"/>
    <n v="0"/>
    <n v="0"/>
    <n v="0"/>
    <n v="0"/>
    <n v="8968"/>
    <n v="0"/>
    <n v="0"/>
    <n v="0"/>
    <n v="1231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8816"/>
    <n v="0"/>
    <n v="0"/>
    <n v="0"/>
    <n v="0"/>
    <n v="8360"/>
    <n v="0"/>
    <n v="0"/>
    <n v="0"/>
    <n v="0"/>
    <n v="0"/>
    <n v="0"/>
    <n v="9322"/>
    <n v="9322"/>
    <n v="0"/>
    <n v="0"/>
    <n v="0"/>
    <n v="21251"/>
    <n v="9322"/>
    <n v="11929"/>
    <n v="0"/>
    <n v="0"/>
    <n v="0"/>
    <x v="2"/>
    <x v="4"/>
    <s v="81310                   "/>
    <x v="17"/>
    <x v="1"/>
    <x v="38"/>
  </r>
  <r>
    <x v="3"/>
    <x v="3"/>
    <x v="1615"/>
    <x v="1617"/>
    <n v="0"/>
    <n v="0"/>
    <n v="0"/>
    <n v="700"/>
    <n v="-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17"/>
    <x v="7"/>
    <x v="38"/>
  </r>
  <r>
    <x v="3"/>
    <x v="3"/>
    <x v="1616"/>
    <x v="1618"/>
    <n v="18135"/>
    <n v="0"/>
    <n v="7410"/>
    <n v="0"/>
    <n v="0"/>
    <n v="3770"/>
    <n v="3770"/>
    <n v="0"/>
    <n v="0"/>
    <n v="0"/>
    <n v="0"/>
    <n v="0"/>
    <n v="0"/>
    <n v="0"/>
    <n v="43168"/>
    <n v="0"/>
    <n v="0"/>
    <n v="0"/>
    <n v="7600"/>
    <n v="0"/>
    <n v="23256"/>
    <n v="0"/>
    <n v="0"/>
    <n v="2340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3092"/>
    <n v="0"/>
    <n v="0"/>
    <n v="0"/>
    <n v="7540"/>
    <n v="0"/>
    <n v="10990"/>
    <n v="0"/>
    <n v="0"/>
    <n v="0"/>
    <n v="10465"/>
    <n v="0"/>
    <n v="20100"/>
    <n v="0"/>
    <n v="0"/>
    <n v="7670"/>
    <n v="21000"/>
    <n v="15340"/>
    <n v="7670"/>
    <n v="0"/>
    <n v="0"/>
    <n v="0"/>
    <x v="2"/>
    <x v="4"/>
    <s v="81310                   "/>
    <x v="17"/>
    <x v="8"/>
    <x v="38"/>
  </r>
  <r>
    <x v="3"/>
    <x v="3"/>
    <x v="1617"/>
    <x v="1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17"/>
    <x v="9"/>
    <x v="38"/>
  </r>
  <r>
    <x v="3"/>
    <x v="3"/>
    <x v="1618"/>
    <x v="1620"/>
    <n v="9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17"/>
    <x v="10"/>
    <x v="38"/>
  </r>
  <r>
    <x v="3"/>
    <x v="3"/>
    <x v="1619"/>
    <x v="1621"/>
    <n v="0"/>
    <n v="0"/>
    <n v="0"/>
    <n v="0"/>
    <n v="0"/>
    <n v="0"/>
    <n v="0"/>
    <n v="0"/>
    <n v="0"/>
    <n v="0"/>
    <n v="0"/>
    <n v="0"/>
    <n v="0"/>
    <n v="0"/>
    <n v="0"/>
    <n v="0"/>
    <n v="12160"/>
    <n v="0"/>
    <n v="760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1932"/>
    <n v="0"/>
    <n v="0"/>
    <n v="3800"/>
    <n v="3800"/>
    <n v="0"/>
    <n v="0"/>
    <n v="0"/>
    <n v="0"/>
    <n v="0"/>
    <n v="0"/>
    <n v="0"/>
    <n v="9322"/>
    <n v="0"/>
    <n v="0"/>
    <n v="0"/>
    <n v="9322"/>
    <n v="0"/>
    <n v="0"/>
    <n v="0"/>
    <n v="0"/>
    <x v="2"/>
    <x v="4"/>
    <s v="81310                   "/>
    <x v="17"/>
    <x v="11"/>
    <x v="38"/>
  </r>
  <r>
    <x v="3"/>
    <x v="3"/>
    <x v="1620"/>
    <x v="1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0"/>
    <n v="0"/>
    <n v="0"/>
    <x v="2"/>
    <x v="4"/>
    <s v="81310                   "/>
    <x v="17"/>
    <x v="13"/>
    <x v="38"/>
  </r>
  <r>
    <x v="3"/>
    <x v="3"/>
    <x v="1621"/>
    <x v="1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10                   "/>
    <x v="17"/>
    <x v="15"/>
    <x v="38"/>
  </r>
  <r>
    <x v="3"/>
    <x v="3"/>
    <x v="1622"/>
    <x v="1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"/>
    <x v="3"/>
    <x v="33"/>
  </r>
  <r>
    <x v="3"/>
    <x v="3"/>
    <x v="1623"/>
    <x v="1625"/>
    <n v="0"/>
    <n v="0"/>
    <n v="0"/>
    <n v="0"/>
    <n v="0"/>
    <n v="6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"/>
    <x v="10"/>
    <x v="33"/>
  </r>
  <r>
    <x v="3"/>
    <x v="3"/>
    <x v="1624"/>
    <x v="1626"/>
    <n v="0"/>
    <n v="0"/>
    <n v="0"/>
    <n v="0"/>
    <n v="46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"/>
    <x v="11"/>
    <x v="33"/>
  </r>
  <r>
    <x v="3"/>
    <x v="3"/>
    <x v="1625"/>
    <x v="1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2"/>
    <x v="3"/>
    <x v="33"/>
  </r>
  <r>
    <x v="3"/>
    <x v="3"/>
    <x v="1626"/>
    <x v="1628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25"/>
    <n v="0"/>
    <n v="0"/>
    <n v="0"/>
    <n v="0"/>
    <x v="2"/>
    <x v="4"/>
    <s v="81320                   "/>
    <x v="12"/>
    <x v="1"/>
    <x v="33"/>
  </r>
  <r>
    <x v="3"/>
    <x v="3"/>
    <x v="1627"/>
    <x v="1629"/>
    <n v="0"/>
    <n v="0"/>
    <n v="0"/>
    <n v="0"/>
    <n v="0"/>
    <n v="3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2"/>
    <x v="10"/>
    <x v="33"/>
  </r>
  <r>
    <x v="3"/>
    <x v="3"/>
    <x v="1628"/>
    <x v="1630"/>
    <n v="0"/>
    <n v="0"/>
    <n v="0"/>
    <n v="0"/>
    <n v="46.23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x v="2"/>
    <x v="4"/>
    <s v="81320                   "/>
    <x v="12"/>
    <x v="11"/>
    <x v="33"/>
  </r>
  <r>
    <x v="3"/>
    <x v="3"/>
    <x v="1629"/>
    <x v="1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2"/>
    <x v="13"/>
    <x v="33"/>
  </r>
  <r>
    <x v="3"/>
    <x v="3"/>
    <x v="1630"/>
    <x v="1632"/>
    <n v="0"/>
    <n v="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5"/>
    <x v="3"/>
    <x v="33"/>
  </r>
  <r>
    <x v="3"/>
    <x v="3"/>
    <x v="1631"/>
    <x v="1633"/>
    <n v="0"/>
    <n v="0"/>
    <n v="0"/>
    <n v="2100"/>
    <n v="1050"/>
    <n v="0"/>
    <n v="0"/>
    <n v="1050"/>
    <n v="0"/>
    <n v="0"/>
    <n v="0"/>
    <n v="3500"/>
    <n v="0"/>
    <n v="0"/>
    <n v="2700"/>
    <n v="0"/>
    <n v="4050"/>
    <n v="1350"/>
    <n v="1350"/>
    <n v="1350"/>
    <n v="2025"/>
    <n v="0"/>
    <n v="0"/>
    <n v="571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3"/>
    <x v="38"/>
  </r>
  <r>
    <x v="3"/>
    <x v="3"/>
    <x v="1632"/>
    <x v="1634"/>
    <n v="0"/>
    <n v="0"/>
    <n v="1050"/>
    <n v="0"/>
    <n v="700"/>
    <n v="0"/>
    <n v="0"/>
    <n v="0"/>
    <n v="0"/>
    <n v="0"/>
    <n v="0"/>
    <n v="0"/>
    <n v="0"/>
    <n v="0"/>
    <n v="0"/>
    <n v="0"/>
    <n v="1350"/>
    <n v="0"/>
    <n v="2629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0"/>
    <x v="38"/>
  </r>
  <r>
    <x v="3"/>
    <x v="3"/>
    <x v="1633"/>
    <x v="1635"/>
    <n v="0"/>
    <n v="0"/>
    <n v="525"/>
    <n v="525"/>
    <n v="0"/>
    <n v="0"/>
    <n v="0"/>
    <n v="0"/>
    <n v="0"/>
    <n v="0"/>
    <n v="0"/>
    <n v="700"/>
    <n v="0"/>
    <n v="0"/>
    <n v="0"/>
    <n v="0"/>
    <n v="1350"/>
    <n v="675"/>
    <n v="0"/>
    <n v="1350"/>
    <n v="67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"/>
    <x v="38"/>
  </r>
  <r>
    <x v="3"/>
    <x v="3"/>
    <x v="1634"/>
    <x v="1636"/>
    <n v="0"/>
    <n v="0"/>
    <n v="0"/>
    <n v="0"/>
    <n v="700"/>
    <n v="0"/>
    <n v="0"/>
    <n v="525"/>
    <n v="0"/>
    <n v="525"/>
    <n v="0"/>
    <n v="0"/>
    <n v="0"/>
    <n v="0"/>
    <n v="0"/>
    <n v="0"/>
    <n v="675"/>
    <n v="0"/>
    <n v="0"/>
    <n v="0"/>
    <n v="0"/>
    <n v="0"/>
    <n v="0"/>
    <n v="675"/>
    <n v="-6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7"/>
    <x v="38"/>
  </r>
  <r>
    <x v="3"/>
    <x v="3"/>
    <x v="1635"/>
    <x v="1637"/>
    <n v="0"/>
    <n v="0"/>
    <n v="1050"/>
    <n v="525"/>
    <n v="525"/>
    <n v="700"/>
    <n v="0"/>
    <n v="0"/>
    <n v="0"/>
    <n v="525"/>
    <n v="0"/>
    <n v="525"/>
    <n v="0"/>
    <n v="675"/>
    <n v="0"/>
    <n v="0"/>
    <n v="1350"/>
    <n v="0"/>
    <n v="675"/>
    <n v="675"/>
    <n v="135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8"/>
    <x v="38"/>
  </r>
  <r>
    <x v="3"/>
    <x v="3"/>
    <x v="1636"/>
    <x v="1638"/>
    <n v="0"/>
    <n v="0"/>
    <n v="700"/>
    <n v="0"/>
    <n v="0"/>
    <n v="0"/>
    <n v="0"/>
    <n v="0"/>
    <n v="0"/>
    <n v="525"/>
    <n v="0"/>
    <n v="1050"/>
    <n v="0"/>
    <n v="0"/>
    <n v="0"/>
    <n v="0"/>
    <n v="1375"/>
    <n v="675"/>
    <n v="0"/>
    <n v="675"/>
    <n v="67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5"/>
    <n v="0"/>
    <n v="1050"/>
    <x v="2"/>
    <x v="4"/>
    <s v="81320                   "/>
    <x v="17"/>
    <x v="9"/>
    <x v="38"/>
  </r>
  <r>
    <x v="3"/>
    <x v="3"/>
    <x v="1637"/>
    <x v="1639"/>
    <n v="0"/>
    <n v="0"/>
    <n v="0"/>
    <n v="1050"/>
    <n v="0"/>
    <n v="0"/>
    <n v="0"/>
    <n v="0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0"/>
    <x v="38"/>
  </r>
  <r>
    <x v="3"/>
    <x v="3"/>
    <x v="1638"/>
    <x v="1640"/>
    <n v="0"/>
    <n v="0"/>
    <n v="0"/>
    <n v="0"/>
    <n v="0"/>
    <n v="0"/>
    <n v="0"/>
    <n v="0"/>
    <n v="1400"/>
    <n v="0"/>
    <n v="0"/>
    <n v="1050"/>
    <n v="0"/>
    <n v="0"/>
    <n v="0"/>
    <n v="0"/>
    <n v="0"/>
    <n v="0"/>
    <n v="0"/>
    <n v="67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1"/>
    <x v="38"/>
  </r>
  <r>
    <x v="3"/>
    <x v="3"/>
    <x v="1639"/>
    <x v="1641"/>
    <n v="0"/>
    <n v="0"/>
    <n v="0"/>
    <n v="0"/>
    <n v="1536.64"/>
    <n v="658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2"/>
    <x v="38"/>
  </r>
  <r>
    <x v="3"/>
    <x v="3"/>
    <x v="1640"/>
    <x v="1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3"/>
    <x v="38"/>
  </r>
  <r>
    <x v="3"/>
    <x v="3"/>
    <x v="1641"/>
    <x v="1643"/>
    <n v="0"/>
    <n v="0"/>
    <n v="525"/>
    <n v="1400"/>
    <n v="0"/>
    <n v="0"/>
    <n v="0"/>
    <n v="0"/>
    <n v="0"/>
    <n v="0"/>
    <n v="0"/>
    <n v="52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17"/>
    <x v="15"/>
    <x v="38"/>
  </r>
  <r>
    <x v="3"/>
    <x v="3"/>
    <x v="1642"/>
    <x v="1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3"/>
    <x v="33"/>
  </r>
  <r>
    <x v="3"/>
    <x v="3"/>
    <x v="1643"/>
    <x v="1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4"/>
    <x v="33"/>
  </r>
  <r>
    <x v="3"/>
    <x v="3"/>
    <x v="1644"/>
    <x v="1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0"/>
    <x v="33"/>
  </r>
  <r>
    <x v="3"/>
    <x v="3"/>
    <x v="1645"/>
    <x v="16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5"/>
    <x v="33"/>
  </r>
  <r>
    <x v="3"/>
    <x v="3"/>
    <x v="1646"/>
    <x v="1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6"/>
    <x v="33"/>
  </r>
  <r>
    <x v="3"/>
    <x v="3"/>
    <x v="1647"/>
    <x v="1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"/>
    <x v="33"/>
  </r>
  <r>
    <x v="3"/>
    <x v="3"/>
    <x v="1648"/>
    <x v="1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7"/>
    <x v="33"/>
  </r>
  <r>
    <x v="3"/>
    <x v="3"/>
    <x v="1649"/>
    <x v="16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8"/>
    <x v="33"/>
  </r>
  <r>
    <x v="3"/>
    <x v="3"/>
    <x v="1650"/>
    <x v="16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9"/>
    <x v="33"/>
  </r>
  <r>
    <x v="3"/>
    <x v="3"/>
    <x v="1651"/>
    <x v="1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0"/>
    <x v="33"/>
  </r>
  <r>
    <x v="3"/>
    <x v="3"/>
    <x v="1652"/>
    <x v="1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1"/>
    <x v="33"/>
  </r>
  <r>
    <x v="3"/>
    <x v="3"/>
    <x v="1653"/>
    <x v="1655"/>
    <n v="0"/>
    <n v="0"/>
    <n v="0"/>
    <n v="0"/>
    <n v="0"/>
    <n v="0"/>
    <n v="0"/>
    <n v="125"/>
    <n v="0"/>
    <n v="0"/>
    <n v="0"/>
    <n v="0"/>
    <n v="0"/>
    <n v="0"/>
    <n v="0"/>
    <n v="-125"/>
    <n v="0"/>
    <n v="0"/>
    <n v="0"/>
    <n v="1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2"/>
    <x v="33"/>
  </r>
  <r>
    <x v="3"/>
    <x v="3"/>
    <x v="1654"/>
    <x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3"/>
    <x v="33"/>
  </r>
  <r>
    <x v="3"/>
    <x v="3"/>
    <x v="1655"/>
    <x v="1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4"/>
    <x v="33"/>
  </r>
  <r>
    <x v="3"/>
    <x v="3"/>
    <x v="1656"/>
    <x v="1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5"/>
    <x v="33"/>
  </r>
  <r>
    <x v="3"/>
    <x v="3"/>
    <x v="1657"/>
    <x v="1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6"/>
    <x v="33"/>
  </r>
  <r>
    <x v="3"/>
    <x v="3"/>
    <x v="1658"/>
    <x v="1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20                   "/>
    <x v="22"/>
    <x v="17"/>
    <x v="33"/>
  </r>
  <r>
    <x v="3"/>
    <x v="3"/>
    <x v="1659"/>
    <x v="1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30                   "/>
    <x v="13"/>
    <x v="17"/>
    <x v="33"/>
  </r>
  <r>
    <x v="3"/>
    <x v="3"/>
    <x v="1660"/>
    <x v="1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x v="2"/>
    <x v="4"/>
    <s v="81330                   "/>
    <x v="17"/>
    <x v="3"/>
    <x v="38"/>
  </r>
  <r>
    <x v="3"/>
    <x v="3"/>
    <x v="1661"/>
    <x v="1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30                   "/>
    <x v="17"/>
    <x v="7"/>
    <x v="38"/>
  </r>
  <r>
    <x v="3"/>
    <x v="3"/>
    <x v="1662"/>
    <x v="1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30                   "/>
    <x v="17"/>
    <x v="8"/>
    <x v="38"/>
  </r>
  <r>
    <x v="3"/>
    <x v="3"/>
    <x v="1663"/>
    <x v="1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30                   "/>
    <x v="17"/>
    <x v="11"/>
    <x v="38"/>
  </r>
  <r>
    <x v="3"/>
    <x v="3"/>
    <x v="1664"/>
    <x v="1666"/>
    <n v="0"/>
    <n v="0"/>
    <n v="0"/>
    <n v="0"/>
    <n v="0"/>
    <n v="0"/>
    <n v="0"/>
    <n v="0"/>
    <n v="0"/>
    <n v="0"/>
    <n v="0"/>
    <n v="0"/>
    <n v="0"/>
    <n v="0"/>
    <n v="11692.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30                   "/>
    <x v="17"/>
    <x v="12"/>
    <x v="38"/>
  </r>
  <r>
    <x v="3"/>
    <x v="3"/>
    <x v="1665"/>
    <x v="1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-12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3.38"/>
    <n v="200"/>
    <n v="0"/>
    <n v="80"/>
    <n v="45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340                   "/>
    <x v="1"/>
    <x v="2"/>
    <x v="32"/>
  </r>
  <r>
    <x v="3"/>
    <x v="3"/>
    <x v="1665"/>
    <x v="1667"/>
    <n v="1157.71"/>
    <n v="1112.54"/>
    <n v="784.29"/>
    <n v="2080.88"/>
    <n v="907.68"/>
    <n v="474.21"/>
    <n v="1824.73"/>
    <n v="158.4"/>
    <n v="1333.82"/>
    <n v="1061"/>
    <n v="133.27000000000001"/>
    <n v="429.97"/>
    <n v="-25"/>
    <n v="0"/>
    <n v="0"/>
    <n v="0"/>
    <n v="0"/>
    <n v="0"/>
    <n v="0"/>
    <n v="0"/>
    <n v="296.91000000000003"/>
    <n v="0"/>
    <n v="458.23"/>
    <n v="1775.99"/>
    <n v="11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57.71"/>
    <n v="1112.54"/>
    <n v="784.29"/>
    <n v="2080.88"/>
    <n v="907.68"/>
    <n v="474.21"/>
    <n v="1824.73"/>
    <n v="158.4"/>
    <n v="1333.82"/>
    <n v="1061"/>
    <n v="133.27000000000001"/>
    <n v="429.97"/>
    <n v="-25"/>
    <n v="0"/>
    <n v="0"/>
    <n v="0"/>
    <n v="0"/>
    <n v="0"/>
    <n v="0"/>
    <n v="0"/>
    <n v="1334"/>
    <n v="1061"/>
    <n v="133"/>
    <n v="430"/>
    <x v="2"/>
    <x v="4"/>
    <s v="81340                   "/>
    <x v="1"/>
    <x v="2"/>
    <x v="32"/>
  </r>
  <r>
    <x v="3"/>
    <x v="3"/>
    <x v="1666"/>
    <x v="1668"/>
    <n v="0"/>
    <n v="0"/>
    <n v="0"/>
    <n v="0"/>
    <n v="0"/>
    <n v="0"/>
    <n v="0"/>
    <n v="0"/>
    <n v="0"/>
    <n v="0"/>
    <n v="0"/>
    <n v="0"/>
    <n v="0"/>
    <n v="0"/>
    <n v="0"/>
    <n v="0"/>
    <n v="0"/>
    <n v="38.57"/>
    <n v="0"/>
    <n v="146.2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150"/>
    <n v="0"/>
    <n v="0"/>
    <n v="0"/>
    <n v="0"/>
    <x v="2"/>
    <x v="4"/>
    <s v="81340                   "/>
    <x v="11"/>
    <x v="3"/>
    <x v="37"/>
  </r>
  <r>
    <x v="3"/>
    <x v="3"/>
    <x v="1667"/>
    <x v="1669"/>
    <n v="34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1"/>
    <x v="4"/>
    <x v="37"/>
  </r>
  <r>
    <x v="3"/>
    <x v="3"/>
    <x v="1668"/>
    <x v="1670"/>
    <n v="0"/>
    <n v="0"/>
    <n v="0"/>
    <n v="4.57"/>
    <n v="0"/>
    <n v="0"/>
    <n v="0"/>
    <n v="0"/>
    <n v="0"/>
    <n v="0"/>
    <n v="0"/>
    <n v="0"/>
    <n v="0"/>
    <n v="0"/>
    <n v="0"/>
    <n v="824.57"/>
    <n v="180.36"/>
    <n v="31.03"/>
    <n v="0"/>
    <n v="26.66"/>
    <n v="0"/>
    <n v="38.8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1"/>
    <x v="1"/>
    <x v="37"/>
  </r>
  <r>
    <x v="3"/>
    <x v="3"/>
    <x v="1669"/>
    <x v="1671"/>
    <n v="0"/>
    <n v="0"/>
    <n v="0"/>
    <n v="10.050000000000001"/>
    <n v="0"/>
    <n v="0"/>
    <n v="0"/>
    <n v="0"/>
    <n v="0"/>
    <n v="0"/>
    <n v="0"/>
    <n v="0"/>
    <n v="0"/>
    <n v="0"/>
    <n v="0"/>
    <n v="62.53"/>
    <n v="0"/>
    <n v="39.86"/>
    <n v="0"/>
    <n v="54.0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40"/>
    <n v="0"/>
    <n v="55"/>
    <n v="0"/>
    <n v="0"/>
    <n v="0"/>
    <n v="0"/>
    <x v="2"/>
    <x v="4"/>
    <s v="81340                   "/>
    <x v="11"/>
    <x v="8"/>
    <x v="37"/>
  </r>
  <r>
    <x v="3"/>
    <x v="3"/>
    <x v="1670"/>
    <x v="1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x v="2"/>
    <x v="4"/>
    <s v="81340                   "/>
    <x v="11"/>
    <x v="9"/>
    <x v="37"/>
  </r>
  <r>
    <x v="3"/>
    <x v="3"/>
    <x v="1671"/>
    <x v="16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1"/>
    <x v="10"/>
    <x v="37"/>
  </r>
  <r>
    <x v="3"/>
    <x v="3"/>
    <x v="1672"/>
    <x v="1674"/>
    <n v="0"/>
    <n v="0"/>
    <n v="0"/>
    <n v="5.33"/>
    <n v="0"/>
    <n v="0"/>
    <n v="0"/>
    <n v="0"/>
    <n v="0"/>
    <n v="0"/>
    <n v="0"/>
    <n v="0"/>
    <n v="0"/>
    <n v="0"/>
    <n v="0"/>
    <n v="7.28"/>
    <n v="45.81"/>
    <n v="0"/>
    <n v="0"/>
    <n v="105.41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1"/>
    <x v="12"/>
    <x v="37"/>
  </r>
  <r>
    <x v="3"/>
    <x v="3"/>
    <x v="1673"/>
    <x v="1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1"/>
    <x v="13"/>
    <x v="37"/>
  </r>
  <r>
    <x v="3"/>
    <x v="3"/>
    <x v="1674"/>
    <x v="1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3"/>
    <x v="11"/>
    <x v="33"/>
  </r>
  <r>
    <x v="3"/>
    <x v="3"/>
    <x v="1675"/>
    <x v="1677"/>
    <n v="0"/>
    <n v="0"/>
    <n v="2750"/>
    <n v="0"/>
    <n v="0"/>
    <n v="0"/>
    <n v="0"/>
    <n v="0"/>
    <n v="0"/>
    <n v="0"/>
    <n v="0"/>
    <n v="0"/>
    <n v="0"/>
    <n v="0"/>
    <n v="2750"/>
    <n v="13.28"/>
    <n v="0"/>
    <n v="0"/>
    <n v="0"/>
    <n v="73.63"/>
    <n v="114.6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x v="2"/>
    <x v="4"/>
    <s v="81340                   "/>
    <x v="17"/>
    <x v="3"/>
    <x v="38"/>
  </r>
  <r>
    <x v="3"/>
    <x v="3"/>
    <x v="1676"/>
    <x v="1678"/>
    <n v="0"/>
    <n v="0"/>
    <n v="250"/>
    <n v="0"/>
    <n v="0"/>
    <n v="0"/>
    <n v="0"/>
    <n v="0"/>
    <n v="0"/>
    <n v="0"/>
    <n v="0"/>
    <n v="0"/>
    <n v="0"/>
    <n v="0"/>
    <n v="25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0"/>
    <x v="38"/>
  </r>
  <r>
    <x v="3"/>
    <x v="3"/>
    <x v="1677"/>
    <x v="1679"/>
    <n v="0"/>
    <n v="0"/>
    <n v="1000"/>
    <n v="0"/>
    <n v="0"/>
    <n v="0"/>
    <n v="0"/>
    <n v="0"/>
    <n v="0"/>
    <n v="0"/>
    <n v="0"/>
    <n v="0"/>
    <n v="0"/>
    <n v="0"/>
    <n v="1000"/>
    <n v="0"/>
    <n v="0"/>
    <n v="0"/>
    <n v="0"/>
    <n v="41.1"/>
    <n v="13.4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1"/>
    <x v="38"/>
  </r>
  <r>
    <x v="3"/>
    <x v="3"/>
    <x v="1678"/>
    <x v="1680"/>
    <n v="0"/>
    <n v="0"/>
    <n v="250"/>
    <n v="0"/>
    <n v="0"/>
    <n v="0"/>
    <n v="0"/>
    <n v="0"/>
    <n v="0"/>
    <n v="0"/>
    <n v="0"/>
    <n v="0"/>
    <n v="0"/>
    <n v="0"/>
    <n v="532.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0"/>
    <n v="0"/>
    <n v="0"/>
    <n v="1200"/>
    <n v="0"/>
    <n v="0"/>
    <n v="0"/>
    <n v="0"/>
    <n v="1200"/>
    <n v="0"/>
    <n v="0"/>
    <x v="2"/>
    <x v="4"/>
    <s v="81340                   "/>
    <x v="17"/>
    <x v="7"/>
    <x v="38"/>
  </r>
  <r>
    <x v="3"/>
    <x v="3"/>
    <x v="1679"/>
    <x v="1681"/>
    <n v="0"/>
    <n v="0"/>
    <n v="2250"/>
    <n v="0"/>
    <n v="0"/>
    <n v="0"/>
    <n v="0"/>
    <n v="0"/>
    <n v="0"/>
    <n v="0"/>
    <n v="0"/>
    <n v="0"/>
    <n v="0"/>
    <n v="0"/>
    <n v="1750"/>
    <n v="3.98"/>
    <n v="0"/>
    <n v="0"/>
    <n v="0"/>
    <n v="42.5"/>
    <n v="0"/>
    <n v="0"/>
    <n v="0"/>
    <n v="2.8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x v="2"/>
    <x v="4"/>
    <s v="81340                   "/>
    <x v="17"/>
    <x v="8"/>
    <x v="38"/>
  </r>
  <r>
    <x v="3"/>
    <x v="3"/>
    <x v="1680"/>
    <x v="1682"/>
    <n v="0"/>
    <n v="0"/>
    <n v="1000"/>
    <n v="0"/>
    <n v="0"/>
    <n v="0"/>
    <n v="0"/>
    <n v="0"/>
    <n v="0"/>
    <n v="0"/>
    <n v="0"/>
    <n v="0"/>
    <n v="0"/>
    <n v="0"/>
    <n v="500"/>
    <n v="4.07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50"/>
    <n v="0"/>
    <n v="0"/>
    <n v="0"/>
    <n v="0"/>
    <n v="0"/>
    <n v="0"/>
    <n v="0"/>
    <n v="0"/>
    <n v="0"/>
    <n v="0"/>
    <n v="0"/>
    <n v="750"/>
    <n v="0"/>
    <n v="0"/>
    <n v="0"/>
    <n v="0"/>
    <n v="0"/>
    <n v="0"/>
    <n v="0"/>
    <n v="0"/>
    <n v="0"/>
    <n v="0"/>
    <n v="0"/>
    <x v="2"/>
    <x v="4"/>
    <s v="81340                   "/>
    <x v="17"/>
    <x v="9"/>
    <x v="38"/>
  </r>
  <r>
    <x v="3"/>
    <x v="3"/>
    <x v="1681"/>
    <x v="1683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10"/>
    <x v="38"/>
  </r>
  <r>
    <x v="3"/>
    <x v="3"/>
    <x v="1682"/>
    <x v="1684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12"/>
    <x v="38"/>
  </r>
  <r>
    <x v="3"/>
    <x v="3"/>
    <x v="1683"/>
    <x v="16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13"/>
    <x v="38"/>
  </r>
  <r>
    <x v="3"/>
    <x v="3"/>
    <x v="1684"/>
    <x v="1686"/>
    <n v="0"/>
    <n v="0"/>
    <n v="50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40                   "/>
    <x v="17"/>
    <x v="15"/>
    <x v="38"/>
  </r>
  <r>
    <x v="3"/>
    <x v="3"/>
    <x v="1685"/>
    <x v="1687"/>
    <n v="658.56"/>
    <n v="439.04"/>
    <n v="878.08"/>
    <n v="658.56"/>
    <n v="0"/>
    <n v="0"/>
    <n v="878.08"/>
    <n v="439.04"/>
    <n v="0"/>
    <n v="1097.5999999999999"/>
    <n v="219.52"/>
    <n v="1317.12"/>
    <n v="0"/>
    <n v="0"/>
    <n v="1826.72"/>
    <n v="0"/>
    <n v="1607.2"/>
    <n v="918.4"/>
    <n v="1148"/>
    <n v="1148"/>
    <n v="1148"/>
    <n v="459.2"/>
    <n v="229.6"/>
    <n v="-688.8"/>
    <n v="229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69.49"/>
    <n v="1004.24"/>
    <n v="669.49"/>
    <n v="1338.98"/>
    <n v="669.49"/>
    <n v="1115.82"/>
    <n v="557.91"/>
    <n v="929.85"/>
    <n v="669.49"/>
    <n v="557.91"/>
    <n v="390.54"/>
    <n v="390.54"/>
    <n v="416.57"/>
    <n v="624.86"/>
    <n v="624.86"/>
    <n v="572.79"/>
    <n v="572.79"/>
    <n v="572.79"/>
    <n v="1115.82"/>
    <n v="1115.82"/>
    <n v="416.57"/>
    <n v="416.57"/>
    <n v="416.57"/>
    <n v="416.57"/>
    <x v="2"/>
    <x v="4"/>
    <s v="81350                   "/>
    <x v="17"/>
    <x v="12"/>
    <x v="38"/>
  </r>
  <r>
    <x v="3"/>
    <x v="3"/>
    <x v="1686"/>
    <x v="1688"/>
    <n v="0"/>
    <n v="0"/>
    <n v="0"/>
    <n v="0"/>
    <n v="0"/>
    <n v="0"/>
    <n v="0"/>
    <n v="25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x v="2"/>
    <x v="4"/>
    <s v="81360                   "/>
    <x v="2"/>
    <x v="3"/>
    <x v="33"/>
  </r>
  <r>
    <x v="3"/>
    <x v="3"/>
    <x v="1687"/>
    <x v="1689"/>
    <n v="18.78"/>
    <n v="0"/>
    <n v="0"/>
    <n v="0"/>
    <n v="0"/>
    <n v="0"/>
    <n v="0"/>
    <n v="5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"/>
    <x v="33"/>
  </r>
  <r>
    <x v="3"/>
    <x v="3"/>
    <x v="1688"/>
    <x v="1690"/>
    <n v="0"/>
    <n v="0"/>
    <n v="0"/>
    <n v="0"/>
    <n v="0"/>
    <n v="0"/>
    <n v="0"/>
    <n v="2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8"/>
    <x v="33"/>
  </r>
  <r>
    <x v="3"/>
    <x v="3"/>
    <x v="1689"/>
    <x v="1691"/>
    <n v="17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0"/>
    <x v="33"/>
  </r>
  <r>
    <x v="3"/>
    <x v="3"/>
    <x v="1690"/>
    <x v="1692"/>
    <n v="0"/>
    <n v="0"/>
    <n v="0"/>
    <n v="0"/>
    <n v="0"/>
    <n v="0"/>
    <n v="476.34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1"/>
    <x v="33"/>
  </r>
  <r>
    <x v="3"/>
    <x v="3"/>
    <x v="1691"/>
    <x v="1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2"/>
    <x v="33"/>
  </r>
  <r>
    <x v="3"/>
    <x v="3"/>
    <x v="1692"/>
    <x v="1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3"/>
    <x v="33"/>
  </r>
  <r>
    <x v="3"/>
    <x v="3"/>
    <x v="1693"/>
    <x v="1695"/>
    <n v="19.04"/>
    <n v="0"/>
    <n v="0"/>
    <n v="0"/>
    <n v="0"/>
    <n v="0"/>
    <n v="0"/>
    <n v="29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2"/>
    <x v="15"/>
    <x v="33"/>
  </r>
  <r>
    <x v="3"/>
    <x v="3"/>
    <x v="1694"/>
    <x v="1696"/>
    <n v="0"/>
    <n v="0"/>
    <n v="0"/>
    <n v="0"/>
    <n v="0"/>
    <n v="0"/>
    <n v="0"/>
    <n v="86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5"/>
    <x v="0"/>
    <x v="33"/>
  </r>
  <r>
    <x v="3"/>
    <x v="3"/>
    <x v="1695"/>
    <x v="1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1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8"/>
    <x v="3"/>
    <x v="36"/>
  </r>
  <r>
    <x v="3"/>
    <x v="3"/>
    <x v="1696"/>
    <x v="1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7"/>
    <n v="0"/>
    <n v="0"/>
    <n v="19.8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7"/>
    <n v="0"/>
    <n v="0"/>
    <n v="0"/>
    <n v="0"/>
    <x v="2"/>
    <x v="4"/>
    <s v="81360                   "/>
    <x v="8"/>
    <x v="1"/>
    <x v="36"/>
  </r>
  <r>
    <x v="3"/>
    <x v="3"/>
    <x v="1697"/>
    <x v="1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9"/>
    <n v="0"/>
    <n v="0"/>
    <n v="9.5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9"/>
    <n v="0"/>
    <n v="0"/>
    <n v="0"/>
    <n v="0"/>
    <x v="2"/>
    <x v="4"/>
    <s v="81360                   "/>
    <x v="8"/>
    <x v="8"/>
    <x v="36"/>
  </r>
  <r>
    <x v="3"/>
    <x v="3"/>
    <x v="1698"/>
    <x v="1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8"/>
    <x v="11"/>
    <x v="36"/>
  </r>
  <r>
    <x v="3"/>
    <x v="3"/>
    <x v="1699"/>
    <x v="1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1"/>
    <n v="0"/>
    <n v="479.38"/>
    <n v="221.59"/>
    <n v="312.6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1"/>
    <n v="0"/>
    <n v="0"/>
    <n v="0"/>
    <n v="0"/>
    <x v="2"/>
    <x v="4"/>
    <s v="81360                   "/>
    <x v="8"/>
    <x v="12"/>
    <x v="36"/>
  </r>
  <r>
    <x v="3"/>
    <x v="3"/>
    <x v="1700"/>
    <x v="1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8"/>
    <x v="13"/>
    <x v="36"/>
  </r>
  <r>
    <x v="3"/>
    <x v="3"/>
    <x v="1701"/>
    <x v="1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8"/>
    <x v="16"/>
    <x v="36"/>
  </r>
  <r>
    <x v="3"/>
    <x v="3"/>
    <x v="1702"/>
    <x v="17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6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8"/>
    <x v="18"/>
    <x v="36"/>
  </r>
  <r>
    <x v="3"/>
    <x v="3"/>
    <x v="1703"/>
    <x v="1705"/>
    <n v="0"/>
    <n v="27.6"/>
    <n v="0"/>
    <n v="0"/>
    <n v="10.6"/>
    <n v="0"/>
    <n v="0"/>
    <n v="0"/>
    <n v="0"/>
    <n v="0"/>
    <n v="0"/>
    <n v="0"/>
    <n v="0"/>
    <n v="0"/>
    <n v="0"/>
    <n v="238.48"/>
    <n v="117.06"/>
    <n v="3.2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25"/>
    <n v="25"/>
    <n v="0"/>
    <n v="0"/>
    <n v="0"/>
    <n v="0"/>
    <n v="0"/>
    <n v="0"/>
    <x v="2"/>
    <x v="4"/>
    <s v="81360                   "/>
    <x v="11"/>
    <x v="3"/>
    <x v="37"/>
  </r>
  <r>
    <x v="3"/>
    <x v="3"/>
    <x v="1704"/>
    <x v="1706"/>
    <n v="0"/>
    <n v="0"/>
    <n v="0"/>
    <n v="0"/>
    <n v="0"/>
    <n v="0"/>
    <n v="0"/>
    <n v="0"/>
    <n v="0"/>
    <n v="0"/>
    <n v="0"/>
    <n v="7.4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4"/>
    <x v="37"/>
  </r>
  <r>
    <x v="3"/>
    <x v="3"/>
    <x v="1705"/>
    <x v="1707"/>
    <n v="0"/>
    <n v="0"/>
    <n v="0"/>
    <n v="0"/>
    <n v="0"/>
    <n v="0"/>
    <n v="7.25"/>
    <n v="0"/>
    <n v="0"/>
    <n v="0"/>
    <n v="0"/>
    <n v="0"/>
    <n v="0"/>
    <n v="0"/>
    <n v="0"/>
    <n v="13.74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0"/>
    <x v="37"/>
  </r>
  <r>
    <x v="3"/>
    <x v="3"/>
    <x v="1706"/>
    <x v="1708"/>
    <n v="0"/>
    <n v="0"/>
    <n v="0"/>
    <n v="0"/>
    <n v="13.25"/>
    <n v="0"/>
    <n v="17.440000000000001"/>
    <n v="0"/>
    <n v="0"/>
    <n v="0"/>
    <n v="65.84"/>
    <n v="0"/>
    <n v="0"/>
    <n v="0"/>
    <n v="0"/>
    <n v="18.18"/>
    <n v="1433.51"/>
    <n v="40.4"/>
    <n v="0"/>
    <n v="3.63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"/>
    <x v="37"/>
  </r>
  <r>
    <x v="3"/>
    <x v="3"/>
    <x v="1707"/>
    <x v="1709"/>
    <n v="60.64"/>
    <n v="0"/>
    <n v="0"/>
    <n v="0"/>
    <n v="41.53"/>
    <n v="0"/>
    <n v="24.9"/>
    <n v="0"/>
    <n v="0"/>
    <n v="0"/>
    <n v="0"/>
    <n v="0"/>
    <n v="0"/>
    <n v="0"/>
    <n v="0"/>
    <n v="232.65"/>
    <n v="253.13"/>
    <n v="2.85"/>
    <n v="0"/>
    <n v="2.89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253.13"/>
    <n v="0"/>
    <n v="0"/>
    <n v="0"/>
    <n v="0"/>
    <n v="0"/>
    <n v="0"/>
    <n v="0"/>
    <x v="2"/>
    <x v="4"/>
    <s v="81360                   "/>
    <x v="11"/>
    <x v="8"/>
    <x v="37"/>
  </r>
  <r>
    <x v="3"/>
    <x v="3"/>
    <x v="1708"/>
    <x v="1710"/>
    <n v="0"/>
    <n v="0"/>
    <n v="0"/>
    <n v="0"/>
    <n v="0"/>
    <n v="0"/>
    <n v="17.57"/>
    <n v="0"/>
    <n v="0"/>
    <n v="0"/>
    <n v="0"/>
    <n v="0"/>
    <n v="0"/>
    <n v="0"/>
    <n v="0"/>
    <n v="123.37"/>
    <n v="77.29000000000000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1"/>
    <x v="37"/>
  </r>
  <r>
    <x v="3"/>
    <x v="3"/>
    <x v="1709"/>
    <x v="1711"/>
    <n v="55.8"/>
    <n v="0"/>
    <n v="0"/>
    <n v="0"/>
    <n v="0"/>
    <n v="0"/>
    <n v="106.5"/>
    <n v="0"/>
    <n v="0"/>
    <n v="0"/>
    <n v="0"/>
    <n v="0"/>
    <n v="0"/>
    <n v="0"/>
    <n v="0"/>
    <n v="196.23"/>
    <n v="291.45999999999998"/>
    <n v="0"/>
    <n v="0"/>
    <n v="3.63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2"/>
    <x v="37"/>
  </r>
  <r>
    <x v="3"/>
    <x v="3"/>
    <x v="1710"/>
    <x v="17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3"/>
    <x v="37"/>
  </r>
  <r>
    <x v="3"/>
    <x v="3"/>
    <x v="1711"/>
    <x v="1713"/>
    <n v="0"/>
    <n v="0"/>
    <n v="0"/>
    <n v="0"/>
    <n v="0"/>
    <n v="0"/>
    <n v="87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5"/>
    <x v="37"/>
  </r>
  <r>
    <x v="3"/>
    <x v="3"/>
    <x v="1712"/>
    <x v="1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4"/>
    <s v="81360                   "/>
    <x v="11"/>
    <x v="16"/>
    <x v="37"/>
  </r>
  <r>
    <x v="3"/>
    <x v="3"/>
    <x v="1712"/>
    <x v="1714"/>
    <n v="0"/>
    <n v="0"/>
    <n v="0"/>
    <n v="0"/>
    <n v="0"/>
    <n v="0"/>
    <n v="0"/>
    <n v="0"/>
    <n v="0"/>
    <n v="0"/>
    <n v="0"/>
    <n v="0"/>
    <n v="0"/>
    <n v="0"/>
    <n v="0"/>
    <n v="0"/>
    <n v="0"/>
    <n v="11.73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1"/>
    <x v="16"/>
    <x v="37"/>
  </r>
  <r>
    <x v="3"/>
    <x v="3"/>
    <x v="1713"/>
    <x v="1715"/>
    <n v="0"/>
    <n v="5.01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4"/>
    <x v="3"/>
    <x v="33"/>
  </r>
  <r>
    <x v="3"/>
    <x v="3"/>
    <x v="1714"/>
    <x v="1716"/>
    <n v="0"/>
    <n v="629.38"/>
    <n v="0"/>
    <n v="0"/>
    <n v="2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5"/>
    <x v="3"/>
    <x v="33"/>
  </r>
  <r>
    <x v="3"/>
    <x v="3"/>
    <x v="1715"/>
    <x v="1717"/>
    <n v="0"/>
    <n v="0"/>
    <n v="0"/>
    <n v="0"/>
    <n v="0"/>
    <n v="0"/>
    <n v="0"/>
    <n v="0"/>
    <n v="0"/>
    <n v="0"/>
    <n v="0"/>
    <n v="0"/>
    <n v="0"/>
    <n v="0"/>
    <n v="0"/>
    <n v="9.3800000000000008"/>
    <n v="0"/>
    <n v="0"/>
    <n v="0"/>
    <n v="0"/>
    <n v="6.5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3"/>
    <x v="38"/>
  </r>
  <r>
    <x v="3"/>
    <x v="3"/>
    <x v="1716"/>
    <x v="1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5"/>
    <x v="38"/>
  </r>
  <r>
    <x v="3"/>
    <x v="3"/>
    <x v="1717"/>
    <x v="1719"/>
    <n v="0"/>
    <n v="0"/>
    <n v="0"/>
    <n v="0"/>
    <n v="0"/>
    <n v="1500"/>
    <n v="1500"/>
    <n v="0"/>
    <n v="0"/>
    <n v="0"/>
    <n v="0"/>
    <n v="0"/>
    <n v="0"/>
    <n v="0"/>
    <n v="0"/>
    <n v="9.42"/>
    <n v="0"/>
    <n v="0"/>
    <n v="0"/>
    <n v="0"/>
    <n v="23.58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"/>
    <x v="38"/>
  </r>
  <r>
    <x v="3"/>
    <x v="3"/>
    <x v="1718"/>
    <x v="1720"/>
    <n v="0"/>
    <n v="0"/>
    <n v="0"/>
    <n v="0"/>
    <n v="0"/>
    <n v="0"/>
    <n v="0"/>
    <n v="0"/>
    <n v="0"/>
    <n v="0"/>
    <n v="0"/>
    <n v="0"/>
    <n v="0"/>
    <n v="0"/>
    <n v="0"/>
    <n v="8.3800000000000008"/>
    <n v="0"/>
    <n v="0"/>
    <n v="0"/>
    <n v="0"/>
    <n v="13.42"/>
    <n v="3005.8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8"/>
    <x v="38"/>
  </r>
  <r>
    <x v="3"/>
    <x v="3"/>
    <x v="1719"/>
    <x v="1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9"/>
    <x v="38"/>
  </r>
  <r>
    <x v="3"/>
    <x v="3"/>
    <x v="1720"/>
    <x v="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0"/>
    <x v="38"/>
  </r>
  <r>
    <x v="3"/>
    <x v="3"/>
    <x v="1721"/>
    <x v="1723"/>
    <n v="0"/>
    <n v="0"/>
    <n v="0"/>
    <n v="0"/>
    <n v="0"/>
    <n v="0"/>
    <n v="0"/>
    <n v="4000"/>
    <n v="0"/>
    <n v="0"/>
    <n v="0"/>
    <n v="0"/>
    <n v="0"/>
    <n v="0"/>
    <n v="0"/>
    <n v="0"/>
    <n v="0"/>
    <n v="0"/>
    <n v="0"/>
    <n v="0"/>
    <n v="6.5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1"/>
    <x v="38"/>
  </r>
  <r>
    <x v="3"/>
    <x v="3"/>
    <x v="1722"/>
    <x v="1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x v="2"/>
    <x v="4"/>
    <s v="81360                   "/>
    <x v="17"/>
    <x v="12"/>
    <x v="38"/>
  </r>
  <r>
    <x v="3"/>
    <x v="3"/>
    <x v="1723"/>
    <x v="1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3"/>
    <x v="38"/>
  </r>
  <r>
    <x v="3"/>
    <x v="3"/>
    <x v="1724"/>
    <x v="1726"/>
    <n v="0"/>
    <n v="0"/>
    <n v="0"/>
    <n v="0"/>
    <n v="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5"/>
    <x v="38"/>
  </r>
  <r>
    <x v="3"/>
    <x v="3"/>
    <x v="1725"/>
    <x v="17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7"/>
    <x v="16"/>
    <x v="38"/>
  </r>
  <r>
    <x v="3"/>
    <x v="3"/>
    <x v="1726"/>
    <x v="1728"/>
    <n v="11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60                   "/>
    <x v="19"/>
    <x v="3"/>
    <x v="33"/>
  </r>
  <r>
    <x v="3"/>
    <x v="3"/>
    <x v="1727"/>
    <x v="1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2"/>
    <x v="1"/>
    <x v="33"/>
  </r>
  <r>
    <x v="3"/>
    <x v="3"/>
    <x v="1728"/>
    <x v="1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2"/>
    <x v="13"/>
    <x v="33"/>
  </r>
  <r>
    <x v="3"/>
    <x v="3"/>
    <x v="1729"/>
    <x v="1731"/>
    <n v="0"/>
    <n v="0"/>
    <n v="0"/>
    <n v="0"/>
    <n v="0"/>
    <n v="0"/>
    <n v="0"/>
    <n v="0"/>
    <n v="0"/>
    <n v="0"/>
    <n v="0"/>
    <n v="0"/>
    <n v="0"/>
    <n v="0"/>
    <n v="0"/>
    <n v="0"/>
    <n v="0"/>
    <n v="-1779.43"/>
    <n v="0"/>
    <n v="0"/>
    <n v="0"/>
    <n v="92.4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3"/>
    <x v="38"/>
  </r>
  <r>
    <x v="3"/>
    <x v="3"/>
    <x v="1730"/>
    <x v="1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1"/>
    <x v="38"/>
  </r>
  <r>
    <x v="3"/>
    <x v="3"/>
    <x v="1731"/>
    <x v="1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8"/>
    <x v="38"/>
  </r>
  <r>
    <x v="3"/>
    <x v="3"/>
    <x v="1732"/>
    <x v="1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25"/>
    <n v="25"/>
    <n v="25"/>
    <n v="25"/>
    <n v="25"/>
    <n v="25"/>
    <n v="0"/>
    <n v="0"/>
    <n v="0"/>
    <n v="0"/>
    <n v="0"/>
    <n v="0"/>
    <n v="0"/>
    <n v="0"/>
    <n v="0"/>
    <n v="0"/>
    <n v="0"/>
    <n v="0"/>
    <x v="2"/>
    <x v="4"/>
    <s v="81370                   "/>
    <x v="17"/>
    <x v="9"/>
    <x v="38"/>
  </r>
  <r>
    <x v="3"/>
    <x v="3"/>
    <x v="1733"/>
    <x v="1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10"/>
    <x v="38"/>
  </r>
  <r>
    <x v="3"/>
    <x v="3"/>
    <x v="1734"/>
    <x v="1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12"/>
    <x v="38"/>
  </r>
  <r>
    <x v="3"/>
    <x v="3"/>
    <x v="1735"/>
    <x v="17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13"/>
    <x v="38"/>
  </r>
  <r>
    <x v="3"/>
    <x v="3"/>
    <x v="1736"/>
    <x v="1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7"/>
    <x v="17"/>
    <x v="38"/>
  </r>
  <r>
    <x v="3"/>
    <x v="3"/>
    <x v="1737"/>
    <x v="1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370                   "/>
    <x v="19"/>
    <x v="7"/>
    <x v="33"/>
  </r>
  <r>
    <x v="3"/>
    <x v="3"/>
    <x v="1738"/>
    <x v="1740"/>
    <n v="0"/>
    <n v="0"/>
    <n v="0"/>
    <n v="0"/>
    <n v="0"/>
    <n v="0"/>
    <n v="0"/>
    <n v="0"/>
    <n v="0"/>
    <n v="0"/>
    <n v="0"/>
    <n v="0"/>
    <n v="10.01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1"/>
    <n v="0"/>
    <n v="0"/>
    <n v="0"/>
    <n v="0"/>
    <n v="0"/>
    <n v="0"/>
    <n v="0"/>
    <n v="0"/>
    <n v="0"/>
    <n v="0"/>
    <n v="0"/>
    <x v="2"/>
    <x v="4"/>
    <s v="81380                   "/>
    <x v="1"/>
    <x v="2"/>
    <x v="32"/>
  </r>
  <r>
    <x v="3"/>
    <x v="3"/>
    <x v="1739"/>
    <x v="1741"/>
    <n v="0"/>
    <n v="0"/>
    <n v="0"/>
    <n v="0"/>
    <n v="0"/>
    <n v="0"/>
    <n v="0"/>
    <n v="0"/>
    <n v="0"/>
    <n v="0"/>
    <n v="0"/>
    <n v="0"/>
    <n v="0"/>
    <n v="0"/>
    <n v="0"/>
    <n v="114.24"/>
    <n v="0"/>
    <n v="0"/>
    <n v="0"/>
    <n v="815.59"/>
    <n v="0"/>
    <n v="0"/>
    <n v="0"/>
    <n v="0"/>
    <n v="-929.8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5"/>
    <n v="0"/>
    <n v="81.5"/>
    <n v="0"/>
    <n v="0"/>
    <n v="0"/>
    <n v="0"/>
    <n v="0"/>
    <n v="0"/>
    <n v="0"/>
    <n v="0"/>
    <n v="0"/>
    <n v="114.24"/>
    <n v="0"/>
    <n v="0"/>
    <n v="0"/>
    <n v="815.59"/>
    <n v="0"/>
    <n v="0"/>
    <n v="0"/>
    <n v="0"/>
    <x v="3"/>
    <x v="4"/>
    <s v="81390                   "/>
    <x v="1"/>
    <x v="2"/>
    <x v="32"/>
  </r>
  <r>
    <x v="3"/>
    <x v="3"/>
    <x v="1739"/>
    <x v="1741"/>
    <n v="-319.08999999999997"/>
    <n v="2909.49"/>
    <n v="366.93"/>
    <n v="3804.59"/>
    <n v="5165.83"/>
    <n v="1674.48"/>
    <n v="354.08"/>
    <n v="2071.11"/>
    <n v="257.36"/>
    <n v="4841.3599999999997"/>
    <n v="-130.19999999999999"/>
    <n v="2370.66"/>
    <n v="1021.92"/>
    <n v="1958"/>
    <n v="813.94"/>
    <n v="3267.22"/>
    <n v="3647.09"/>
    <n v="3080.3"/>
    <n v="595"/>
    <n v="2083.54"/>
    <n v="-2361.25"/>
    <n v="4168.34"/>
    <n v="1607.61"/>
    <n v="1224.06"/>
    <n v="1097.71"/>
    <n v="79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19.08999999999997"/>
    <n v="2909.49"/>
    <n v="366.93"/>
    <n v="3804.59"/>
    <n v="5165.83"/>
    <n v="1674.48"/>
    <n v="354.08"/>
    <n v="2071.11"/>
    <n v="257.36"/>
    <n v="4841.3599999999997"/>
    <n v="-130.19999999999999"/>
    <n v="2370.66"/>
    <n v="1021.92"/>
    <n v="1958"/>
    <n v="813.94"/>
    <n v="3267.22"/>
    <n v="3647.09"/>
    <n v="3080.3"/>
    <n v="595"/>
    <n v="2083.54"/>
    <n v="257"/>
    <n v="4841"/>
    <n v="-130"/>
    <n v="2371"/>
    <x v="2"/>
    <x v="4"/>
    <s v="81390                   "/>
    <x v="1"/>
    <x v="2"/>
    <x v="32"/>
  </r>
  <r>
    <x v="3"/>
    <x v="3"/>
    <x v="1740"/>
    <x v="1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20"/>
    <n v="25386.35"/>
    <n v="18028.330000000002"/>
    <n v="36316.35"/>
    <n v="-50569.6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00                   "/>
    <x v="17"/>
    <x v="2"/>
    <x v="38"/>
  </r>
  <r>
    <x v="3"/>
    <x v="3"/>
    <x v="1741"/>
    <x v="1743"/>
    <n v="0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x v="2"/>
    <x v="4"/>
    <s v="81410                   "/>
    <x v="11"/>
    <x v="3"/>
    <x v="37"/>
  </r>
  <r>
    <x v="3"/>
    <x v="3"/>
    <x v="1742"/>
    <x v="1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5"/>
    <x v="37"/>
  </r>
  <r>
    <x v="3"/>
    <x v="3"/>
    <x v="1743"/>
    <x v="1745"/>
    <n v="0"/>
    <n v="0"/>
    <n v="0"/>
    <n v="0"/>
    <n v="78.569999999999993"/>
    <n v="373.24"/>
    <n v="0"/>
    <n v="0"/>
    <n v="0"/>
    <n v="0"/>
    <n v="0"/>
    <n v="0"/>
    <n v="0"/>
    <n v="0"/>
    <n v="0"/>
    <n v="0"/>
    <n v="0"/>
    <n v="0"/>
    <n v="30.7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"/>
    <x v="37"/>
  </r>
  <r>
    <x v="3"/>
    <x v="3"/>
    <x v="1744"/>
    <x v="1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1"/>
    <n v="0"/>
    <n v="0"/>
    <n v="0"/>
    <n v="0"/>
    <n v="0"/>
    <x v="2"/>
    <x v="4"/>
    <s v="81410                   "/>
    <x v="11"/>
    <x v="8"/>
    <x v="37"/>
  </r>
  <r>
    <x v="3"/>
    <x v="3"/>
    <x v="1745"/>
    <x v="1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9"/>
    <x v="37"/>
  </r>
  <r>
    <x v="3"/>
    <x v="3"/>
    <x v="1746"/>
    <x v="1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0"/>
    <x v="37"/>
  </r>
  <r>
    <x v="3"/>
    <x v="3"/>
    <x v="1747"/>
    <x v="1749"/>
    <n v="0"/>
    <n v="0"/>
    <n v="0"/>
    <n v="0"/>
    <n v="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2"/>
    <x v="37"/>
  </r>
  <r>
    <x v="3"/>
    <x v="3"/>
    <x v="1748"/>
    <x v="1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3"/>
    <x v="37"/>
  </r>
  <r>
    <x v="3"/>
    <x v="3"/>
    <x v="1749"/>
    <x v="1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6"/>
    <x v="37"/>
  </r>
  <r>
    <x v="3"/>
    <x v="3"/>
    <x v="1750"/>
    <x v="1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1"/>
    <x v="17"/>
    <x v="37"/>
  </r>
  <r>
    <x v="3"/>
    <x v="3"/>
    <x v="1751"/>
    <x v="1753"/>
    <n v="532.5"/>
    <n v="762"/>
    <n v="692.5"/>
    <n v="617.5"/>
    <n v="455"/>
    <n v="500"/>
    <n v="275"/>
    <n v="385"/>
    <n v="992.5"/>
    <n v="487.5"/>
    <n v="352.5"/>
    <n v="365"/>
    <n v="4562.5"/>
    <n v="737.5"/>
    <n v="4238.5"/>
    <n v="3758.65"/>
    <n v="620"/>
    <n v="335"/>
    <n v="335"/>
    <n v="445"/>
    <n v="335"/>
    <n v="600"/>
    <n v="405"/>
    <n v="350"/>
    <n v="515"/>
    <n v="34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9.13"/>
    <n v="800.1"/>
    <n v="727.13"/>
    <n v="648.38"/>
    <n v="477.75"/>
    <n v="525"/>
    <n v="288.75"/>
    <n v="404.25"/>
    <n v="1042.1300000000001"/>
    <n v="511.88"/>
    <n v="370.13"/>
    <n v="383.25"/>
    <n v="4562.5"/>
    <n v="737.5"/>
    <n v="4238.5"/>
    <n v="3758.65"/>
    <n v="620"/>
    <n v="335"/>
    <n v="335"/>
    <n v="445"/>
    <n v="993"/>
    <n v="488"/>
    <n v="353"/>
    <n v="365"/>
    <x v="2"/>
    <x v="4"/>
    <s v="81420                   "/>
    <x v="1"/>
    <x v="2"/>
    <x v="32"/>
  </r>
  <r>
    <x v="3"/>
    <x v="3"/>
    <x v="1752"/>
    <x v="1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75.88"/>
    <n v="0"/>
    <n v="0"/>
    <n v="0"/>
    <n v="0"/>
    <n v="75"/>
    <n v="0"/>
    <n v="0"/>
    <n v="0"/>
    <n v="0"/>
    <n v="0"/>
    <n v="0"/>
    <n v="0"/>
    <n v="0"/>
    <n v="0"/>
    <n v="0"/>
    <n v="0"/>
    <n v="93.75"/>
    <n v="0"/>
    <n v="0"/>
    <x v="3"/>
    <x v="4"/>
    <s v="81430                   "/>
    <x v="1"/>
    <x v="2"/>
    <x v="32"/>
  </r>
  <r>
    <x v="3"/>
    <x v="3"/>
    <x v="1752"/>
    <x v="1754"/>
    <n v="0"/>
    <n v="0"/>
    <n v="0"/>
    <n v="0"/>
    <n v="204"/>
    <n v="1372.53"/>
    <n v="379"/>
    <n v="923.86"/>
    <n v="29.95"/>
    <n v="2137.1"/>
    <n v="775.3"/>
    <n v="409.3"/>
    <n v="770"/>
    <n v="330"/>
    <n v="762.69"/>
    <n v="694.31"/>
    <n v="204.81"/>
    <n v="381.9"/>
    <n v="1839.97"/>
    <n v="0"/>
    <n v="525"/>
    <n v="9.56"/>
    <n v="120"/>
    <n v="549.9"/>
    <n v="84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204"/>
    <n v="1372.53"/>
    <n v="379"/>
    <n v="923.86"/>
    <n v="29.95"/>
    <n v="2137.1"/>
    <n v="775.3"/>
    <n v="409.3"/>
    <n v="1155"/>
    <n v="495"/>
    <n v="1144.04"/>
    <n v="1041.47"/>
    <n v="307.22000000000003"/>
    <n v="572.85"/>
    <n v="2759.96"/>
    <n v="0"/>
    <n v="45"/>
    <n v="3205.5"/>
    <n v="1162.5"/>
    <n v="613.5"/>
    <x v="2"/>
    <x v="4"/>
    <s v="81430                   "/>
    <x v="1"/>
    <x v="2"/>
    <x v="32"/>
  </r>
  <r>
    <x v="3"/>
    <x v="3"/>
    <x v="1753"/>
    <x v="1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.68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40                   "/>
    <x v="1"/>
    <x v="2"/>
    <x v="32"/>
  </r>
  <r>
    <x v="3"/>
    <x v="3"/>
    <x v="1754"/>
    <x v="1756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185"/>
    <n v="0"/>
    <n v="1551.76"/>
    <n v="185"/>
    <n v="799"/>
    <n v="18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"/>
    <n v="0"/>
    <n v="0"/>
    <n v="249.75"/>
    <n v="0"/>
    <n v="0"/>
    <n v="0"/>
    <n v="0"/>
    <x v="2"/>
    <x v="4"/>
    <s v="81450                   "/>
    <x v="1"/>
    <x v="3"/>
    <x v="32"/>
  </r>
  <r>
    <x v="3"/>
    <x v="3"/>
    <x v="1755"/>
    <x v="1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50                   "/>
    <x v="1"/>
    <x v="1"/>
    <x v="32"/>
  </r>
  <r>
    <x v="3"/>
    <x v="3"/>
    <x v="1756"/>
    <x v="1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x v="2"/>
    <x v="4"/>
    <s v="81450                   "/>
    <x v="1"/>
    <x v="8"/>
    <x v="32"/>
  </r>
  <r>
    <x v="3"/>
    <x v="3"/>
    <x v="1757"/>
    <x v="1759"/>
    <n v="0"/>
    <n v="0"/>
    <n v="0"/>
    <n v="0"/>
    <n v="0"/>
    <n v="0"/>
    <n v="0"/>
    <n v="0"/>
    <n v="0"/>
    <n v="0"/>
    <n v="0"/>
    <n v="0"/>
    <n v="0"/>
    <n v="106.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5"/>
    <n v="0"/>
    <n v="0"/>
    <n v="0"/>
    <n v="0"/>
    <n v="0"/>
    <n v="0"/>
    <n v="0"/>
    <n v="0"/>
    <n v="0"/>
    <n v="0"/>
    <x v="2"/>
    <x v="4"/>
    <s v="81450                   "/>
    <x v="1"/>
    <x v="11"/>
    <x v="32"/>
  </r>
  <r>
    <x v="3"/>
    <x v="3"/>
    <x v="1758"/>
    <x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x v="2"/>
    <x v="4"/>
    <s v="81450                   "/>
    <x v="1"/>
    <x v="12"/>
    <x v="32"/>
  </r>
  <r>
    <x v="3"/>
    <x v="3"/>
    <x v="1759"/>
    <x v="1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50                   "/>
    <x v="1"/>
    <x v="13"/>
    <x v="32"/>
  </r>
  <r>
    <x v="3"/>
    <x v="3"/>
    <x v="1760"/>
    <x v="1762"/>
    <n v="0"/>
    <n v="0"/>
    <n v="0"/>
    <n v="0"/>
    <n v="0"/>
    <n v="0"/>
    <n v="493.72"/>
    <n v="0"/>
    <n v="-493.72"/>
    <n v="0"/>
    <n v="0"/>
    <n v="0"/>
    <n v="0"/>
    <n v="0"/>
    <n v="0"/>
    <n v="0"/>
    <n v="0"/>
    <n v="0"/>
    <n v="0"/>
    <n v="0"/>
    <n v="42.4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2"/>
    <x v="38"/>
  </r>
  <r>
    <x v="3"/>
    <x v="3"/>
    <x v="1761"/>
    <x v="1763"/>
    <n v="0"/>
    <n v="15.15"/>
    <n v="1197.92"/>
    <n v="0"/>
    <n v="1181.57"/>
    <n v="27.78"/>
    <n v="58.78"/>
    <n v="173"/>
    <n v="593.55999999999995"/>
    <n v="146.46"/>
    <n v="0"/>
    <n v="11.94"/>
    <n v="0"/>
    <n v="0"/>
    <n v="0"/>
    <n v="2645.96"/>
    <n v="0"/>
    <n v="0"/>
    <n v="0"/>
    <n v="133.9"/>
    <n v="0"/>
    <n v="0"/>
    <n v="7.07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"/>
    <n v="0"/>
    <n v="0"/>
    <n v="0"/>
    <n v="150"/>
    <n v="600"/>
    <n v="150"/>
    <n v="0"/>
    <n v="15"/>
    <x v="2"/>
    <x v="4"/>
    <s v="81460                   "/>
    <x v="17"/>
    <x v="3"/>
    <x v="38"/>
  </r>
  <r>
    <x v="3"/>
    <x v="3"/>
    <x v="1762"/>
    <x v="1764"/>
    <n v="0"/>
    <n v="0"/>
    <n v="0"/>
    <n v="0"/>
    <n v="0"/>
    <n v="0"/>
    <n v="0"/>
    <n v="0"/>
    <n v="0"/>
    <n v="46.66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4"/>
    <x v="38"/>
  </r>
  <r>
    <x v="3"/>
    <x v="3"/>
    <x v="1763"/>
    <x v="1765"/>
    <n v="0"/>
    <n v="0"/>
    <n v="0"/>
    <n v="0"/>
    <n v="0"/>
    <n v="7.33"/>
    <n v="0"/>
    <n v="0"/>
    <n v="0"/>
    <n v="0"/>
    <n v="0"/>
    <n v="6.28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0"/>
    <x v="38"/>
  </r>
  <r>
    <x v="3"/>
    <x v="3"/>
    <x v="1764"/>
    <x v="1766"/>
    <n v="0"/>
    <n v="0"/>
    <n v="0"/>
    <n v="0"/>
    <n v="0"/>
    <n v="0"/>
    <n v="0"/>
    <n v="0"/>
    <n v="0"/>
    <n v="0"/>
    <n v="0"/>
    <n v="0"/>
    <n v="0"/>
    <n v="0"/>
    <n v="0"/>
    <n v="429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5"/>
    <x v="38"/>
  </r>
  <r>
    <x v="3"/>
    <x v="3"/>
    <x v="1765"/>
    <x v="17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9.6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6"/>
    <x v="38"/>
  </r>
  <r>
    <x v="3"/>
    <x v="3"/>
    <x v="1766"/>
    <x v="1768"/>
    <n v="1446.12"/>
    <n v="8491.52"/>
    <n v="3622.24"/>
    <n v="3763.2"/>
    <n v="1409.57"/>
    <n v="5752.98"/>
    <n v="729.75"/>
    <n v="396.68"/>
    <n v="1454.83"/>
    <n v="1112.54"/>
    <n v="2931.37"/>
    <n v="1527.27"/>
    <n v="8200"/>
    <n v="700"/>
    <n v="921.24"/>
    <n v="1295.5999999999999"/>
    <n v="2272.69"/>
    <n v="3917.56"/>
    <n v="-144.08000000000001"/>
    <n v="741.94"/>
    <n v="200"/>
    <n v="2036.46"/>
    <n v="800.32"/>
    <n v="1683.2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00"/>
    <n v="600"/>
    <n v="2500"/>
    <n v="7500"/>
    <n v="2000"/>
    <n v="3500"/>
    <n v="600"/>
    <n v="600"/>
    <n v="600"/>
    <n v="1200"/>
    <n v="1100"/>
    <n v="1600"/>
    <n v="0"/>
    <n v="500"/>
    <n v="0"/>
    <n v="0"/>
    <n v="500"/>
    <n v="0"/>
    <n v="500"/>
    <n v="0"/>
    <n v="0"/>
    <n v="600"/>
    <n v="0"/>
    <n v="0"/>
    <x v="2"/>
    <x v="4"/>
    <s v="81460                   "/>
    <x v="17"/>
    <x v="1"/>
    <x v="38"/>
  </r>
  <r>
    <x v="3"/>
    <x v="3"/>
    <x v="1767"/>
    <x v="1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7"/>
    <x v="38"/>
  </r>
  <r>
    <x v="3"/>
    <x v="3"/>
    <x v="1768"/>
    <x v="1770"/>
    <n v="26.4"/>
    <n v="193.16"/>
    <n v="3359.02"/>
    <n v="25.14"/>
    <n v="666.52"/>
    <n v="332.18"/>
    <n v="221.44"/>
    <n v="705.68"/>
    <n v="299.75"/>
    <n v="38.880000000000003"/>
    <n v="800.9"/>
    <n v="197.73"/>
    <n v="500"/>
    <n v="0"/>
    <n v="0"/>
    <n v="4976.24"/>
    <n v="3000"/>
    <n v="1825.43"/>
    <n v="0"/>
    <n v="-1412.79"/>
    <n v="564.62"/>
    <n v="265.49"/>
    <n v="24.22"/>
    <n v="68.9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25"/>
    <n v="1825"/>
    <n v="5000"/>
    <n v="1825"/>
    <n v="1825"/>
    <n v="1825"/>
    <n v="1825"/>
    <n v="1825"/>
    <n v="1825"/>
    <n v="1825"/>
    <n v="1825"/>
    <n v="1825"/>
    <n v="500"/>
    <n v="500"/>
    <n v="500"/>
    <n v="3000"/>
    <n v="500"/>
    <n v="500"/>
    <n v="500"/>
    <n v="500"/>
    <n v="500"/>
    <n v="500"/>
    <n v="500"/>
    <n v="500"/>
    <x v="2"/>
    <x v="4"/>
    <s v="81460                   "/>
    <x v="17"/>
    <x v="8"/>
    <x v="38"/>
  </r>
  <r>
    <x v="3"/>
    <x v="3"/>
    <x v="1769"/>
    <x v="1771"/>
    <n v="45.43"/>
    <n v="36.450000000000003"/>
    <n v="228.96"/>
    <n v="108.66"/>
    <n v="176.73"/>
    <n v="4.49"/>
    <n v="7.32"/>
    <n v="0.28999999999999998"/>
    <n v="0"/>
    <n v="0"/>
    <n v="0"/>
    <n v="0"/>
    <n v="0"/>
    <n v="0"/>
    <n v="0"/>
    <n v="136.08000000000001"/>
    <n v="0"/>
    <n v="0"/>
    <n v="0"/>
    <n v="0"/>
    <n v="0"/>
    <n v="0"/>
    <n v="6.45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000"/>
    <n v="1000"/>
    <n v="500"/>
    <n v="0"/>
    <n v="0"/>
    <n v="0"/>
    <n v="0"/>
    <n v="0"/>
    <x v="2"/>
    <x v="4"/>
    <s v="81460                   "/>
    <x v="17"/>
    <x v="9"/>
    <x v="38"/>
  </r>
  <r>
    <x v="3"/>
    <x v="3"/>
    <x v="1770"/>
    <x v="1772"/>
    <n v="158.04"/>
    <n v="74.47"/>
    <n v="12"/>
    <n v="0"/>
    <n v="309.98"/>
    <n v="1801.8"/>
    <n v="444.34"/>
    <n v="8.86"/>
    <n v="256.13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0"/>
    <x v="38"/>
  </r>
  <r>
    <x v="3"/>
    <x v="3"/>
    <x v="1771"/>
    <x v="1773"/>
    <n v="0"/>
    <n v="0"/>
    <n v="0"/>
    <n v="0"/>
    <n v="224.82"/>
    <n v="98.54"/>
    <n v="744.38"/>
    <n v="964.15"/>
    <n v="193.32"/>
    <n v="115.53"/>
    <n v="0"/>
    <n v="0"/>
    <n v="0"/>
    <n v="0"/>
    <n v="0"/>
    <n v="746.5"/>
    <n v="0"/>
    <n v="0"/>
    <n v="0"/>
    <n v="290.48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0"/>
    <n v="1000"/>
    <n v="0"/>
    <n v="0"/>
    <n v="1000"/>
    <n v="0"/>
    <n v="0"/>
    <n v="0"/>
    <n v="500"/>
    <n v="500"/>
    <n v="0"/>
    <n v="0"/>
    <n v="500"/>
    <n v="0"/>
    <n v="0"/>
    <n v="0"/>
    <n v="0"/>
    <x v="2"/>
    <x v="4"/>
    <s v="81460                   "/>
    <x v="17"/>
    <x v="11"/>
    <x v="38"/>
  </r>
  <r>
    <x v="3"/>
    <x v="3"/>
    <x v="1772"/>
    <x v="1774"/>
    <n v="0"/>
    <n v="0"/>
    <n v="305.52"/>
    <n v="0"/>
    <n v="0"/>
    <n v="25.96"/>
    <n v="205.2"/>
    <n v="266.77"/>
    <n v="232.81"/>
    <n v="226.37"/>
    <n v="0"/>
    <n v="127.24"/>
    <n v="0"/>
    <n v="0"/>
    <n v="0"/>
    <n v="340.05"/>
    <n v="84.03"/>
    <n v="0"/>
    <n v="0"/>
    <n v="25.47"/>
    <n v="0"/>
    <n v="305.77999999999997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2"/>
    <x v="38"/>
  </r>
  <r>
    <x v="3"/>
    <x v="3"/>
    <x v="1773"/>
    <x v="17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3500"/>
    <n v="0"/>
    <n v="500"/>
    <n v="0"/>
    <n v="500"/>
    <n v="0"/>
    <n v="500"/>
    <n v="0"/>
    <n v="500"/>
    <n v="0"/>
    <x v="2"/>
    <x v="4"/>
    <s v="81460                   "/>
    <x v="17"/>
    <x v="13"/>
    <x v="38"/>
  </r>
  <r>
    <x v="3"/>
    <x v="3"/>
    <x v="1774"/>
    <x v="1776"/>
    <n v="0"/>
    <n v="0"/>
    <n v="0"/>
    <n v="0"/>
    <n v="0"/>
    <n v="0"/>
    <n v="0"/>
    <n v="0"/>
    <n v="0"/>
    <n v="44.8"/>
    <n v="0"/>
    <n v="83.1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4"/>
    <x v="38"/>
  </r>
  <r>
    <x v="3"/>
    <x v="3"/>
    <x v="1775"/>
    <x v="1777"/>
    <n v="76.16"/>
    <n v="685.66"/>
    <n v="1036.26"/>
    <n v="0"/>
    <n v="0"/>
    <n v="0"/>
    <n v="43.69"/>
    <n v="7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5"/>
    <x v="38"/>
  </r>
  <r>
    <x v="3"/>
    <x v="3"/>
    <x v="1776"/>
    <x v="1778"/>
    <n v="0"/>
    <n v="0"/>
    <n v="118.68"/>
    <n v="268.2"/>
    <n v="0"/>
    <n v="0"/>
    <n v="4.8"/>
    <n v="11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6"/>
    <x v="38"/>
  </r>
  <r>
    <x v="3"/>
    <x v="3"/>
    <x v="1777"/>
    <x v="1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60                   "/>
    <x v="17"/>
    <x v="17"/>
    <x v="38"/>
  </r>
  <r>
    <x v="3"/>
    <x v="3"/>
    <x v="1778"/>
    <x v="1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3.33"/>
    <n v="5833.33"/>
    <n v="5833.33"/>
    <n v="5833.33"/>
    <n v="5833.33"/>
    <n v="5833.33"/>
    <n v="0"/>
    <n v="0"/>
    <n v="0"/>
    <n v="0"/>
    <n v="0"/>
    <n v="0"/>
    <x v="2"/>
    <x v="4"/>
    <s v="81800                   "/>
    <x v="20"/>
    <x v="2"/>
    <x v="32"/>
  </r>
  <r>
    <x v="3"/>
    <x v="3"/>
    <x v="1779"/>
    <x v="17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4.13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0"/>
    <n v="0"/>
    <n v="1600"/>
    <n v="0"/>
    <n v="0"/>
    <n v="0"/>
    <n v="0"/>
    <n v="0"/>
    <n v="0"/>
    <x v="2"/>
    <x v="4"/>
    <s v="87600                   "/>
    <x v="1"/>
    <x v="2"/>
    <x v="42"/>
  </r>
  <r>
    <x v="3"/>
    <x v="3"/>
    <x v="1780"/>
    <x v="1782"/>
    <n v="0"/>
    <n v="0"/>
    <n v="0"/>
    <n v="0"/>
    <n v="0"/>
    <n v="0"/>
    <n v="0"/>
    <n v="0"/>
    <n v="0"/>
    <n v="0"/>
    <n v="0"/>
    <n v="0"/>
    <n v="0"/>
    <n v="0"/>
    <n v="0"/>
    <n v="0"/>
    <n v="191"/>
    <n v="0"/>
    <n v="0"/>
    <n v="0"/>
    <n v="0"/>
    <n v="0"/>
    <n v="0"/>
    <n v="0"/>
    <n v="1372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4.4"/>
    <n v="184.4"/>
    <n v="184.4"/>
    <n v="184.4"/>
    <n v="184.4"/>
    <n v="184.4"/>
    <n v="184.4"/>
    <n v="184.4"/>
    <n v="184.4"/>
    <n v="184.4"/>
    <n v="184.4"/>
    <n v="184.4"/>
    <n v="0"/>
    <n v="700"/>
    <n v="0"/>
    <n v="0"/>
    <n v="0"/>
    <n v="700"/>
    <n v="0"/>
    <n v="0"/>
    <n v="0"/>
    <n v="0"/>
    <n v="0"/>
    <n v="0"/>
    <x v="2"/>
    <x v="4"/>
    <s v="87610                   "/>
    <x v="1"/>
    <x v="2"/>
    <x v="42"/>
  </r>
  <r>
    <x v="3"/>
    <x v="3"/>
    <x v="1781"/>
    <x v="17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3"/>
    <n v="66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.69"/>
    <n v="41.69"/>
    <n v="41.69"/>
    <n v="41.69"/>
    <n v="41.69"/>
    <n v="41.69"/>
    <n v="41.69"/>
    <n v="41.69"/>
    <n v="41.69"/>
    <n v="41.69"/>
    <n v="41.69"/>
    <n v="41.69"/>
    <n v="0"/>
    <n v="200"/>
    <n v="0"/>
    <n v="0"/>
    <n v="0"/>
    <n v="200"/>
    <n v="0"/>
    <n v="0"/>
    <n v="0"/>
    <n v="0"/>
    <n v="0"/>
    <n v="0"/>
    <x v="2"/>
    <x v="4"/>
    <s v="87620                   "/>
    <x v="1"/>
    <x v="2"/>
    <x v="42"/>
  </r>
  <r>
    <x v="3"/>
    <x v="3"/>
    <x v="1782"/>
    <x v="1784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0"/>
    <n v="0"/>
    <n v="14.4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.99"/>
    <n v="13.99"/>
    <n v="13.99"/>
    <n v="13.99"/>
    <n v="13.99"/>
    <n v="13.99"/>
    <n v="13.99"/>
    <n v="13.99"/>
    <n v="13.99"/>
    <n v="13.99"/>
    <n v="13.99"/>
    <n v="13.99"/>
    <n v="0"/>
    <n v="150"/>
    <n v="0"/>
    <n v="0"/>
    <n v="0"/>
    <n v="150"/>
    <n v="0"/>
    <n v="0"/>
    <n v="0"/>
    <n v="0"/>
    <n v="0"/>
    <n v="0"/>
    <x v="2"/>
    <x v="4"/>
    <s v="87630                   "/>
    <x v="1"/>
    <x v="2"/>
    <x v="42"/>
  </r>
  <r>
    <x v="3"/>
    <x v="3"/>
    <x v="1783"/>
    <x v="17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3"/>
    <n v="0"/>
    <n v="4.63"/>
    <n v="0"/>
    <n v="118.9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n v="0"/>
    <x v="2"/>
    <x v="2"/>
    <s v="71510                   "/>
    <x v="28"/>
    <x v="2"/>
    <x v="43"/>
  </r>
  <r>
    <x v="3"/>
    <x v="3"/>
    <x v="1784"/>
    <x v="17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73.8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415"/>
    <n v="415"/>
    <n v="415"/>
    <n v="415"/>
    <n v="415"/>
    <n v="415"/>
    <n v="415"/>
    <n v="415"/>
    <n v="415"/>
    <n v="415"/>
    <n v="415"/>
    <n v="0"/>
    <n v="0"/>
    <n v="0"/>
    <n v="0"/>
    <n v="0"/>
    <n v="0"/>
    <n v="0"/>
    <n v="0"/>
    <n v="0"/>
    <n v="0"/>
    <n v="0"/>
    <n v="0"/>
    <x v="2"/>
    <x v="2"/>
    <s v="71520                   "/>
    <x v="8"/>
    <x v="2"/>
    <x v="44"/>
  </r>
  <r>
    <x v="3"/>
    <x v="3"/>
    <x v="1785"/>
    <x v="1787"/>
    <n v="0"/>
    <n v="0"/>
    <n v="0"/>
    <n v="0"/>
    <n v="0"/>
    <n v="0"/>
    <n v="0"/>
    <n v="0"/>
    <n v="0"/>
    <n v="0"/>
    <n v="0"/>
    <n v="0"/>
    <n v="366.57"/>
    <n v="264.95"/>
    <n v="26.1"/>
    <n v="297.8"/>
    <n v="0"/>
    <n v="0"/>
    <n v="64.930000000000007"/>
    <n v="59.63"/>
    <n v="58.77"/>
    <n v="0"/>
    <n v="34.31"/>
    <n v="49.22"/>
    <n v="-1222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520                   "/>
    <x v="11"/>
    <x v="2"/>
    <x v="45"/>
  </r>
  <r>
    <x v="3"/>
    <x v="3"/>
    <x v="1785"/>
    <x v="1787"/>
    <n v="3399.51"/>
    <n v="8690.82"/>
    <n v="2985.88"/>
    <n v="2601.65"/>
    <n v="8558.43"/>
    <n v="5651.93"/>
    <n v="9786.5400000000009"/>
    <n v="3725.56"/>
    <n v="9726.9699999999993"/>
    <n v="9142.82"/>
    <n v="9508.41"/>
    <n v="7566.2"/>
    <n v="2992.19"/>
    <n v="7547.07"/>
    <n v="5828.22"/>
    <n v="5847.13"/>
    <n v="18456.09"/>
    <n v="9759.0300000000007"/>
    <n v="11447.92"/>
    <n v="10049.129999999999"/>
    <n v="8941.91"/>
    <n v="8055.91"/>
    <n v="7329.56"/>
    <n v="8835.27"/>
    <n v="5995.7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99.19"/>
    <n v="9973.33"/>
    <n v="10443.290000000001"/>
    <n v="9760.1200000000008"/>
    <n v="9722.43"/>
    <n v="10871.77"/>
    <n v="11462.13"/>
    <n v="13128.02"/>
    <n v="11833.25"/>
    <n v="7123.85"/>
    <n v="8511.26"/>
    <n v="7937.16"/>
    <n v="8382.86"/>
    <n v="9574.57"/>
    <n v="10796.86"/>
    <n v="9657.49"/>
    <n v="10903.11"/>
    <n v="11067.46"/>
    <n v="10559.19"/>
    <n v="9048.07"/>
    <n v="11273.32"/>
    <n v="7472.71"/>
    <n v="7397.66"/>
    <n v="8031.37"/>
    <x v="2"/>
    <x v="2"/>
    <s v="71520                   "/>
    <x v="11"/>
    <x v="2"/>
    <x v="45"/>
  </r>
  <r>
    <x v="3"/>
    <x v="3"/>
    <x v="1786"/>
    <x v="1788"/>
    <n v="0"/>
    <n v="454.53"/>
    <n v="3488.84"/>
    <n v="-279.10000000000002"/>
    <n v="1658.83"/>
    <n v="572.61"/>
    <n v="698.95"/>
    <n v="558.65"/>
    <n v="47.95"/>
    <n v="1675.53"/>
    <n v="1516.49"/>
    <n v="771.34"/>
    <n v="308.83999999999997"/>
    <n v="449.4"/>
    <n v="1320.68"/>
    <n v="58.58"/>
    <n v="6206.07"/>
    <n v="903.48"/>
    <n v="2426.3200000000002"/>
    <n v="2326.31"/>
    <n v="1440.57"/>
    <n v="1726.65"/>
    <n v="1215.1500000000001"/>
    <n v="1541.26"/>
    <n v="65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488.62"/>
    <n v="3750.5"/>
    <n v="488.62"/>
    <n v="1783.24"/>
    <n v="615.55999999999995"/>
    <n v="751.37"/>
    <n v="600.54999999999995"/>
    <n v="51.55"/>
    <n v="1801.19"/>
    <n v="1630.23"/>
    <n v="829.19"/>
    <n v="315.02"/>
    <n v="458.39"/>
    <n v="1347.09"/>
    <n v="59.75"/>
    <n v="6330.19"/>
    <n v="921.55"/>
    <n v="2474.85"/>
    <n v="2372.84"/>
    <n v="48.96"/>
    <n v="1709.52"/>
    <n v="1546.32"/>
    <n v="786.42"/>
    <x v="2"/>
    <x v="2"/>
    <s v="71540                   "/>
    <x v="11"/>
    <x v="2"/>
    <x v="45"/>
  </r>
  <r>
    <x v="3"/>
    <x v="3"/>
    <x v="1787"/>
    <x v="1789"/>
    <n v="24.17"/>
    <n v="0"/>
    <n v="14.8"/>
    <n v="25.23"/>
    <n v="0"/>
    <n v="3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560                   "/>
    <x v="11"/>
    <x v="2"/>
    <x v="46"/>
  </r>
  <r>
    <x v="3"/>
    <x v="3"/>
    <x v="1788"/>
    <x v="1790"/>
    <n v="0"/>
    <n v="0"/>
    <n v="0"/>
    <n v="0"/>
    <n v="0"/>
    <n v="0"/>
    <n v="0"/>
    <n v="0"/>
    <n v="0"/>
    <n v="0"/>
    <n v="0"/>
    <n v="0"/>
    <n v="836.63"/>
    <n v="398.69"/>
    <n v="399.56"/>
    <n v="1196.1400000000001"/>
    <n v="1048.79"/>
    <n v="1772.72"/>
    <n v="1085.3699999999999"/>
    <n v="1476.31"/>
    <n v="1276.97"/>
    <n v="794.85"/>
    <n v="692.25"/>
    <n v="1009.76"/>
    <n v="382.5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75"/>
    <n v="475"/>
    <n v="475"/>
    <n v="475"/>
    <n v="475"/>
    <n v="475"/>
    <n v="475"/>
    <n v="475"/>
    <n v="475"/>
    <n v="475"/>
    <n v="475"/>
    <n v="475"/>
    <n v="1071.6300000000001"/>
    <n v="633.69000000000005"/>
    <n v="634.55999999999995"/>
    <n v="1431.14"/>
    <n v="1283.79"/>
    <n v="2007.72"/>
    <n v="1320.37"/>
    <n v="1711.31"/>
    <n v="1435"/>
    <n v="785"/>
    <n v="1035"/>
    <n v="985"/>
    <x v="2"/>
    <x v="2"/>
    <s v="71570                   "/>
    <x v="11"/>
    <x v="2"/>
    <x v="45"/>
  </r>
  <r>
    <x v="3"/>
    <x v="3"/>
    <x v="1789"/>
    <x v="1791"/>
    <n v="0"/>
    <n v="0"/>
    <n v="11.17"/>
    <n v="0"/>
    <n v="0"/>
    <n v="0"/>
    <n v="0"/>
    <n v="34.74"/>
    <n v="36.5"/>
    <n v="0"/>
    <n v="0"/>
    <n v="0"/>
    <n v="0"/>
    <n v="0"/>
    <n v="0"/>
    <n v="0"/>
    <n v="111.45"/>
    <n v="0"/>
    <n v="23.99"/>
    <n v="9.9"/>
    <n v="0"/>
    <n v="25.02"/>
    <n v="319.73"/>
    <n v="0"/>
    <n v="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1.17"/>
    <n v="0"/>
    <n v="0"/>
    <n v="0"/>
    <n v="0"/>
    <n v="34.74"/>
    <n v="36.5"/>
    <n v="0"/>
    <n v="0"/>
    <n v="0"/>
    <n v="0"/>
    <n v="0"/>
    <n v="0"/>
    <n v="0"/>
    <n v="111.45"/>
    <n v="0"/>
    <n v="23.99"/>
    <n v="9.9"/>
    <n v="37"/>
    <n v="0"/>
    <n v="0"/>
    <n v="0"/>
    <x v="2"/>
    <x v="2"/>
    <s v="71570                   "/>
    <x v="20"/>
    <x v="2"/>
    <x v="47"/>
  </r>
  <r>
    <x v="3"/>
    <x v="3"/>
    <x v="1790"/>
    <x v="1792"/>
    <n v="0"/>
    <n v="120.97"/>
    <n v="147.61000000000001"/>
    <n v="104.55"/>
    <n v="14"/>
    <n v="7.8"/>
    <n v="15.46"/>
    <n v="0"/>
    <n v="0"/>
    <n v="0"/>
    <n v="0"/>
    <n v="0"/>
    <n v="0"/>
    <n v="9"/>
    <n v="15"/>
    <n v="148.65"/>
    <n v="45.5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20.97"/>
    <n v="147.61000000000001"/>
    <n v="104.55"/>
    <n v="14"/>
    <n v="7.8"/>
    <n v="15.46"/>
    <n v="0"/>
    <n v="0"/>
    <n v="0"/>
    <n v="0"/>
    <n v="0"/>
    <n v="0"/>
    <n v="9"/>
    <n v="15"/>
    <n v="148.65"/>
    <n v="45.55"/>
    <n v="0"/>
    <n v="0"/>
    <n v="0"/>
    <n v="0"/>
    <n v="0"/>
    <n v="0"/>
    <n v="0"/>
    <x v="2"/>
    <x v="2"/>
    <s v="71580                   "/>
    <x v="9"/>
    <x v="2"/>
    <x v="48"/>
  </r>
  <r>
    <x v="3"/>
    <x v="3"/>
    <x v="1791"/>
    <x v="1793"/>
    <n v="158.94"/>
    <n v="36.840000000000003"/>
    <n v="206.06"/>
    <n v="145.44999999999999"/>
    <n v="22.78"/>
    <n v="266.76"/>
    <n v="106.39"/>
    <n v="135.52000000000001"/>
    <n v="124.54"/>
    <n v="192.28"/>
    <n v="96.18"/>
    <n v="150.27000000000001"/>
    <n v="168.86"/>
    <n v="8.51"/>
    <n v="0"/>
    <n v="97.93"/>
    <n v="190.29"/>
    <n v="32.78"/>
    <n v="67.95"/>
    <n v="223.03"/>
    <n v="311.68"/>
    <n v="0"/>
    <n v="76.86"/>
    <n v="31.04"/>
    <n v="259.3399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8.94"/>
    <n v="36.840000000000003"/>
    <n v="206.06"/>
    <n v="145.44999999999999"/>
    <n v="22.78"/>
    <n v="266.76"/>
    <n v="106.39"/>
    <n v="135.52000000000001"/>
    <n v="124.54"/>
    <n v="192.28"/>
    <n v="96.18"/>
    <n v="150.27000000000001"/>
    <n v="12.05"/>
    <n v="38.56"/>
    <n v="88.89"/>
    <n v="17.2"/>
    <n v="97.55"/>
    <n v="150.75"/>
    <n v="285.19"/>
    <n v="188.83"/>
    <n v="102.2"/>
    <n v="34.22"/>
    <n v="30.73"/>
    <n v="68"/>
    <x v="2"/>
    <x v="2"/>
    <s v="71800                   "/>
    <x v="3"/>
    <x v="3"/>
    <x v="34"/>
  </r>
  <r>
    <x v="3"/>
    <x v="3"/>
    <x v="1792"/>
    <x v="1794"/>
    <n v="146.43"/>
    <n v="174.62"/>
    <n v="169.98"/>
    <n v="241.84"/>
    <n v="166.74"/>
    <n v="152.65"/>
    <n v="97.69"/>
    <n v="247"/>
    <n v="184.07"/>
    <n v="256.83999999999997"/>
    <n v="175.69"/>
    <n v="147.94999999999999"/>
    <n v="215.89"/>
    <n v="154.52000000000001"/>
    <n v="84.44"/>
    <n v="257.29000000000002"/>
    <n v="219.36"/>
    <n v="56.01"/>
    <n v="155.51"/>
    <n v="271.74"/>
    <n v="403.59"/>
    <n v="0"/>
    <n v="108.27"/>
    <n v="143.34"/>
    <n v="199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6.43"/>
    <n v="174.62"/>
    <n v="169.98"/>
    <n v="241.84"/>
    <n v="166.74"/>
    <n v="152.65"/>
    <n v="97.69"/>
    <n v="247"/>
    <n v="184.07"/>
    <n v="256.83999999999997"/>
    <n v="175.69"/>
    <n v="147.94999999999999"/>
    <n v="463.74"/>
    <n v="724.93"/>
    <n v="479.09"/>
    <n v="784.28"/>
    <n v="540.13"/>
    <n v="901.81"/>
    <n v="636.26"/>
    <n v="731.15"/>
    <n v="911.37"/>
    <n v="311.06"/>
    <n v="566.12"/>
    <n v="476.02"/>
    <x v="2"/>
    <x v="2"/>
    <s v="71800                   "/>
    <x v="3"/>
    <x v="4"/>
    <x v="34"/>
  </r>
  <r>
    <x v="3"/>
    <x v="3"/>
    <x v="1793"/>
    <x v="1795"/>
    <n v="44.59"/>
    <n v="18.5"/>
    <n v="36.909999999999997"/>
    <n v="0"/>
    <n v="0"/>
    <n v="0"/>
    <n v="0"/>
    <n v="0"/>
    <n v="0"/>
    <n v="0"/>
    <n v="0"/>
    <n v="0"/>
    <n v="0"/>
    <n v="0"/>
    <n v="0"/>
    <n v="0"/>
    <n v="6.28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.59"/>
    <n v="18.5"/>
    <n v="36.9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0"/>
    <x v="34"/>
  </r>
  <r>
    <x v="3"/>
    <x v="3"/>
    <x v="1794"/>
    <x v="1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5"/>
    <x v="34"/>
  </r>
  <r>
    <x v="3"/>
    <x v="3"/>
    <x v="1795"/>
    <x v="1797"/>
    <n v="0"/>
    <n v="0"/>
    <n v="0"/>
    <n v="0"/>
    <n v="0"/>
    <n v="0"/>
    <n v="0"/>
    <n v="0"/>
    <n v="0"/>
    <n v="0"/>
    <n v="0"/>
    <n v="60.47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6"/>
    <x v="34"/>
  </r>
  <r>
    <x v="3"/>
    <x v="3"/>
    <x v="1796"/>
    <x v="1798"/>
    <n v="80.209999999999994"/>
    <n v="29.47"/>
    <n v="93.04"/>
    <n v="0"/>
    <n v="55.62"/>
    <n v="75.510000000000005"/>
    <n v="55.63"/>
    <n v="19.45"/>
    <n v="54.29"/>
    <n v="147.84"/>
    <n v="54.05"/>
    <n v="0"/>
    <n v="18.440000000000001"/>
    <n v="13.26"/>
    <n v="58.16"/>
    <n v="82.21"/>
    <n v="184.11"/>
    <n v="54.66"/>
    <n v="27.93"/>
    <n v="18.23"/>
    <n v="286.95999999999998"/>
    <n v="0"/>
    <n v="54.74"/>
    <n v="51.94"/>
    <n v="115.7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0.209999999999994"/>
    <n v="29.47"/>
    <n v="93.04"/>
    <n v="0"/>
    <n v="55.62"/>
    <n v="75.510000000000005"/>
    <n v="55.63"/>
    <n v="19.45"/>
    <n v="54.29"/>
    <n v="147.84"/>
    <n v="54.05"/>
    <n v="0"/>
    <n v="34.630000000000003"/>
    <n v="60.21"/>
    <n v="43.36"/>
    <n v="36.18"/>
    <n v="0"/>
    <n v="53.63"/>
    <n v="49.6"/>
    <n v="52.84"/>
    <n v="150.44"/>
    <n v="12.64"/>
    <n v="21.3"/>
    <n v="19.420000000000002"/>
    <x v="2"/>
    <x v="2"/>
    <s v="71800                   "/>
    <x v="3"/>
    <x v="1"/>
    <x v="34"/>
  </r>
  <r>
    <x v="3"/>
    <x v="3"/>
    <x v="1797"/>
    <x v="1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800                   "/>
    <x v="3"/>
    <x v="7"/>
    <x v="34"/>
  </r>
  <r>
    <x v="3"/>
    <x v="3"/>
    <x v="1797"/>
    <x v="1799"/>
    <n v="0"/>
    <n v="0"/>
    <n v="0"/>
    <n v="0"/>
    <n v="52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52.16"/>
    <n v="0"/>
    <n v="0"/>
    <n v="0"/>
    <n v="0"/>
    <n v="0"/>
    <n v="0"/>
    <n v="0"/>
    <n v="111.58"/>
    <n v="88.69"/>
    <n v="183.55"/>
    <n v="115.61"/>
    <n v="65.56"/>
    <n v="169.13"/>
    <n v="69.55"/>
    <n v="122.28"/>
    <n v="200.39"/>
    <n v="68.41"/>
    <n v="51.07"/>
    <n v="110.54"/>
    <x v="2"/>
    <x v="2"/>
    <s v="71800                   "/>
    <x v="3"/>
    <x v="7"/>
    <x v="34"/>
  </r>
  <r>
    <x v="3"/>
    <x v="3"/>
    <x v="1798"/>
    <x v="1800"/>
    <n v="55.76"/>
    <n v="175.11"/>
    <n v="109.84"/>
    <n v="84.33"/>
    <n v="143.34"/>
    <n v="49.75"/>
    <n v="78.58"/>
    <n v="337.12"/>
    <n v="189.9"/>
    <n v="147.18"/>
    <n v="256.61"/>
    <n v="120.42"/>
    <n v="127.52"/>
    <n v="28.76"/>
    <n v="188.38"/>
    <n v="63.41"/>
    <n v="156.01"/>
    <n v="0"/>
    <n v="16.87"/>
    <n v="112.76"/>
    <n v="309.29000000000002"/>
    <n v="0"/>
    <n v="82.94"/>
    <n v="155.9"/>
    <n v="76.9000000000000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.76"/>
    <n v="175.11"/>
    <n v="109.84"/>
    <n v="84.33"/>
    <n v="143.34"/>
    <n v="49.75"/>
    <n v="78.58"/>
    <n v="337.12"/>
    <n v="189.9"/>
    <n v="147.18"/>
    <n v="256.61"/>
    <n v="120.42"/>
    <n v="148.81"/>
    <n v="78.2"/>
    <n v="68.28"/>
    <n v="324.24"/>
    <n v="119.17"/>
    <n v="29.86"/>
    <n v="59.03"/>
    <n v="366.33"/>
    <n v="500.41"/>
    <n v="40.06"/>
    <n v="51.35"/>
    <n v="31.14"/>
    <x v="2"/>
    <x v="2"/>
    <s v="71800                   "/>
    <x v="3"/>
    <x v="8"/>
    <x v="34"/>
  </r>
  <r>
    <x v="3"/>
    <x v="3"/>
    <x v="1799"/>
    <x v="1801"/>
    <n v="43.05"/>
    <n v="11.8"/>
    <n v="29.25"/>
    <n v="0"/>
    <n v="0"/>
    <n v="21.97"/>
    <n v="0"/>
    <n v="0"/>
    <n v="0"/>
    <n v="0"/>
    <n v="8.73"/>
    <n v="0"/>
    <n v="0"/>
    <n v="0"/>
    <n v="17.45"/>
    <n v="27.72"/>
    <n v="36.83"/>
    <n v="0"/>
    <n v="19.14"/>
    <n v="102.98"/>
    <n v="38.39"/>
    <n v="0"/>
    <n v="8.4700000000000006"/>
    <n v="79.91"/>
    <n v="9.9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.05"/>
    <n v="11.8"/>
    <n v="29.25"/>
    <n v="0"/>
    <n v="0"/>
    <n v="21.97"/>
    <n v="0"/>
    <n v="0"/>
    <n v="0"/>
    <n v="0"/>
    <n v="8.73"/>
    <n v="0"/>
    <n v="24.42"/>
    <n v="13.28"/>
    <n v="97.06"/>
    <n v="15.89"/>
    <n v="1.1299999999999999"/>
    <n v="32.85"/>
    <n v="17.78"/>
    <n v="133.69"/>
    <n v="1.74"/>
    <n v="6.64"/>
    <n v="0"/>
    <n v="6.64"/>
    <x v="2"/>
    <x v="2"/>
    <s v="71800                   "/>
    <x v="3"/>
    <x v="9"/>
    <x v="34"/>
  </r>
  <r>
    <x v="3"/>
    <x v="3"/>
    <x v="1800"/>
    <x v="1802"/>
    <n v="61.82"/>
    <n v="0"/>
    <n v="34.44"/>
    <n v="0"/>
    <n v="0"/>
    <n v="33.92"/>
    <n v="25.44"/>
    <n v="4.49"/>
    <n v="0"/>
    <n v="33.58"/>
    <n v="25.19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.82"/>
    <n v="0"/>
    <n v="34.44"/>
    <n v="0"/>
    <n v="0"/>
    <n v="33.92"/>
    <n v="25.44"/>
    <n v="4.49"/>
    <n v="0"/>
    <n v="33.58"/>
    <n v="25.19"/>
    <n v="0"/>
    <n v="0"/>
    <n v="0"/>
    <n v="0"/>
    <n v="0"/>
    <n v="0"/>
    <n v="0"/>
    <n v="0"/>
    <n v="0"/>
    <n v="21.66"/>
    <n v="0"/>
    <n v="0"/>
    <n v="0"/>
    <x v="2"/>
    <x v="2"/>
    <s v="71800                   "/>
    <x v="3"/>
    <x v="10"/>
    <x v="34"/>
  </r>
  <r>
    <x v="3"/>
    <x v="3"/>
    <x v="1801"/>
    <x v="1803"/>
    <n v="0"/>
    <n v="0"/>
    <n v="0"/>
    <n v="212.08"/>
    <n v="106.65"/>
    <n v="157.32"/>
    <n v="79.069999999999993"/>
    <n v="0"/>
    <n v="52.71"/>
    <n v="0"/>
    <n v="0"/>
    <n v="106.65"/>
    <n v="0"/>
    <n v="0"/>
    <n v="52.61"/>
    <n v="123.46"/>
    <n v="79.36"/>
    <n v="104.15"/>
    <n v="17.350000000000001"/>
    <n v="104.73"/>
    <n v="34.950000000000003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12.08"/>
    <n v="106.65"/>
    <n v="157.32"/>
    <n v="79.069999999999993"/>
    <n v="0"/>
    <n v="52.71"/>
    <n v="0"/>
    <n v="0"/>
    <n v="106.65"/>
    <n v="25.62"/>
    <n v="44.83"/>
    <n v="133.35"/>
    <n v="128.09"/>
    <n v="111.98"/>
    <n v="115.28"/>
    <n v="103.54"/>
    <n v="49.71"/>
    <n v="63.81"/>
    <n v="121.99"/>
    <n v="38.43"/>
    <n v="50.47"/>
    <x v="2"/>
    <x v="2"/>
    <s v="71800                   "/>
    <x v="3"/>
    <x v="11"/>
    <x v="34"/>
  </r>
  <r>
    <x v="3"/>
    <x v="3"/>
    <x v="1802"/>
    <x v="1804"/>
    <n v="0"/>
    <n v="0"/>
    <n v="0"/>
    <n v="0"/>
    <n v="78.06"/>
    <n v="0"/>
    <n v="69.98"/>
    <n v="0"/>
    <n v="0"/>
    <n v="0"/>
    <n v="20.72"/>
    <n v="0"/>
    <n v="39.44"/>
    <n v="16.7"/>
    <n v="146.66"/>
    <n v="74.38"/>
    <n v="44.97"/>
    <n v="0"/>
    <n v="0"/>
    <n v="9.5500000000000007"/>
    <n v="11.13"/>
    <n v="0"/>
    <n v="54.38"/>
    <n v="22.27"/>
    <n v="57.5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78.06"/>
    <n v="0"/>
    <n v="69.98"/>
    <n v="0"/>
    <n v="0"/>
    <n v="0"/>
    <n v="20.72"/>
    <n v="0"/>
    <n v="0"/>
    <n v="12.94"/>
    <n v="12.94"/>
    <n v="0"/>
    <n v="0"/>
    <n v="6.47"/>
    <n v="0"/>
    <n v="0"/>
    <n v="39.409999999999997"/>
    <n v="0"/>
    <n v="6.47"/>
    <n v="6.47"/>
    <x v="2"/>
    <x v="2"/>
    <s v="71800                   "/>
    <x v="3"/>
    <x v="12"/>
    <x v="34"/>
  </r>
  <r>
    <x v="3"/>
    <x v="3"/>
    <x v="1803"/>
    <x v="1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13"/>
    <x v="34"/>
  </r>
  <r>
    <x v="3"/>
    <x v="3"/>
    <x v="1804"/>
    <x v="1806"/>
    <n v="0"/>
    <n v="0"/>
    <n v="0"/>
    <n v="0"/>
    <n v="0"/>
    <n v="17.329999999999998"/>
    <n v="0"/>
    <n v="0"/>
    <n v="76.23"/>
    <n v="0"/>
    <n v="60.51"/>
    <n v="102.26"/>
    <n v="0"/>
    <n v="0"/>
    <n v="0"/>
    <n v="0"/>
    <n v="41.66"/>
    <n v="67.59"/>
    <n v="0"/>
    <n v="0"/>
    <n v="0"/>
    <n v="0"/>
    <n v="0"/>
    <n v="83.8"/>
    <n v="83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7.329999999999998"/>
    <n v="0"/>
    <n v="0"/>
    <n v="76.23"/>
    <n v="0"/>
    <n v="60.51"/>
    <n v="102.26"/>
    <n v="0"/>
    <n v="0"/>
    <n v="897.81"/>
    <n v="1940.12"/>
    <n v="0.89"/>
    <n v="0"/>
    <n v="48.2"/>
    <n v="0"/>
    <n v="1689.97"/>
    <n v="83.68"/>
    <n v="24.46"/>
    <n v="0"/>
    <x v="2"/>
    <x v="2"/>
    <s v="71800                   "/>
    <x v="3"/>
    <x v="14"/>
    <x v="34"/>
  </r>
  <r>
    <x v="3"/>
    <x v="3"/>
    <x v="1805"/>
    <x v="1807"/>
    <n v="206.23"/>
    <n v="0"/>
    <n v="12.92"/>
    <n v="0"/>
    <n v="0"/>
    <n v="0"/>
    <n v="0"/>
    <n v="0"/>
    <n v="52.54"/>
    <n v="8.84"/>
    <n v="13.26"/>
    <n v="8.84"/>
    <n v="17.559999999999999"/>
    <n v="105.32"/>
    <n v="0"/>
    <n v="0"/>
    <n v="16.73"/>
    <n v="0"/>
    <n v="0"/>
    <n v="0"/>
    <n v="0"/>
    <n v="0"/>
    <n v="18.600000000000001"/>
    <n v="9.300000000000000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6.23"/>
    <n v="0"/>
    <n v="12.92"/>
    <n v="0"/>
    <n v="0"/>
    <n v="0"/>
    <n v="0"/>
    <n v="0"/>
    <n v="52.54"/>
    <n v="8.84"/>
    <n v="13.26"/>
    <n v="8.84"/>
    <n v="0"/>
    <n v="0"/>
    <n v="0"/>
    <n v="0"/>
    <n v="0"/>
    <n v="0"/>
    <n v="0"/>
    <n v="0"/>
    <n v="0"/>
    <n v="0"/>
    <n v="0"/>
    <n v="0"/>
    <x v="2"/>
    <x v="2"/>
    <s v="71800                   "/>
    <x v="3"/>
    <x v="15"/>
    <x v="34"/>
  </r>
  <r>
    <x v="3"/>
    <x v="3"/>
    <x v="1806"/>
    <x v="1808"/>
    <n v="0"/>
    <n v="0"/>
    <n v="0"/>
    <n v="0"/>
    <n v="0"/>
    <n v="0"/>
    <n v="0"/>
    <n v="0"/>
    <n v="0"/>
    <n v="0"/>
    <n v="0"/>
    <n v="0"/>
    <n v="48.06"/>
    <n v="0"/>
    <n v="0"/>
    <n v="0"/>
    <n v="0"/>
    <n v="0"/>
    <n v="0"/>
    <n v="0"/>
    <n v="0"/>
    <n v="0"/>
    <n v="0"/>
    <n v="0"/>
    <n v="-48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800                   "/>
    <x v="3"/>
    <x v="16"/>
    <x v="34"/>
  </r>
  <r>
    <x v="3"/>
    <x v="3"/>
    <x v="1806"/>
    <x v="1808"/>
    <n v="0"/>
    <n v="0"/>
    <n v="14.55"/>
    <n v="0"/>
    <n v="0"/>
    <n v="0"/>
    <n v="0"/>
    <n v="0"/>
    <n v="0"/>
    <n v="0"/>
    <n v="0"/>
    <n v="0"/>
    <n v="28.82"/>
    <n v="0"/>
    <n v="0"/>
    <n v="0"/>
    <n v="0"/>
    <n v="0"/>
    <n v="0"/>
    <n v="0"/>
    <n v="0"/>
    <n v="0"/>
    <n v="13.97"/>
    <n v="0"/>
    <n v="13.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4.55"/>
    <n v="0"/>
    <n v="0"/>
    <n v="0"/>
    <n v="0"/>
    <n v="0"/>
    <n v="0"/>
    <n v="0"/>
    <n v="0"/>
    <n v="0"/>
    <n v="0"/>
    <n v="0"/>
    <n v="0"/>
    <n v="0"/>
    <n v="0"/>
    <n v="0"/>
    <n v="0"/>
    <n v="12.05"/>
    <n v="190.27"/>
    <n v="0"/>
    <n v="24.09"/>
    <n v="0"/>
    <x v="2"/>
    <x v="2"/>
    <s v="71800                   "/>
    <x v="3"/>
    <x v="16"/>
    <x v="34"/>
  </r>
  <r>
    <x v="3"/>
    <x v="3"/>
    <x v="1807"/>
    <x v="1809"/>
    <n v="0"/>
    <n v="0"/>
    <n v="0"/>
    <n v="0"/>
    <n v="0"/>
    <n v="66.76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66.76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17"/>
    <x v="34"/>
  </r>
  <r>
    <x v="3"/>
    <x v="3"/>
    <x v="1808"/>
    <x v="1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9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3"/>
    <x v="18"/>
    <x v="34"/>
  </r>
  <r>
    <x v="3"/>
    <x v="3"/>
    <x v="1809"/>
    <x v="1811"/>
    <n v="832.41"/>
    <n v="400.22"/>
    <n v="-418.73"/>
    <n v="126.62"/>
    <n v="-891.66"/>
    <n v="-92.85"/>
    <n v="41.32"/>
    <n v="465.7"/>
    <n v="422.11"/>
    <n v="-668.43"/>
    <n v="542.45000000000005"/>
    <n v="144.62"/>
    <n v="689.52"/>
    <n v="854.5"/>
    <n v="2288.3200000000002"/>
    <n v="-3039.5"/>
    <n v="-52.78"/>
    <n v="350.53"/>
    <n v="-372.85"/>
    <n v="166.05"/>
    <n v="659.73"/>
    <n v="3.57"/>
    <n v="126.67"/>
    <n v="89.12"/>
    <n v="252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.82"/>
    <n v="-16.3"/>
    <n v="653.61"/>
    <n v="69.290000000000006"/>
    <n v="159.57"/>
    <n v="202.16"/>
    <n v="220.43"/>
    <n v="190.62"/>
    <n v="237.79"/>
    <n v="180.74"/>
    <n v="209.34"/>
    <n v="470.29"/>
    <x v="2"/>
    <x v="2"/>
    <s v="71800                   "/>
    <x v="10"/>
    <x v="3"/>
    <x v="34"/>
  </r>
  <r>
    <x v="3"/>
    <x v="3"/>
    <x v="1810"/>
    <x v="1812"/>
    <n v="374.24"/>
    <n v="278.04000000000002"/>
    <n v="477.38"/>
    <n v="358.6"/>
    <n v="64.44"/>
    <n v="124.92"/>
    <n v="20.75"/>
    <n v="0"/>
    <n v="364.56"/>
    <n v="50.04"/>
    <n v="48.58"/>
    <n v="190.14"/>
    <n v="146.59"/>
    <n v="400.12"/>
    <n v="329.82"/>
    <n v="151.22"/>
    <n v="121.69"/>
    <n v="223.51"/>
    <n v="394.15"/>
    <n v="363.2"/>
    <n v="434.4"/>
    <n v="135.29"/>
    <n v="334.66"/>
    <n v="334.83"/>
    <n v="326.8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47.81"/>
    <n v="6.74"/>
    <n v="110.49"/>
    <n v="33.46"/>
    <n v="176.82"/>
    <n v="256.43"/>
    <n v="32.81"/>
    <n v="-20.350000000000001"/>
    <n v="527.39"/>
    <n v="0"/>
    <n v="0"/>
    <n v="0"/>
    <n v="0"/>
    <n v="0"/>
    <n v="0"/>
    <n v="0"/>
    <n v="0"/>
    <n v="0"/>
    <n v="0"/>
    <n v="0"/>
    <n v="0"/>
    <x v="2"/>
    <x v="2"/>
    <s v="71800                   "/>
    <x v="10"/>
    <x v="4"/>
    <x v="34"/>
  </r>
  <r>
    <x v="3"/>
    <x v="3"/>
    <x v="1811"/>
    <x v="1813"/>
    <n v="64.42"/>
    <n v="188.81"/>
    <n v="-217.67"/>
    <n v="15.17"/>
    <n v="0"/>
    <n v="-14.41"/>
    <n v="-7.25"/>
    <n v="-8.01"/>
    <n v="3.54"/>
    <n v="0"/>
    <n v="95.39"/>
    <n v="3.93"/>
    <n v="7.17"/>
    <n v="909.06"/>
    <n v="134.69"/>
    <n v="-845.26"/>
    <n v="0"/>
    <n v="1.97"/>
    <n v="52.53"/>
    <n v="0"/>
    <n v="0"/>
    <n v="0"/>
    <n v="0"/>
    <n v="15.1"/>
    <n v="7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7"/>
    <n v="10.39"/>
    <n v="-25.97"/>
    <n v="1.28"/>
    <n v="0"/>
    <n v="1.86"/>
    <n v="8.1"/>
    <n v="-0.67"/>
    <n v="-68.97"/>
    <n v="75.760000000000005"/>
    <n v="17.2"/>
    <n v="31.86"/>
    <x v="2"/>
    <x v="2"/>
    <s v="71800                   "/>
    <x v="10"/>
    <x v="0"/>
    <x v="34"/>
  </r>
  <r>
    <x v="3"/>
    <x v="3"/>
    <x v="1812"/>
    <x v="1814"/>
    <n v="0"/>
    <n v="0"/>
    <n v="0"/>
    <n v="0"/>
    <n v="0"/>
    <n v="0"/>
    <n v="0"/>
    <n v="0"/>
    <n v="0"/>
    <n v="0"/>
    <n v="0"/>
    <n v="-14.3"/>
    <n v="471.9"/>
    <n v="42.9"/>
    <n v="23.4"/>
    <n v="-23.4"/>
    <n v="50.0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.07"/>
    <n v="5.52"/>
    <n v="2.36"/>
    <n v="-3.82"/>
    <n v="36.04"/>
    <n v="0"/>
    <n v="0"/>
    <n v="-1.1299999999999999"/>
    <n v="1.01"/>
    <n v="12.42"/>
    <n v="0.68"/>
    <n v="0.85"/>
    <n v="15.29"/>
    <n v="0"/>
    <n v="8.14"/>
    <n v="0"/>
    <n v="32.57"/>
    <n v="3.05"/>
    <n v="0"/>
    <n v="0"/>
    <n v="0"/>
    <n v="0"/>
    <n v="0"/>
    <n v="38.659999999999997"/>
    <x v="2"/>
    <x v="2"/>
    <s v="71800                   "/>
    <x v="10"/>
    <x v="5"/>
    <x v="34"/>
  </r>
  <r>
    <x v="3"/>
    <x v="3"/>
    <x v="1813"/>
    <x v="1815"/>
    <n v="0"/>
    <n v="68.36"/>
    <n v="0"/>
    <n v="0"/>
    <n v="0"/>
    <n v="0"/>
    <n v="0"/>
    <n v="0"/>
    <n v="0"/>
    <n v="0"/>
    <n v="0"/>
    <n v="0"/>
    <n v="0"/>
    <n v="0"/>
    <n v="0"/>
    <n v="0"/>
    <n v="7.4"/>
    <n v="0"/>
    <n v="11.81"/>
    <n v="0"/>
    <n v="0"/>
    <n v="0"/>
    <n v="269.69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7.98"/>
    <n v="72.11"/>
    <n v="86.86"/>
    <n v="103.91"/>
    <n v="123.15"/>
    <n v="56.4"/>
    <n v="122.04"/>
    <n v="81.099999999999994"/>
    <n v="74.98"/>
    <n v="49.75"/>
    <n v="45.9"/>
    <n v="31.96"/>
    <n v="13.4"/>
    <n v="-13.38"/>
    <n v="0"/>
    <n v="0"/>
    <n v="1.34"/>
    <n v="0"/>
    <n v="1.34"/>
    <n v="0"/>
    <n v="0"/>
    <n v="0"/>
    <n v="0.01"/>
    <n v="1.35"/>
    <x v="2"/>
    <x v="2"/>
    <s v="71800                   "/>
    <x v="10"/>
    <x v="6"/>
    <x v="34"/>
  </r>
  <r>
    <x v="3"/>
    <x v="3"/>
    <x v="1814"/>
    <x v="1816"/>
    <n v="-176.52"/>
    <n v="26.65"/>
    <n v="15.95"/>
    <n v="-1132.29"/>
    <n v="-2270.7199999999998"/>
    <n v="-5770.26"/>
    <n v="10.94"/>
    <n v="518.46"/>
    <n v="172.58"/>
    <n v="229.5"/>
    <n v="218.9"/>
    <n v="46.73"/>
    <n v="1221.4000000000001"/>
    <n v="193.09"/>
    <n v="223.76"/>
    <n v="187.46"/>
    <n v="1300.95"/>
    <n v="700.08"/>
    <n v="1843.92"/>
    <n v="496.48"/>
    <n v="117.22"/>
    <n v="158.80000000000001"/>
    <n v="276.92"/>
    <n v="240.95"/>
    <n v="286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1117.79"/>
    <n v="-1170.6300000000001"/>
    <n v="-1511.61"/>
    <n v="-1790.13"/>
    <n v="-1389.81"/>
    <n v="-1839.78"/>
    <n v="-1545.91"/>
    <n v="-584.23"/>
    <n v="-484.6"/>
    <n v="-102.81"/>
    <n v="-345.4"/>
    <n v="-613.55999999999995"/>
    <n v="104.68"/>
    <n v="43.87"/>
    <n v="47.79"/>
    <n v="190.68"/>
    <n v="649.42999999999995"/>
    <n v="795.33"/>
    <n v="9.42"/>
    <n v="209.43"/>
    <n v="57.3"/>
    <n v="126.44"/>
    <n v="115.32"/>
    <n v="146.96"/>
    <x v="2"/>
    <x v="2"/>
    <s v="71800                   "/>
    <x v="10"/>
    <x v="1"/>
    <x v="34"/>
  </r>
  <r>
    <x v="3"/>
    <x v="3"/>
    <x v="1815"/>
    <x v="1817"/>
    <n v="0"/>
    <n v="0"/>
    <n v="0"/>
    <n v="0"/>
    <n v="0"/>
    <n v="0"/>
    <n v="0"/>
    <n v="0"/>
    <n v="0"/>
    <n v="0"/>
    <n v="0"/>
    <n v="0"/>
    <n v="88.95"/>
    <n v="134.18"/>
    <n v="0"/>
    <n v="56.22"/>
    <n v="26.5"/>
    <n v="113.38"/>
    <n v="0"/>
    <n v="0.84"/>
    <n v="40.520000000000003"/>
    <n v="48.89"/>
    <n v="63.8"/>
    <n v="80.569999999999993"/>
    <n v="-653.8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8.91999999999999"/>
    <n v="97.97"/>
    <n v="1928.23"/>
    <n v="-95.05"/>
    <n v="616.13"/>
    <n v="354.14"/>
    <n v="108"/>
    <n v="165.87"/>
    <n v="-88.99"/>
    <n v="276.42"/>
    <n v="62.51"/>
    <n v="-31.44"/>
    <n v="0"/>
    <n v="0"/>
    <n v="0"/>
    <n v="0"/>
    <n v="0"/>
    <n v="0"/>
    <n v="0"/>
    <n v="0"/>
    <n v="0"/>
    <n v="0"/>
    <n v="0"/>
    <n v="0"/>
    <x v="3"/>
    <x v="2"/>
    <s v="71800                   "/>
    <x v="10"/>
    <x v="7"/>
    <x v="34"/>
  </r>
  <r>
    <x v="3"/>
    <x v="3"/>
    <x v="1815"/>
    <x v="1817"/>
    <n v="60.57"/>
    <n v="218.26"/>
    <n v="156.47"/>
    <n v="15.29"/>
    <n v="616.35"/>
    <n v="183.56"/>
    <n v="0"/>
    <n v="15.29"/>
    <n v="0"/>
    <n v="246.89"/>
    <n v="0"/>
    <n v="3.83"/>
    <n v="23.39"/>
    <n v="40.729999999999997"/>
    <n v="0"/>
    <n v="0"/>
    <n v="0"/>
    <n v="0"/>
    <n v="0"/>
    <n v="0"/>
    <n v="0"/>
    <n v="0"/>
    <n v="0"/>
    <n v="0"/>
    <n v="3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4.8099999999999996"/>
    <n v="0"/>
    <n v="0"/>
    <n v="0"/>
    <n v="0"/>
    <n v="0"/>
    <n v="0"/>
    <n v="0"/>
    <n v="0"/>
    <n v="249.13"/>
    <n v="601.07000000000005"/>
    <n v="863.16"/>
    <n v="202.72"/>
    <n v="205.12"/>
    <n v="231.43"/>
    <n v="241.78"/>
    <n v="246.41"/>
    <n v="263.25"/>
    <n v="210.51"/>
    <n v="207.06"/>
    <n v="268.37"/>
    <x v="2"/>
    <x v="2"/>
    <s v="71800                   "/>
    <x v="10"/>
    <x v="7"/>
    <x v="34"/>
  </r>
  <r>
    <x v="3"/>
    <x v="3"/>
    <x v="1816"/>
    <x v="1818"/>
    <n v="581.33000000000004"/>
    <n v="737.59"/>
    <n v="-174.04"/>
    <n v="-282.74"/>
    <n v="-43.85"/>
    <n v="49.5"/>
    <n v="-2409.52"/>
    <n v="885.39"/>
    <n v="421.29"/>
    <n v="22.45"/>
    <n v="369.32"/>
    <n v="-567.92999999999995"/>
    <n v="3051.64"/>
    <n v="2727.03"/>
    <n v="4196.05"/>
    <n v="-6579.76"/>
    <n v="361.74"/>
    <n v="373.87"/>
    <n v="577.49"/>
    <n v="673.42"/>
    <n v="660.21"/>
    <n v="978.47"/>
    <n v="-405"/>
    <n v="584.94000000000005"/>
    <n v="1587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9.39"/>
    <n v="590.48"/>
    <n v="459.21"/>
    <n v="410.75"/>
    <n v="336.9"/>
    <n v="569.70000000000005"/>
    <n v="357.74"/>
    <n v="614.45000000000005"/>
    <n v="584.13"/>
    <n v="287.32"/>
    <n v="495.02"/>
    <n v="502.97"/>
    <x v="2"/>
    <x v="2"/>
    <s v="71800                   "/>
    <x v="10"/>
    <x v="8"/>
    <x v="34"/>
  </r>
  <r>
    <x v="3"/>
    <x v="3"/>
    <x v="1817"/>
    <x v="1819"/>
    <n v="174.28"/>
    <n v="340.9"/>
    <n v="15.28"/>
    <n v="241.86"/>
    <n v="160.9"/>
    <n v="-837.15"/>
    <n v="71.62"/>
    <n v="193.27"/>
    <n v="228.37"/>
    <n v="53.09"/>
    <n v="219.86"/>
    <n v="50.83"/>
    <n v="225.18"/>
    <n v="289.7"/>
    <n v="688.56"/>
    <n v="-959.8"/>
    <n v="106.47"/>
    <n v="4.66"/>
    <n v="138.1"/>
    <n v="45.33"/>
    <n v="90.01"/>
    <n v="101.23"/>
    <n v="1151.81"/>
    <n v="70.37"/>
    <n v="292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.98"/>
    <n v="2.98"/>
    <n v="2.98"/>
    <n v="2.98"/>
    <n v="0"/>
    <n v="0"/>
    <n v="0"/>
    <n v="0"/>
    <n v="0"/>
    <n v="132.32"/>
    <n v="18.920000000000002"/>
    <n v="-11.15"/>
    <n v="61.02"/>
    <n v="37.44"/>
    <n v="54.61"/>
    <n v="77.22"/>
    <n v="184.17"/>
    <n v="20.91"/>
    <n v="107.6"/>
    <n v="61.14"/>
    <n v="41.62"/>
    <x v="2"/>
    <x v="2"/>
    <s v="71800                   "/>
    <x v="10"/>
    <x v="9"/>
    <x v="34"/>
  </r>
  <r>
    <x v="3"/>
    <x v="3"/>
    <x v="1818"/>
    <x v="1820"/>
    <n v="-253.02"/>
    <n v="-20.11"/>
    <n v="-5.35"/>
    <n v="-5.07"/>
    <n v="-309.98"/>
    <n v="-1801.78"/>
    <n v="-439.99"/>
    <n v="-132.1"/>
    <n v="0"/>
    <n v="0"/>
    <n v="0"/>
    <n v="-0.01"/>
    <n v="8.9700000000000006"/>
    <n v="165.4"/>
    <n v="8.6"/>
    <n v="0"/>
    <n v="0"/>
    <n v="0"/>
    <n v="0"/>
    <n v="25.44"/>
    <n v="4.49"/>
    <n v="0"/>
    <n v="0"/>
    <n v="2.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44.5"/>
    <n v="-191.41"/>
    <n v="-254.98"/>
    <n v="-398.32"/>
    <n v="-472.38"/>
    <n v="-327.83"/>
    <n v="-375.53"/>
    <n v="-110.3"/>
    <n v="-215.19"/>
    <n v="-97.63"/>
    <n v="-147.19999999999999"/>
    <n v="-223.15"/>
    <n v="166.16"/>
    <n v="-74.64"/>
    <n v="21.85"/>
    <n v="21.66"/>
    <n v="0"/>
    <n v="7.22"/>
    <n v="26.25"/>
    <n v="25.69"/>
    <n v="15.1"/>
    <n v="80.27"/>
    <n v="8.16"/>
    <n v="1.5"/>
    <x v="2"/>
    <x v="2"/>
    <s v="71800                   "/>
    <x v="10"/>
    <x v="10"/>
    <x v="34"/>
  </r>
  <r>
    <x v="3"/>
    <x v="3"/>
    <x v="1819"/>
    <x v="1821"/>
    <n v="0"/>
    <n v="0"/>
    <n v="107.26"/>
    <n v="51.5"/>
    <n v="-1725.91"/>
    <n v="88.12"/>
    <n v="-782.73"/>
    <n v="1196.81"/>
    <n v="17.53"/>
    <n v="77.87"/>
    <n v="17.78"/>
    <n v="271.29000000000002"/>
    <n v="473.75"/>
    <n v="809.99"/>
    <n v="-129.76"/>
    <n v="-1270.31"/>
    <n v="97.02"/>
    <n v="48.86"/>
    <n v="125.86"/>
    <n v="1377.94"/>
    <n v="19.22"/>
    <n v="11.17"/>
    <n v="1.1000000000000001"/>
    <n v="174.32"/>
    <n v="185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.82"/>
    <n v="-25.46"/>
    <n v="39.96"/>
    <n v="87.76"/>
    <n v="74.290000000000006"/>
    <n v="159.88"/>
    <n v="736.55"/>
    <n v="649.01"/>
    <n v="-10.1"/>
    <n v="238.43"/>
    <n v="44.97"/>
    <n v="156.88999999999999"/>
    <x v="2"/>
    <x v="2"/>
    <s v="71800                   "/>
    <x v="10"/>
    <x v="11"/>
    <x v="34"/>
  </r>
  <r>
    <x v="3"/>
    <x v="3"/>
    <x v="1820"/>
    <x v="1822"/>
    <n v="768.01"/>
    <n v="807.12"/>
    <n v="-304.51"/>
    <n v="-38.99"/>
    <n v="-42.14"/>
    <n v="-42.63"/>
    <n v="-174.03"/>
    <n v="432.04"/>
    <n v="-76.83"/>
    <n v="-155.74"/>
    <n v="274.26"/>
    <n v="230.73"/>
    <n v="747.66"/>
    <n v="941.39"/>
    <n v="670.46"/>
    <n v="-1160.1400000000001"/>
    <n v="134.15"/>
    <n v="591.78"/>
    <n v="547.79"/>
    <n v="292.14999999999998"/>
    <n v="381.65"/>
    <n v="379.39"/>
    <n v="264.58999999999997"/>
    <n v="219.82"/>
    <n v="392.6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.75"/>
    <n v="105.25"/>
    <n v="135.46"/>
    <n v="82.37"/>
    <n v="148.11000000000001"/>
    <n v="39.6"/>
    <n v="76.59"/>
    <n v="15.13"/>
    <n v="0"/>
    <n v="0"/>
    <n v="0"/>
    <n v="31.93"/>
    <n v="653.16"/>
    <n v="502.36"/>
    <n v="393.07"/>
    <n v="471.7"/>
    <n v="441.36"/>
    <n v="1305.3599999999999"/>
    <n v="547.15"/>
    <n v="633.35"/>
    <n v="664.38"/>
    <n v="430.94"/>
    <n v="522.07000000000005"/>
    <n v="550.4"/>
    <x v="2"/>
    <x v="2"/>
    <s v="71800                   "/>
    <x v="10"/>
    <x v="12"/>
    <x v="34"/>
  </r>
  <r>
    <x v="3"/>
    <x v="3"/>
    <x v="1821"/>
    <x v="1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.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10"/>
    <x v="13"/>
    <x v="2"/>
  </r>
  <r>
    <x v="3"/>
    <x v="3"/>
    <x v="1822"/>
    <x v="1824"/>
    <n v="24.74"/>
    <n v="0"/>
    <n v="0"/>
    <n v="-233.65"/>
    <n v="37.630000000000003"/>
    <n v="-225.16"/>
    <n v="4.01"/>
    <n v="0"/>
    <n v="0"/>
    <n v="-212.86"/>
    <n v="-151.5"/>
    <n v="0"/>
    <n v="0"/>
    <n v="0"/>
    <n v="0"/>
    <n v="0"/>
    <n v="2.16"/>
    <n v="25.92"/>
    <n v="13.96"/>
    <n v="11.42"/>
    <n v="14.29"/>
    <n v="1.0900000000000001"/>
    <n v="423.93"/>
    <n v="-257.29000000000002"/>
    <n v="83.7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8.67"/>
    <n v="212.36"/>
    <n v="185.44"/>
    <n v="173.99"/>
    <n v="212.76"/>
    <n v="145.26"/>
    <n v="197.33"/>
    <n v="52.12"/>
    <n v="89.3"/>
    <n v="23.68"/>
    <n v="45.94"/>
    <n v="126.51"/>
    <n v="0"/>
    <n v="0"/>
    <n v="-0.28999999999999998"/>
    <n v="-0.11"/>
    <n v="-0.16"/>
    <n v="138.21"/>
    <n v="0"/>
    <n v="-3.49"/>
    <n v="0"/>
    <n v="20.74"/>
    <n v="10.130000000000001"/>
    <n v="6.16"/>
    <x v="2"/>
    <x v="2"/>
    <s v="71800                   "/>
    <x v="10"/>
    <x v="14"/>
    <x v="34"/>
  </r>
  <r>
    <x v="3"/>
    <x v="3"/>
    <x v="1823"/>
    <x v="1825"/>
    <n v="25.93"/>
    <n v="155.1"/>
    <n v="-880.85"/>
    <n v="246.3"/>
    <n v="8.36"/>
    <n v="-1.85"/>
    <n v="-133.72999999999999"/>
    <n v="42.12"/>
    <n v="17.510000000000002"/>
    <n v="0"/>
    <n v="0.93"/>
    <n v="6.51"/>
    <n v="0"/>
    <n v="0"/>
    <n v="0"/>
    <n v="0"/>
    <n v="0"/>
    <n v="8.2200000000000006"/>
    <n v="0"/>
    <n v="0"/>
    <n v="1.42"/>
    <n v="223.1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62.54"/>
    <n v="-58.88"/>
    <n v="-47.99"/>
    <n v="-51.3"/>
    <n v="-47.8"/>
    <n v="0"/>
    <n v="-16.02"/>
    <n v="-11.12"/>
    <n v="-13.55"/>
    <n v="-6.87"/>
    <n v="-16.39"/>
    <n v="-18.239999999999998"/>
    <n v="32.729999999999997"/>
    <n v="-28.52"/>
    <n v="-3.27"/>
    <n v="0.94"/>
    <n v="4.68"/>
    <n v="0"/>
    <n v="4.68"/>
    <n v="7.95"/>
    <n v="0.94"/>
    <n v="0"/>
    <n v="0.94"/>
    <n v="5.14"/>
    <x v="2"/>
    <x v="2"/>
    <s v="71800                   "/>
    <x v="10"/>
    <x v="15"/>
    <x v="34"/>
  </r>
  <r>
    <x v="3"/>
    <x v="3"/>
    <x v="1824"/>
    <x v="1826"/>
    <n v="0"/>
    <n v="0"/>
    <n v="0"/>
    <n v="0"/>
    <n v="0"/>
    <n v="0"/>
    <n v="0"/>
    <n v="0"/>
    <n v="0"/>
    <n v="0"/>
    <n v="0"/>
    <n v="0"/>
    <n v="662.85"/>
    <n v="145.62"/>
    <n v="76.25"/>
    <n v="33.93"/>
    <n v="252.69"/>
    <n v="37.479999999999997"/>
    <n v="19.12"/>
    <n v="67.150000000000006"/>
    <n v="4.71"/>
    <n v="14.12"/>
    <n v="115.61"/>
    <n v="0"/>
    <n v="-1429.5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4.29"/>
    <n v="3.36"/>
    <n v="-2.97"/>
    <n v="-47.38"/>
    <n v="-5.64"/>
    <n v="-39.22"/>
    <n v="-48.85"/>
    <n v="-58.58"/>
    <n v="-42.12"/>
    <n v="-17.59"/>
    <n v="-20.39"/>
    <n v="-10.19"/>
    <n v="0"/>
    <n v="0"/>
    <n v="0"/>
    <n v="0"/>
    <n v="0"/>
    <n v="0"/>
    <n v="0"/>
    <n v="0"/>
    <n v="0"/>
    <n v="0"/>
    <n v="0"/>
    <n v="0"/>
    <x v="3"/>
    <x v="2"/>
    <s v="71800                   "/>
    <x v="10"/>
    <x v="16"/>
    <x v="34"/>
  </r>
  <r>
    <x v="3"/>
    <x v="3"/>
    <x v="1824"/>
    <x v="1826"/>
    <n v="6.86"/>
    <n v="111.97"/>
    <n v="0"/>
    <n v="-325.58"/>
    <n v="-21.06"/>
    <n v="7.02"/>
    <n v="0"/>
    <n v="129.69999999999999"/>
    <n v="57.62"/>
    <n v="0"/>
    <n v="-4.82"/>
    <n v="37.86"/>
    <n v="0"/>
    <n v="0"/>
    <n v="0"/>
    <n v="0"/>
    <n v="2.48"/>
    <n v="54.16"/>
    <n v="29.25"/>
    <n v="19.21"/>
    <n v="130.13"/>
    <n v="7.3"/>
    <n v="43.69"/>
    <n v="26.41"/>
    <n v="56.7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1.57"/>
    <n v="-0.98"/>
    <n v="-1.3"/>
    <n v="-2.11"/>
    <n v="-2.88"/>
    <n v="-1.1000000000000001"/>
    <n v="-1.97"/>
    <n v="-0.81"/>
    <n v="-1.42"/>
    <n v="-0.27"/>
    <n v="-0.64"/>
    <n v="-0.35"/>
    <n v="0.85"/>
    <n v="0"/>
    <n v="0"/>
    <n v="0.28000000000000003"/>
    <n v="0"/>
    <n v="0.28000000000000003"/>
    <n v="0"/>
    <n v="0"/>
    <n v="0"/>
    <n v="1.69"/>
    <n v="0"/>
    <n v="7.06"/>
    <x v="2"/>
    <x v="2"/>
    <s v="71800                   "/>
    <x v="10"/>
    <x v="16"/>
    <x v="34"/>
  </r>
  <r>
    <x v="3"/>
    <x v="3"/>
    <x v="1825"/>
    <x v="1827"/>
    <n v="69"/>
    <n v="5.0199999999999996"/>
    <n v="203.61"/>
    <n v="0"/>
    <n v="21.69"/>
    <n v="0.22"/>
    <n v="18.59"/>
    <n v="0"/>
    <n v="2.78"/>
    <n v="0"/>
    <n v="0"/>
    <n v="-3"/>
    <n v="0"/>
    <n v="8.34"/>
    <n v="0"/>
    <n v="-3"/>
    <n v="8.9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4.32"/>
    <n v="7.05"/>
    <n v="3.44"/>
    <n v="12.93"/>
    <n v="4.92"/>
    <n v="1.27"/>
    <n v="6.07"/>
    <n v="6.01"/>
    <n v="35.61"/>
    <n v="4.2"/>
    <n v="4.12"/>
    <n v="1.05"/>
    <n v="45.99"/>
    <n v="65.209999999999994"/>
    <n v="5.1100000000000003"/>
    <n v="64.94"/>
    <n v="-12.42"/>
    <n v="73.52"/>
    <n v="26.6"/>
    <n v="76.27"/>
    <x v="2"/>
    <x v="2"/>
    <s v="71800                   "/>
    <x v="10"/>
    <x v="17"/>
    <x v="34"/>
  </r>
  <r>
    <x v="3"/>
    <x v="3"/>
    <x v="1826"/>
    <x v="1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96.68"/>
    <n v="0"/>
    <n v="107.1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10"/>
    <x v="18"/>
    <x v="34"/>
  </r>
  <r>
    <x v="3"/>
    <x v="3"/>
    <x v="1827"/>
    <x v="1829"/>
    <n v="145.66999999999999"/>
    <n v="184.39"/>
    <n v="363.66"/>
    <n v="829.26"/>
    <n v="250.24"/>
    <n v="300.14"/>
    <n v="207.96"/>
    <n v="308.35000000000002"/>
    <n v="103.25"/>
    <n v="461.55"/>
    <n v="1108.1600000000001"/>
    <n v="271.27999999999997"/>
    <n v="316.87"/>
    <n v="330.03"/>
    <n v="514.27"/>
    <n v="710.45"/>
    <n v="422.56"/>
    <n v="445.05"/>
    <n v="187.06"/>
    <n v="85.07"/>
    <n v="391.34"/>
    <n v="200.11"/>
    <n v="245.4"/>
    <n v="158.57"/>
    <n v="557.70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7.58"/>
    <n v="546.91999999999996"/>
    <n v="484.18"/>
    <n v="428.44"/>
    <n v="719.44"/>
    <n v="310.11"/>
    <n v="531.29"/>
    <n v="332.37"/>
    <n v="457.47"/>
    <n v="178.22"/>
    <n v="-158.34"/>
    <n v="432.25"/>
    <n v="350.27"/>
    <n v="189.18"/>
    <n v="225.82"/>
    <n v="105.44"/>
    <n v="115.88"/>
    <n v="187.21"/>
    <n v="199.01"/>
    <n v="265.27"/>
    <n v="261.24"/>
    <n v="338.66"/>
    <n v="351.59"/>
    <n v="382.12"/>
    <x v="2"/>
    <x v="2"/>
    <s v="71800                   "/>
    <x v="20"/>
    <x v="3"/>
    <x v="49"/>
  </r>
  <r>
    <x v="3"/>
    <x v="3"/>
    <x v="1828"/>
    <x v="1830"/>
    <n v="0"/>
    <n v="0"/>
    <n v="0"/>
    <n v="121.04"/>
    <n v="85.94"/>
    <n v="133.63999999999999"/>
    <n v="84.49"/>
    <n v="96.32"/>
    <n v="0"/>
    <n v="51.12"/>
    <n v="261.93"/>
    <n v="649.14"/>
    <n v="1439.56"/>
    <n v="474.33"/>
    <n v="274.44"/>
    <n v="613.44000000000005"/>
    <n v="356.45"/>
    <n v="122.59"/>
    <n v="414.78"/>
    <n v="0"/>
    <n v="310.72000000000003"/>
    <n v="413.33"/>
    <n v="184.29"/>
    <n v="100.82"/>
    <n v="567.8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.49"/>
    <n v="46.09"/>
    <n v="283.57"/>
    <n v="148.4"/>
    <n v="248.59"/>
    <n v="42.21"/>
    <n v="85.73"/>
    <n v="45.4"/>
    <n v="244.16"/>
    <n v="12.97"/>
    <n v="117.39"/>
    <n v="247.12"/>
    <n v="15.55"/>
    <n v="8.17"/>
    <n v="45.06"/>
    <n v="2.33"/>
    <n v="21.75"/>
    <n v="45.84"/>
    <n v="27.53"/>
    <n v="46.38"/>
    <n v="18.66"/>
    <n v="31.86"/>
    <n v="14.52"/>
    <n v="91.68"/>
    <x v="2"/>
    <x v="2"/>
    <s v="71800                   "/>
    <x v="20"/>
    <x v="4"/>
    <x v="49"/>
  </r>
  <r>
    <x v="3"/>
    <x v="3"/>
    <x v="1829"/>
    <x v="1831"/>
    <n v="5.62"/>
    <n v="30.12"/>
    <n v="11.12"/>
    <n v="18.57"/>
    <n v="7.35"/>
    <n v="14.67"/>
    <n v="62.05"/>
    <n v="7.52"/>
    <n v="10.93"/>
    <n v="0"/>
    <n v="7.23"/>
    <n v="137.82"/>
    <n v="50.18"/>
    <n v="6.87"/>
    <n v="3.65"/>
    <n v="0"/>
    <n v="0"/>
    <n v="3.54"/>
    <n v="3.43"/>
    <n v="0"/>
    <n v="3.48"/>
    <n v="0"/>
    <n v="9.4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.02"/>
    <n v="31.05"/>
    <n v="33.83"/>
    <n v="44.63"/>
    <n v="35.049999999999997"/>
    <n v="43.06"/>
    <n v="33.659999999999997"/>
    <n v="13.8"/>
    <n v="17.96"/>
    <n v="12.02"/>
    <n v="16.38"/>
    <n v="21.92"/>
    <n v="12.15"/>
    <n v="4.8499999999999996"/>
    <n v="6.52"/>
    <n v="4.08"/>
    <n v="6"/>
    <n v="7.58"/>
    <n v="8.36"/>
    <n v="14.48"/>
    <n v="8.0299999999999994"/>
    <n v="13.17"/>
    <n v="18.75"/>
    <n v="16.11"/>
    <x v="2"/>
    <x v="2"/>
    <s v="71800                   "/>
    <x v="20"/>
    <x v="0"/>
    <x v="49"/>
  </r>
  <r>
    <x v="3"/>
    <x v="3"/>
    <x v="1830"/>
    <x v="1832"/>
    <n v="0"/>
    <n v="0"/>
    <n v="0"/>
    <n v="0"/>
    <n v="0"/>
    <n v="0"/>
    <n v="0"/>
    <n v="0"/>
    <n v="0"/>
    <n v="0"/>
    <n v="0"/>
    <n v="14.3"/>
    <n v="0"/>
    <n v="0"/>
    <n v="0"/>
    <n v="23.4"/>
    <n v="23.4"/>
    <n v="41.58"/>
    <n v="9.1"/>
    <n v="0"/>
    <n v="0"/>
    <n v="9.1"/>
    <n v="9.1"/>
    <n v="6.6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26"/>
    <n v="11.76"/>
    <n v="16.72"/>
    <n v="16.72"/>
    <x v="2"/>
    <x v="2"/>
    <s v="71800                   "/>
    <x v="20"/>
    <x v="5"/>
    <x v="49"/>
  </r>
  <r>
    <x v="3"/>
    <x v="3"/>
    <x v="1831"/>
    <x v="1833"/>
    <n v="0"/>
    <n v="0"/>
    <n v="0"/>
    <n v="0"/>
    <n v="0"/>
    <n v="8.5500000000000007"/>
    <n v="7.4"/>
    <n v="0"/>
    <n v="0"/>
    <n v="0"/>
    <n v="11.81"/>
    <n v="23.61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.29"/>
    <n v="0"/>
    <n v="5.29"/>
    <n v="10.58"/>
    <n v="3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0"/>
    <x v="6"/>
    <x v="49"/>
  </r>
  <r>
    <x v="3"/>
    <x v="3"/>
    <x v="1832"/>
    <x v="1834"/>
    <n v="86.92"/>
    <n v="158.24"/>
    <n v="202.82"/>
    <n v="416.64"/>
    <n v="527.04"/>
    <n v="376.38"/>
    <n v="308.57"/>
    <n v="134.56"/>
    <n v="143.63999999999999"/>
    <n v="237.7"/>
    <n v="230.81"/>
    <n v="678.52"/>
    <n v="293.98"/>
    <n v="445.45"/>
    <n v="456.2"/>
    <n v="439.83"/>
    <n v="631.91"/>
    <n v="830.27"/>
    <n v="588.84"/>
    <n v="176.53"/>
    <n v="164.39"/>
    <n v="258.56"/>
    <n v="296.24"/>
    <n v="189.59"/>
    <n v="210.2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2.16999999999999"/>
    <n v="323.95999999999998"/>
    <n v="230.14"/>
    <n v="473.91"/>
    <n v="649.27"/>
    <n v="590.4"/>
    <n v="305.47000000000003"/>
    <n v="210.28"/>
    <n v="116.08"/>
    <n v="109.27"/>
    <n v="258.35000000000002"/>
    <n v="177.59"/>
    <n v="196.93"/>
    <n v="109.97"/>
    <n v="62.94"/>
    <n v="77.290000000000006"/>
    <n v="79.760000000000005"/>
    <n v="111.42"/>
    <n v="113.55"/>
    <n v="210.43"/>
    <n v="232.29"/>
    <n v="269.31"/>
    <n v="304.33999999999997"/>
    <n v="346.31"/>
    <x v="2"/>
    <x v="2"/>
    <s v="71800                   "/>
    <x v="20"/>
    <x v="1"/>
    <x v="49"/>
  </r>
  <r>
    <x v="3"/>
    <x v="3"/>
    <x v="1833"/>
    <x v="1835"/>
    <n v="0"/>
    <n v="0"/>
    <n v="0"/>
    <n v="0"/>
    <n v="0"/>
    <n v="0"/>
    <n v="0"/>
    <n v="0"/>
    <n v="0"/>
    <n v="0"/>
    <n v="0"/>
    <n v="0"/>
    <n v="0"/>
    <n v="33.770000000000003"/>
    <n v="67.77"/>
    <n v="37.36"/>
    <n v="17.23"/>
    <n v="20.170000000000002"/>
    <n v="51.67"/>
    <n v="6.92"/>
    <n v="20.93"/>
    <n v="0"/>
    <n v="0"/>
    <n v="0"/>
    <n v="-255.8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.7"/>
    <n v="20.52"/>
    <n v="35.69"/>
    <n v="43.54"/>
    <n v="63.44"/>
    <n v="47.85"/>
    <n v="36.49"/>
    <n v="60.96"/>
    <n v="25.13"/>
    <n v="13.41"/>
    <n v="11.97"/>
    <n v="20.87"/>
    <n v="120.68"/>
    <n v="216.13"/>
    <n v="236.29"/>
    <n v="343.6"/>
    <n v="379.98"/>
    <n v="385.03"/>
    <n v="234.35"/>
    <n v="330.42"/>
    <n v="181.57"/>
    <n v="134.66999999999999"/>
    <n v="156.19"/>
    <n v="207.52"/>
    <x v="3"/>
    <x v="2"/>
    <s v="71800                   "/>
    <x v="20"/>
    <x v="7"/>
    <x v="49"/>
  </r>
  <r>
    <x v="3"/>
    <x v="3"/>
    <x v="1833"/>
    <x v="1835"/>
    <n v="142.16"/>
    <n v="265.26"/>
    <n v="530.62"/>
    <n v="547.85"/>
    <n v="783.11"/>
    <n v="607.75"/>
    <n v="572.33000000000004"/>
    <n v="219.78"/>
    <n v="188.76"/>
    <n v="60.84"/>
    <n v="30.42"/>
    <n v="25.77"/>
    <n v="63.98"/>
    <n v="132.19"/>
    <n v="137.35"/>
    <n v="233.48"/>
    <n v="225.78"/>
    <n v="320.14999999999998"/>
    <n v="334.66"/>
    <n v="130.43"/>
    <n v="210.59"/>
    <n v="123.69"/>
    <n v="231.92"/>
    <n v="95.7"/>
    <n v="140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6.25"/>
    <n v="616"/>
    <n v="592.87"/>
    <n v="550.46"/>
    <n v="269.83999999999997"/>
    <n v="559.20000000000005"/>
    <n v="47.91"/>
    <n v="548.71"/>
    <n v="365.79"/>
    <n v="0"/>
    <n v="210.42"/>
    <n v="-173.57"/>
    <n v="1.65"/>
    <n v="3.29"/>
    <n v="0"/>
    <n v="0"/>
    <n v="1.65"/>
    <n v="0"/>
    <n v="1.65"/>
    <n v="1.65"/>
    <n v="1.65"/>
    <n v="14.81"/>
    <n v="8.23"/>
    <n v="6.58"/>
    <x v="2"/>
    <x v="2"/>
    <s v="71800                   "/>
    <x v="20"/>
    <x v="7"/>
    <x v="49"/>
  </r>
  <r>
    <x v="3"/>
    <x v="3"/>
    <x v="1834"/>
    <x v="1836"/>
    <n v="131.19"/>
    <n v="619.05999999999995"/>
    <n v="942.9"/>
    <n v="2429.64"/>
    <n v="1570.06"/>
    <n v="1358.32"/>
    <n v="3010.68"/>
    <n v="4210.05"/>
    <n v="349.85"/>
    <n v="368.85"/>
    <n v="368.22"/>
    <n v="1773.06"/>
    <n v="830.69"/>
    <n v="982.11"/>
    <n v="1079.71"/>
    <n v="2929.98"/>
    <n v="1480.11"/>
    <n v="1439.67"/>
    <n v="1524.26"/>
    <n v="462.36"/>
    <n v="690.07"/>
    <n v="540.02"/>
    <n v="871.65"/>
    <n v="545.91"/>
    <n v="580.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2.55"/>
    <n v="1323.04"/>
    <n v="1872.87"/>
    <n v="1855.66"/>
    <n v="1952.8"/>
    <n v="2431.36"/>
    <n v="2131.6"/>
    <n v="1462.12"/>
    <n v="1840.14"/>
    <n v="540.41999999999996"/>
    <n v="373.81"/>
    <n v="969.48"/>
    <n v="389.32"/>
    <n v="309.83999999999997"/>
    <n v="351.67"/>
    <n v="109.89"/>
    <n v="104.42"/>
    <n v="224.19"/>
    <n v="253.66"/>
    <n v="352.8"/>
    <n v="313.05"/>
    <n v="355.59"/>
    <n v="526.79999999999995"/>
    <n v="342.49"/>
    <x v="2"/>
    <x v="2"/>
    <s v="71800                   "/>
    <x v="20"/>
    <x v="8"/>
    <x v="49"/>
  </r>
  <r>
    <x v="3"/>
    <x v="3"/>
    <x v="1835"/>
    <x v="1837"/>
    <n v="269.44"/>
    <n v="641.19000000000005"/>
    <n v="496.13"/>
    <n v="617.35"/>
    <n v="443.66"/>
    <n v="1527.88"/>
    <n v="202.89"/>
    <n v="187.25"/>
    <n v="179.98"/>
    <n v="114.17"/>
    <n v="225.74"/>
    <n v="244.77"/>
    <n v="248.41"/>
    <n v="436.33"/>
    <n v="1507.4"/>
    <n v="493.85"/>
    <n v="511.81"/>
    <n v="590.78"/>
    <n v="265.74"/>
    <n v="118.09"/>
    <n v="141.76"/>
    <n v="151.69999999999999"/>
    <n v="194.24"/>
    <n v="155.77000000000001"/>
    <n v="160.30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1.38"/>
    <n v="1209.8800000000001"/>
    <n v="639.79999999999995"/>
    <n v="663.53"/>
    <n v="712.92"/>
    <n v="497.22"/>
    <n v="222.99"/>
    <n v="274.74"/>
    <n v="290.76"/>
    <n v="110.53"/>
    <n v="153.94"/>
    <n v="157.28"/>
    <n v="63.15"/>
    <n v="83.81"/>
    <n v="80.680000000000007"/>
    <n v="51"/>
    <n v="67.22"/>
    <n v="31.84"/>
    <n v="67.12"/>
    <n v="134.94999999999999"/>
    <n v="74.88"/>
    <n v="96.55"/>
    <n v="94.64"/>
    <n v="132.31"/>
    <x v="2"/>
    <x v="2"/>
    <s v="71800                   "/>
    <x v="20"/>
    <x v="9"/>
    <x v="49"/>
  </r>
  <r>
    <x v="3"/>
    <x v="3"/>
    <x v="1836"/>
    <x v="1838"/>
    <n v="78.23"/>
    <n v="84.57"/>
    <n v="158"/>
    <n v="258.32"/>
    <n v="239.62"/>
    <n v="155.68"/>
    <n v="184.1"/>
    <n v="54.58"/>
    <n v="30.88"/>
    <n v="41.33"/>
    <n v="48.19"/>
    <n v="58.77"/>
    <n v="104.08"/>
    <n v="325.31"/>
    <n v="76.540000000000006"/>
    <n v="0"/>
    <n v="88.9"/>
    <n v="53.5"/>
    <n v="43.62"/>
    <n v="41.15"/>
    <n v="49.17"/>
    <n v="12.15"/>
    <n v="28.33"/>
    <n v="43.44"/>
    <n v="56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8.28"/>
    <n v="62.78"/>
    <n v="57.91"/>
    <n v="154.24"/>
    <n v="346.59"/>
    <n v="117.51"/>
    <n v="156.41"/>
    <n v="78.47"/>
    <n v="198.09"/>
    <n v="73.06"/>
    <n v="54.78"/>
    <n v="65.91"/>
    <n v="35.200000000000003"/>
    <n v="11.81"/>
    <n v="26.7"/>
    <n v="13.35"/>
    <n v="9.76"/>
    <n v="13.35"/>
    <n v="27.21"/>
    <n v="22.08"/>
    <n v="5.65"/>
    <n v="1.54"/>
    <n v="0"/>
    <n v="0"/>
    <x v="2"/>
    <x v="2"/>
    <s v="71800                   "/>
    <x v="20"/>
    <x v="10"/>
    <x v="49"/>
  </r>
  <r>
    <x v="3"/>
    <x v="3"/>
    <x v="1837"/>
    <x v="1839"/>
    <n v="0"/>
    <n v="0"/>
    <n v="0"/>
    <n v="379.97"/>
    <n v="1403.35"/>
    <n v="255.8"/>
    <n v="584.46"/>
    <n v="1494.27"/>
    <n v="182.74"/>
    <n v="80.87"/>
    <n v="69.78"/>
    <n v="158.19999999999999"/>
    <n v="357.69"/>
    <n v="192.63"/>
    <n v="237.21"/>
    <n v="342.18"/>
    <n v="296.82"/>
    <n v="397.01"/>
    <n v="360.71"/>
    <n v="412.67"/>
    <n v="177.54"/>
    <n v="169.43"/>
    <n v="116.74"/>
    <n v="114.55"/>
    <n v="156.44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6.6"/>
    <n v="440.82"/>
    <n v="1951.7"/>
    <n v="763.84"/>
    <n v="639.98"/>
    <n v="459.63"/>
    <n v="101.34"/>
    <n v="169.65"/>
    <n v="164.17"/>
    <n v="55.27"/>
    <n v="49.06"/>
    <n v="39.75"/>
    <n v="13.03"/>
    <n v="22.9"/>
    <n v="19.22"/>
    <n v="23.92"/>
    <n v="48.37"/>
    <n v="44.69"/>
    <n v="98"/>
    <n v="54.01"/>
    <n v="51.82"/>
    <x v="2"/>
    <x v="2"/>
    <s v="71800                   "/>
    <x v="20"/>
    <x v="11"/>
    <x v="49"/>
  </r>
  <r>
    <x v="3"/>
    <x v="3"/>
    <x v="1838"/>
    <x v="1840"/>
    <n v="2525.6999999999998"/>
    <n v="3471.3"/>
    <n v="3908.31"/>
    <n v="4364.84"/>
    <n v="5383.59"/>
    <n v="4299.91"/>
    <n v="3662.18"/>
    <n v="1988.85"/>
    <n v="1076.22"/>
    <n v="2003.15"/>
    <n v="3309.86"/>
    <n v="2277.0300000000002"/>
    <n v="2220.98"/>
    <n v="3675.03"/>
    <n v="3880.11"/>
    <n v="5514.34"/>
    <n v="5259.9"/>
    <n v="4765.12"/>
    <n v="4180.3599999999997"/>
    <n v="1862.09"/>
    <n v="2067.92"/>
    <n v="3886.85"/>
    <n v="3792.56"/>
    <n v="2379.4"/>
    <n v="3463.4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50.84"/>
    <n v="11991.99"/>
    <n v="3574.51"/>
    <n v="2462.81"/>
    <n v="2275.7199999999998"/>
    <n v="2396.33"/>
    <n v="3646.39"/>
    <n v="2339.02"/>
    <n v="2058.71"/>
    <n v="2450.59"/>
    <n v="1279.9100000000001"/>
    <n v="1969.55"/>
    <n v="931.62"/>
    <n v="554.78"/>
    <n v="413.36"/>
    <n v="727.8"/>
    <n v="389.38"/>
    <n v="480.01"/>
    <n v="791.98"/>
    <n v="885.79"/>
    <n v="935.27"/>
    <n v="1071.51"/>
    <n v="1515.63"/>
    <n v="1182.1300000000001"/>
    <x v="2"/>
    <x v="2"/>
    <s v="71800                   "/>
    <x v="20"/>
    <x v="12"/>
    <x v="49"/>
  </r>
  <r>
    <x v="3"/>
    <x v="3"/>
    <x v="1839"/>
    <x v="1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0"/>
    <x v="13"/>
    <x v="49"/>
  </r>
  <r>
    <x v="3"/>
    <x v="3"/>
    <x v="1840"/>
    <x v="1842"/>
    <n v="0"/>
    <n v="0"/>
    <n v="0"/>
    <n v="0"/>
    <n v="0"/>
    <n v="0"/>
    <n v="0"/>
    <n v="0"/>
    <n v="0"/>
    <n v="0"/>
    <n v="166.29"/>
    <n v="0"/>
    <n v="0"/>
    <n v="0"/>
    <n v="18.61"/>
    <n v="65.16"/>
    <n v="188.73"/>
    <n v="102.44"/>
    <n v="46.54"/>
    <n v="73.989999999999995"/>
    <n v="58.26"/>
    <n v="4.6100000000000003"/>
    <n v="18.61"/>
    <n v="4.66"/>
    <n v="23.2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9.91"/>
    <n v="0.91"/>
    <n v="14.88"/>
    <n v="4.51"/>
    <n v="23.82"/>
    <n v="34.54"/>
    <n v="4.42"/>
    <n v="-2.74"/>
    <n v="71.040000000000006"/>
    <n v="39.03"/>
    <n v="166.4"/>
    <n v="239.31"/>
    <n v="39.76"/>
    <n v="17.95"/>
    <n v="491.76"/>
    <n v="3352.53"/>
    <n v="10.83"/>
    <n v="30.1"/>
    <n v="-3125.8"/>
    <n v="62.68"/>
    <n v="51.82"/>
    <x v="2"/>
    <x v="2"/>
    <s v="71800                   "/>
    <x v="20"/>
    <x v="14"/>
    <x v="49"/>
  </r>
  <r>
    <x v="3"/>
    <x v="3"/>
    <x v="1841"/>
    <x v="1843"/>
    <n v="26.76"/>
    <n v="40.61"/>
    <n v="4.41"/>
    <n v="4.18"/>
    <n v="34.31"/>
    <n v="0"/>
    <n v="0"/>
    <n v="96.29"/>
    <n v="0"/>
    <n v="0"/>
    <n v="51.92"/>
    <n v="52.8"/>
    <n v="175.7"/>
    <n v="6.2"/>
    <n v="61.88"/>
    <n v="8.1999999999999993"/>
    <n v="47.81"/>
    <n v="23.39"/>
    <n v="8.26"/>
    <n v="33.26"/>
    <n v="1.86"/>
    <n v="14.88"/>
    <n v="36.270000000000003"/>
    <n v="32.56"/>
    <n v="63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3.78"/>
    <n v="9.31"/>
    <n v="41.18"/>
    <n v="-35.03"/>
    <n v="103.03"/>
    <n v="91.39"/>
    <n v="22.95"/>
    <n v="11.09"/>
    <n v="16.62"/>
    <n v="20.76"/>
    <n v="-18.5"/>
    <n v="-15.97"/>
    <n v="11.09"/>
    <n v="1.42"/>
    <n v="2.56"/>
    <n v="3.7"/>
    <n v="0.28000000000000003"/>
    <n v="0.85"/>
    <n v="0.85"/>
    <n v="5.4"/>
    <n v="3.13"/>
    <n v="11.66"/>
    <n v="17.63"/>
    <n v="16.78"/>
    <x v="2"/>
    <x v="2"/>
    <s v="71800                   "/>
    <x v="20"/>
    <x v="15"/>
    <x v="49"/>
  </r>
  <r>
    <x v="3"/>
    <x v="3"/>
    <x v="1842"/>
    <x v="1844"/>
    <n v="0"/>
    <n v="0"/>
    <n v="0"/>
    <n v="0"/>
    <n v="0"/>
    <n v="0"/>
    <n v="0"/>
    <n v="0"/>
    <n v="0"/>
    <n v="0"/>
    <n v="0"/>
    <n v="0"/>
    <n v="278.32"/>
    <n v="173.37"/>
    <n v="191.93"/>
    <n v="230.31"/>
    <n v="245.62"/>
    <n v="281.94"/>
    <n v="198.76"/>
    <n v="294.69"/>
    <n v="111.88"/>
    <n v="147.96"/>
    <n v="136.43"/>
    <n v="226.78"/>
    <n v="-2517.98999999999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.54"/>
    <n v="25.02"/>
    <n v="36.65"/>
    <n v="53.1"/>
    <n v="48.2"/>
    <n v="35.159999999999997"/>
    <n v="31.39"/>
    <n v="23.5"/>
    <n v="41.64"/>
    <n v="10.16"/>
    <n v="4"/>
    <n v="31.37"/>
    <n v="135.08000000000001"/>
    <n v="120.43"/>
    <n v="152.78"/>
    <n v="356.69"/>
    <n v="332.69"/>
    <n v="333.57"/>
    <n v="158.69999999999999"/>
    <n v="127.82"/>
    <n v="248.4"/>
    <n v="91.25"/>
    <n v="114.47"/>
    <n v="224.42"/>
    <x v="3"/>
    <x v="2"/>
    <s v="71800                   "/>
    <x v="20"/>
    <x v="16"/>
    <x v="49"/>
  </r>
  <r>
    <x v="3"/>
    <x v="3"/>
    <x v="1842"/>
    <x v="1844"/>
    <n v="18.5"/>
    <n v="0"/>
    <n v="20.78"/>
    <n v="21.76"/>
    <n v="14.03"/>
    <n v="14.73"/>
    <n v="21.05"/>
    <n v="79.05"/>
    <n v="42.48"/>
    <n v="14.42"/>
    <n v="23.84"/>
    <n v="28.65"/>
    <n v="21.62"/>
    <n v="57.1"/>
    <n v="21.44"/>
    <n v="56.91"/>
    <n v="78.930000000000007"/>
    <n v="42.88"/>
    <n v="28.65"/>
    <n v="7.02"/>
    <n v="65.14"/>
    <n v="33.200000000000003"/>
    <n v="48.51"/>
    <n v="47.24"/>
    <n v="38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.4"/>
    <n v="27.03"/>
    <n v="11.55"/>
    <n v="-18.670000000000002"/>
    <n v="176.33"/>
    <n v="0"/>
    <n v="0"/>
    <n v="-5.54"/>
    <n v="4.95"/>
    <n v="60.74"/>
    <n v="3.35"/>
    <n v="4.1399999999999997"/>
    <n v="0"/>
    <n v="0"/>
    <n v="2.42"/>
    <n v="91.04"/>
    <n v="3.69"/>
    <n v="2.46"/>
    <n v="14.76"/>
    <n v="22.14"/>
    <n v="19.68"/>
    <n v="22.14"/>
    <n v="31.99"/>
    <n v="13.53"/>
    <x v="2"/>
    <x v="2"/>
    <s v="71800                   "/>
    <x v="20"/>
    <x v="16"/>
    <x v="49"/>
  </r>
  <r>
    <x v="3"/>
    <x v="3"/>
    <x v="1843"/>
    <x v="1845"/>
    <n v="6.11"/>
    <n v="6.11"/>
    <n v="13.94"/>
    <n v="278.16000000000003"/>
    <n v="11.13"/>
    <n v="172.47"/>
    <n v="11.13"/>
    <n v="11.13"/>
    <n v="8.34"/>
    <n v="0"/>
    <n v="0"/>
    <n v="16.7"/>
    <n v="8.34"/>
    <n v="25.03"/>
    <n v="8.34"/>
    <n v="23.36"/>
    <n v="13.4"/>
    <n v="-2.2799999999999998"/>
    <n v="11.13"/>
    <n v="2.78"/>
    <n v="25.03"/>
    <n v="6.01"/>
    <n v="9"/>
    <n v="9"/>
    <n v="11.1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9"/>
    <n v="10.87"/>
    <n v="13.04"/>
    <n v="3.57"/>
    <n v="10.25"/>
    <n v="18.32"/>
    <n v="19.87"/>
    <n v="57.91"/>
    <n v="31.67"/>
    <n v="43.63"/>
    <n v="19.41"/>
    <n v="21.42"/>
    <x v="2"/>
    <x v="2"/>
    <s v="71800                   "/>
    <x v="20"/>
    <x v="17"/>
    <x v="49"/>
  </r>
  <r>
    <x v="3"/>
    <x v="3"/>
    <x v="1844"/>
    <x v="1846"/>
    <n v="4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3"/>
    <x v="34"/>
  </r>
  <r>
    <x v="3"/>
    <x v="3"/>
    <x v="1845"/>
    <x v="18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1"/>
    <x v="34"/>
  </r>
  <r>
    <x v="3"/>
    <x v="3"/>
    <x v="1846"/>
    <x v="1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800                   "/>
    <x v="23"/>
    <x v="7"/>
    <x v="34"/>
  </r>
  <r>
    <x v="3"/>
    <x v="3"/>
    <x v="1847"/>
    <x v="1849"/>
    <n v="5.31"/>
    <n v="0"/>
    <n v="0"/>
    <n v="0"/>
    <n v="0"/>
    <n v="0"/>
    <n v="0"/>
    <n v="0"/>
    <n v="0"/>
    <n v="0"/>
    <n v="0"/>
    <n v="0"/>
    <n v="0"/>
    <n v="0"/>
    <n v="0"/>
    <n v="10.55"/>
    <n v="0"/>
    <n v="0"/>
    <n v="0"/>
    <n v="29.13"/>
    <n v="479.1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8"/>
    <x v="34"/>
  </r>
  <r>
    <x v="3"/>
    <x v="3"/>
    <x v="1848"/>
    <x v="1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12"/>
    <x v="34"/>
  </r>
  <r>
    <x v="3"/>
    <x v="3"/>
    <x v="1849"/>
    <x v="1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13"/>
    <x v="34"/>
  </r>
  <r>
    <x v="3"/>
    <x v="3"/>
    <x v="1850"/>
    <x v="18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3"/>
    <x v="17"/>
    <x v="34"/>
  </r>
  <r>
    <x v="3"/>
    <x v="3"/>
    <x v="1851"/>
    <x v="1853"/>
    <n v="3.79"/>
    <n v="0"/>
    <n v="36.1"/>
    <n v="0"/>
    <n v="0"/>
    <n v="0"/>
    <n v="0"/>
    <n v="0"/>
    <n v="0"/>
    <n v="0"/>
    <n v="21.6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"/>
    <n v="0"/>
    <n v="0"/>
    <n v="0"/>
    <n v="0"/>
    <n v="0"/>
    <n v="0"/>
    <n v="0"/>
    <n v="0"/>
    <n v="0"/>
    <n v="0"/>
    <n v="0"/>
    <n v="0"/>
    <n v="0"/>
    <x v="2"/>
    <x v="2"/>
    <s v="71800                   "/>
    <x v="24"/>
    <x v="3"/>
    <x v="34"/>
  </r>
  <r>
    <x v="3"/>
    <x v="3"/>
    <x v="1852"/>
    <x v="1854"/>
    <n v="0"/>
    <n v="0"/>
    <n v="34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4"/>
    <x v="8"/>
    <x v="34"/>
  </r>
  <r>
    <x v="3"/>
    <x v="3"/>
    <x v="1853"/>
    <x v="1855"/>
    <n v="14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00                   "/>
    <x v="24"/>
    <x v="9"/>
    <x v="34"/>
  </r>
  <r>
    <x v="3"/>
    <x v="3"/>
    <x v="1854"/>
    <x v="1856"/>
    <n v="0"/>
    <n v="0"/>
    <n v="0"/>
    <n v="0"/>
    <n v="0"/>
    <n v="0"/>
    <n v="0"/>
    <n v="0"/>
    <n v="0"/>
    <n v="0"/>
    <n v="58.38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38"/>
    <n v="0"/>
    <n v="0"/>
    <n v="0"/>
    <n v="0"/>
    <n v="0"/>
    <n v="0"/>
    <n v="0"/>
    <n v="0"/>
    <n v="0"/>
    <n v="0"/>
    <n v="0"/>
    <n v="0"/>
    <n v="0"/>
    <x v="2"/>
    <x v="2"/>
    <s v="71800                   "/>
    <x v="24"/>
    <x v="12"/>
    <x v="34"/>
  </r>
  <r>
    <x v="3"/>
    <x v="3"/>
    <x v="1855"/>
    <x v="1857"/>
    <n v="0"/>
    <n v="0"/>
    <n v="0"/>
    <n v="0"/>
    <n v="105.42"/>
    <n v="0"/>
    <n v="1076.1600000000001"/>
    <n v="326.64"/>
    <n v="0"/>
    <n v="0"/>
    <n v="271.61"/>
    <n v="287.23"/>
    <n v="0"/>
    <n v="0"/>
    <n v="0"/>
    <n v="617.74"/>
    <n v="511.63"/>
    <n v="83.84"/>
    <n v="0"/>
    <n v="695.41"/>
    <n v="570.74"/>
    <n v="24.84"/>
    <n v="489.21"/>
    <n v="48.9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5"/>
    <n v="65"/>
    <n v="65"/>
    <n v="65"/>
    <n v="65"/>
    <n v="65"/>
    <n v="65"/>
    <n v="65"/>
    <n v="65"/>
    <n v="65"/>
    <n v="65"/>
    <n v="65"/>
    <n v="200"/>
    <n v="200"/>
    <n v="200"/>
    <n v="200"/>
    <n v="200"/>
    <n v="200"/>
    <n v="200"/>
    <n v="200"/>
    <n v="200"/>
    <n v="200"/>
    <n v="200"/>
    <n v="200"/>
    <x v="2"/>
    <x v="2"/>
    <s v="71840                   "/>
    <x v="10"/>
    <x v="2"/>
    <x v="34"/>
  </r>
  <r>
    <x v="3"/>
    <x v="3"/>
    <x v="1856"/>
    <x v="1858"/>
    <n v="0"/>
    <n v="0"/>
    <n v="0"/>
    <n v="10.51"/>
    <n v="0"/>
    <n v="0"/>
    <n v="0"/>
    <n v="0"/>
    <n v="0"/>
    <n v="0"/>
    <n v="0"/>
    <n v="0"/>
    <n v="0"/>
    <n v="0"/>
    <n v="0"/>
    <n v="71.209999999999994"/>
    <n v="20.49"/>
    <n v="0"/>
    <n v="0"/>
    <n v="0"/>
    <n v="7.54"/>
    <n v="0"/>
    <n v="43.8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5"/>
    <n v="65"/>
    <n v="65"/>
    <n v="65"/>
    <n v="65"/>
    <n v="65"/>
    <n v="65"/>
    <n v="65"/>
    <n v="65"/>
    <n v="65"/>
    <n v="65"/>
    <n v="65"/>
    <n v="25"/>
    <n v="25"/>
    <n v="25"/>
    <n v="25"/>
    <n v="25"/>
    <n v="25"/>
    <n v="25"/>
    <n v="25"/>
    <n v="25"/>
    <n v="25"/>
    <n v="25"/>
    <n v="25"/>
    <x v="2"/>
    <x v="2"/>
    <s v="71850                   "/>
    <x v="10"/>
    <x v="2"/>
    <x v="34"/>
  </r>
  <r>
    <x v="3"/>
    <x v="3"/>
    <x v="1857"/>
    <x v="1859"/>
    <n v="0"/>
    <n v="0"/>
    <n v="162.36000000000001"/>
    <n v="0"/>
    <n v="0"/>
    <n v="215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60                   "/>
    <x v="10"/>
    <x v="2"/>
    <x v="34"/>
  </r>
  <r>
    <x v="3"/>
    <x v="3"/>
    <x v="1858"/>
    <x v="1860"/>
    <n v="1239.05"/>
    <n v="75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870                   "/>
    <x v="10"/>
    <x v="2"/>
    <x v="34"/>
  </r>
  <r>
    <x v="3"/>
    <x v="3"/>
    <x v="1859"/>
    <x v="1861"/>
    <n v="0"/>
    <n v="0"/>
    <n v="0"/>
    <n v="0"/>
    <n v="0"/>
    <n v="0"/>
    <n v="109.21"/>
    <n v="134.32"/>
    <n v="0"/>
    <n v="0"/>
    <n v="55.52"/>
    <n v="0"/>
    <n v="0"/>
    <n v="0"/>
    <n v="0"/>
    <n v="151"/>
    <n v="62.65"/>
    <n v="0"/>
    <n v="0"/>
    <n v="40.909999999999997"/>
    <n v="237.35"/>
    <n v="0"/>
    <n v="10.19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5"/>
    <n v="65"/>
    <n v="65"/>
    <n v="65"/>
    <n v="65"/>
    <n v="65"/>
    <n v="65"/>
    <n v="65"/>
    <n v="65"/>
    <n v="65"/>
    <n v="65"/>
    <n v="65"/>
    <n v="25"/>
    <n v="25"/>
    <n v="25"/>
    <n v="25"/>
    <n v="25"/>
    <n v="25"/>
    <n v="25"/>
    <n v="25"/>
    <n v="25"/>
    <n v="25"/>
    <n v="25"/>
    <n v="25"/>
    <x v="2"/>
    <x v="2"/>
    <s v="71880                   "/>
    <x v="10"/>
    <x v="2"/>
    <x v="34"/>
  </r>
  <r>
    <x v="3"/>
    <x v="3"/>
    <x v="1860"/>
    <x v="1862"/>
    <n v="0"/>
    <n v="0"/>
    <n v="0"/>
    <n v="0"/>
    <n v="0"/>
    <n v="0"/>
    <n v="0"/>
    <n v="0"/>
    <n v="0"/>
    <n v="0"/>
    <n v="0"/>
    <n v="0"/>
    <n v="102.42"/>
    <n v="123.26"/>
    <n v="889.44"/>
    <n v="585.23"/>
    <n v="300.88"/>
    <n v="169.47"/>
    <n v="129.13999999999999"/>
    <n v="179.36"/>
    <n v="139.26"/>
    <n v="141.52000000000001"/>
    <n v="129.31"/>
    <n v="135.9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20"/>
    <n v="720"/>
    <n v="720"/>
    <n v="720"/>
    <n v="720"/>
    <n v="720"/>
    <n v="720"/>
    <n v="720"/>
    <n v="720"/>
    <n v="720"/>
    <n v="720"/>
    <n v="720"/>
    <n v="102.42"/>
    <n v="123.26"/>
    <n v="889.44"/>
    <n v="585.23"/>
    <n v="625.88"/>
    <n v="169.47"/>
    <n v="129.13999999999999"/>
    <n v="179.36"/>
    <n v="160"/>
    <n v="100"/>
    <n v="100"/>
    <n v="140"/>
    <x v="2"/>
    <x v="2"/>
    <s v="72130                   "/>
    <x v="11"/>
    <x v="2"/>
    <x v="45"/>
  </r>
  <r>
    <x v="3"/>
    <x v="3"/>
    <x v="1861"/>
    <x v="1863"/>
    <n v="0"/>
    <n v="0"/>
    <n v="0"/>
    <n v="0"/>
    <n v="0"/>
    <n v="0"/>
    <n v="0"/>
    <n v="0"/>
    <n v="0"/>
    <n v="0"/>
    <n v="0"/>
    <n v="0"/>
    <n v="96.25"/>
    <n v="0"/>
    <n v="28.72"/>
    <n v="0"/>
    <n v="109.34"/>
    <n v="0"/>
    <n v="0"/>
    <n v="0"/>
    <n v="154.03"/>
    <n v="46.4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40"/>
    <n v="40"/>
    <n v="40"/>
    <n v="40"/>
    <n v="40"/>
    <n v="40"/>
    <n v="40"/>
    <n v="40"/>
    <n v="40"/>
    <n v="40"/>
    <n v="40"/>
    <n v="40"/>
    <x v="2"/>
    <x v="2"/>
    <s v="72130                   "/>
    <x v="15"/>
    <x v="2"/>
    <x v="50"/>
  </r>
  <r>
    <x v="3"/>
    <x v="3"/>
    <x v="1862"/>
    <x v="1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2230                   "/>
    <x v="11"/>
    <x v="2"/>
    <x v="45"/>
  </r>
  <r>
    <x v="3"/>
    <x v="3"/>
    <x v="1863"/>
    <x v="18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2230                   "/>
    <x v="15"/>
    <x v="2"/>
    <x v="50"/>
  </r>
  <r>
    <x v="3"/>
    <x v="3"/>
    <x v="1864"/>
    <x v="1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2240                   "/>
    <x v="11"/>
    <x v="2"/>
    <x v="45"/>
  </r>
  <r>
    <x v="3"/>
    <x v="3"/>
    <x v="1865"/>
    <x v="1867"/>
    <n v="0"/>
    <n v="0"/>
    <n v="0"/>
    <n v="0"/>
    <n v="0"/>
    <n v="0"/>
    <n v="0"/>
    <n v="0"/>
    <n v="0"/>
    <n v="0"/>
    <n v="0"/>
    <n v="0"/>
    <n v="0"/>
    <n v="0"/>
    <n v="361.2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0"/>
    <n v="0"/>
    <n v="0"/>
    <n v="0"/>
    <n v="400"/>
    <n v="0"/>
    <n v="0"/>
    <n v="0"/>
    <n v="0"/>
    <x v="2"/>
    <x v="2"/>
    <s v="72240                   "/>
    <x v="15"/>
    <x v="2"/>
    <x v="50"/>
  </r>
  <r>
    <x v="3"/>
    <x v="3"/>
    <x v="1866"/>
    <x v="1868"/>
    <n v="0"/>
    <n v="0"/>
    <n v="0"/>
    <n v="0"/>
    <n v="0"/>
    <n v="0"/>
    <n v="0"/>
    <n v="0"/>
    <n v="0"/>
    <n v="0"/>
    <n v="0"/>
    <n v="0"/>
    <n v="97.41"/>
    <n v="120.5"/>
    <n v="0"/>
    <n v="96.3"/>
    <n v="180"/>
    <n v="0"/>
    <n v="0"/>
    <n v="0"/>
    <n v="0"/>
    <n v="140.62"/>
    <n v="0"/>
    <n v="0"/>
    <n v="7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0"/>
    <n v="0"/>
    <n v="0"/>
    <n v="97.41"/>
    <n v="120.5"/>
    <n v="0"/>
    <n v="96.3"/>
    <n v="180"/>
    <n v="0"/>
    <n v="0"/>
    <n v="0"/>
    <n v="0"/>
    <n v="0"/>
    <n v="150"/>
    <n v="120"/>
    <x v="2"/>
    <x v="2"/>
    <s v="72250                   "/>
    <x v="11"/>
    <x v="2"/>
    <x v="45"/>
  </r>
  <r>
    <x v="3"/>
    <x v="3"/>
    <x v="1867"/>
    <x v="1869"/>
    <n v="0"/>
    <n v="0"/>
    <n v="0"/>
    <n v="0"/>
    <n v="0"/>
    <n v="0"/>
    <n v="0"/>
    <n v="0"/>
    <n v="0"/>
    <n v="0"/>
    <n v="0"/>
    <n v="0"/>
    <n v="0"/>
    <n v="0"/>
    <n v="144"/>
    <n v="0"/>
    <n v="0"/>
    <n v="0"/>
    <n v="0"/>
    <n v="0"/>
    <n v="273.1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150"/>
    <n v="0"/>
    <n v="0"/>
    <n v="0"/>
    <n v="0"/>
    <x v="2"/>
    <x v="2"/>
    <s v="72250                   "/>
    <x v="15"/>
    <x v="2"/>
    <x v="50"/>
  </r>
  <r>
    <x v="3"/>
    <x v="3"/>
    <x v="1868"/>
    <x v="1870"/>
    <n v="0"/>
    <n v="0"/>
    <n v="0"/>
    <n v="0"/>
    <n v="0"/>
    <n v="0"/>
    <n v="0"/>
    <n v="0"/>
    <n v="0"/>
    <n v="0"/>
    <n v="0"/>
    <n v="0"/>
    <n v="0"/>
    <n v="0"/>
    <n v="0"/>
    <n v="0"/>
    <n v="46.29"/>
    <n v="0"/>
    <n v="0"/>
    <n v="0"/>
    <n v="0"/>
    <n v="79.89"/>
    <n v="0"/>
    <n v="0"/>
    <n v="251.6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29"/>
    <n v="0"/>
    <n v="0"/>
    <n v="0"/>
    <n v="0"/>
    <n v="0"/>
    <n v="0"/>
    <n v="0"/>
    <x v="2"/>
    <x v="2"/>
    <s v="72260                   "/>
    <x v="11"/>
    <x v="2"/>
    <x v="45"/>
  </r>
  <r>
    <x v="3"/>
    <x v="3"/>
    <x v="1869"/>
    <x v="1871"/>
    <n v="0"/>
    <n v="0"/>
    <n v="0"/>
    <n v="0"/>
    <n v="0"/>
    <n v="0"/>
    <n v="0"/>
    <n v="0"/>
    <n v="0"/>
    <n v="0"/>
    <n v="0"/>
    <n v="0"/>
    <n v="0"/>
    <n v="0"/>
    <n v="16.809999999999999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50"/>
    <n v="0"/>
    <n v="0"/>
    <n v="0"/>
    <n v="0"/>
    <x v="2"/>
    <x v="2"/>
    <s v="72260                   "/>
    <x v="15"/>
    <x v="2"/>
    <x v="50"/>
  </r>
  <r>
    <x v="3"/>
    <x v="3"/>
    <x v="1870"/>
    <x v="1872"/>
    <n v="0"/>
    <n v="0"/>
    <n v="0"/>
    <n v="0"/>
    <n v="0"/>
    <n v="0"/>
    <n v="0"/>
    <n v="0"/>
    <n v="0"/>
    <n v="0"/>
    <n v="0"/>
    <n v="0"/>
    <n v="0"/>
    <n v="0"/>
    <n v="360"/>
    <n v="13.27"/>
    <n v="13.27"/>
    <n v="13.27"/>
    <n v="0"/>
    <n v="0"/>
    <n v="0"/>
    <n v="13.27"/>
    <n v="22.1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13.27"/>
    <n v="13.27"/>
    <n v="13.27"/>
    <n v="0"/>
    <n v="0"/>
    <n v="0"/>
    <n v="0"/>
    <n v="0"/>
    <n v="0"/>
    <x v="2"/>
    <x v="2"/>
    <s v="72270                   "/>
    <x v="11"/>
    <x v="2"/>
    <x v="45"/>
  </r>
  <r>
    <x v="3"/>
    <x v="3"/>
    <x v="1871"/>
    <x v="1873"/>
    <n v="0"/>
    <n v="0"/>
    <n v="0"/>
    <n v="0"/>
    <n v="0"/>
    <n v="0"/>
    <n v="0"/>
    <n v="0"/>
    <n v="0"/>
    <n v="0"/>
    <n v="0"/>
    <n v="0"/>
    <n v="0"/>
    <n v="0"/>
    <n v="201.3"/>
    <n v="0"/>
    <n v="0"/>
    <n v="0"/>
    <n v="0"/>
    <n v="86.9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100"/>
    <n v="0"/>
    <n v="0"/>
    <n v="0"/>
    <n v="0"/>
    <x v="2"/>
    <x v="2"/>
    <s v="72270                   "/>
    <x v="15"/>
    <x v="2"/>
    <x v="50"/>
  </r>
  <r>
    <x v="3"/>
    <x v="3"/>
    <x v="1872"/>
    <x v="1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81100                   "/>
    <x v="7"/>
    <x v="3"/>
    <x v="2"/>
  </r>
  <r>
    <x v="3"/>
    <x v="3"/>
    <x v="1872"/>
    <x v="1874"/>
    <n v="0"/>
    <n v="82.93"/>
    <n v="166.5"/>
    <n v="251.52"/>
    <n v="0"/>
    <n v="0"/>
    <n v="0"/>
    <n v="0"/>
    <n v="0"/>
    <n v="800"/>
    <n v="1500"/>
    <n v="0"/>
    <n v="0"/>
    <n v="0"/>
    <n v="0"/>
    <n v="0"/>
    <n v="117.46"/>
    <n v="240"/>
    <n v="63.52"/>
    <n v="0"/>
    <n v="0"/>
    <n v="0"/>
    <n v="480"/>
    <n v="150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0"/>
    <n v="150"/>
    <n v="250"/>
    <n v="0"/>
    <n v="0"/>
    <n v="0"/>
    <n v="0"/>
    <n v="0"/>
    <n v="0"/>
    <n v="1500"/>
    <n v="375"/>
    <n v="0"/>
    <n v="0"/>
    <n v="0"/>
    <n v="0"/>
    <n v="150"/>
    <n v="250"/>
    <n v="100"/>
    <n v="0"/>
    <n v="0"/>
    <n v="1000"/>
    <n v="1500"/>
    <n v="0"/>
    <x v="2"/>
    <x v="2"/>
    <s v="81100                   "/>
    <x v="7"/>
    <x v="3"/>
    <x v="35"/>
  </r>
  <r>
    <x v="3"/>
    <x v="3"/>
    <x v="1873"/>
    <x v="1875"/>
    <n v="0"/>
    <n v="0"/>
    <n v="0"/>
    <n v="0"/>
    <n v="0"/>
    <n v="0"/>
    <n v="0"/>
    <n v="0"/>
    <n v="0"/>
    <n v="0"/>
    <n v="0"/>
    <n v="0"/>
    <n v="0"/>
    <n v="0"/>
    <n v="0"/>
    <n v="0"/>
    <n v="25.99"/>
    <n v="8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x v="2"/>
    <x v="2"/>
    <s v="81100                   "/>
    <x v="7"/>
    <x v="1"/>
    <x v="35"/>
  </r>
  <r>
    <x v="3"/>
    <x v="3"/>
    <x v="1874"/>
    <x v="1876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"/>
    <n v="0"/>
    <n v="0"/>
    <n v="0"/>
    <n v="0"/>
    <n v="0"/>
    <n v="0"/>
    <x v="2"/>
    <x v="2"/>
    <s v="81100                   "/>
    <x v="7"/>
    <x v="8"/>
    <x v="35"/>
  </r>
  <r>
    <x v="3"/>
    <x v="3"/>
    <x v="1875"/>
    <x v="1877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x v="2"/>
    <x v="2"/>
    <s v="81100                   "/>
    <x v="7"/>
    <x v="9"/>
    <x v="35"/>
  </r>
  <r>
    <x v="3"/>
    <x v="3"/>
    <x v="1876"/>
    <x v="1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100                   "/>
    <x v="7"/>
    <x v="10"/>
    <x v="35"/>
  </r>
  <r>
    <x v="3"/>
    <x v="3"/>
    <x v="1877"/>
    <x v="1879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x v="2"/>
    <x v="2"/>
    <s v="81100                   "/>
    <x v="7"/>
    <x v="12"/>
    <x v="35"/>
  </r>
  <r>
    <x v="3"/>
    <x v="3"/>
    <x v="1878"/>
    <x v="1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100                   "/>
    <x v="7"/>
    <x v="13"/>
    <x v="35"/>
  </r>
  <r>
    <x v="3"/>
    <x v="3"/>
    <x v="1879"/>
    <x v="1881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100                   "/>
    <x v="7"/>
    <x v="16"/>
    <x v="35"/>
  </r>
  <r>
    <x v="3"/>
    <x v="3"/>
    <x v="1880"/>
    <x v="1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100                   "/>
    <x v="7"/>
    <x v="17"/>
    <x v="35"/>
  </r>
  <r>
    <x v="3"/>
    <x v="3"/>
    <x v="1881"/>
    <x v="1883"/>
    <n v="12.55"/>
    <n v="0"/>
    <n v="0"/>
    <n v="0"/>
    <n v="6.46"/>
    <n v="0"/>
    <n v="53.15"/>
    <n v="0"/>
    <n v="0"/>
    <n v="0"/>
    <n v="11.94"/>
    <n v="35.799999999999997"/>
    <n v="0"/>
    <n v="0"/>
    <n v="0"/>
    <n v="0"/>
    <n v="0"/>
    <n v="0"/>
    <n v="494.38"/>
    <n v="0"/>
    <n v="0"/>
    <n v="0"/>
    <n v="0"/>
    <n v="38.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.89"/>
    <n v="0"/>
    <n v="0"/>
    <n v="410.35"/>
    <n v="0"/>
    <n v="0"/>
    <n v="75.13"/>
    <n v="0"/>
    <n v="0"/>
    <n v="150.28"/>
    <n v="0"/>
    <n v="0"/>
    <n v="0"/>
    <n v="0"/>
    <n v="0"/>
    <n v="0"/>
    <n v="0"/>
    <n v="0"/>
    <n v="494.38"/>
    <n v="0"/>
    <n v="0"/>
    <n v="0"/>
    <n v="0"/>
    <n v="0"/>
    <x v="2"/>
    <x v="2"/>
    <s v="81340                   "/>
    <x v="8"/>
    <x v="3"/>
    <x v="51"/>
  </r>
  <r>
    <x v="3"/>
    <x v="3"/>
    <x v="1882"/>
    <x v="18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93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4"/>
    <x v="51"/>
  </r>
  <r>
    <x v="3"/>
    <x v="3"/>
    <x v="1883"/>
    <x v="1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97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5"/>
    <x v="51"/>
  </r>
  <r>
    <x v="3"/>
    <x v="3"/>
    <x v="1884"/>
    <x v="1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6"/>
    <x v="51"/>
  </r>
  <r>
    <x v="3"/>
    <x v="3"/>
    <x v="1885"/>
    <x v="1887"/>
    <n v="43.71"/>
    <n v="0"/>
    <n v="0"/>
    <n v="0"/>
    <n v="0"/>
    <n v="0"/>
    <n v="0"/>
    <n v="0"/>
    <n v="0"/>
    <n v="0"/>
    <n v="26.88"/>
    <n v="0"/>
    <n v="0"/>
    <n v="0"/>
    <n v="0"/>
    <n v="0"/>
    <n v="7"/>
    <n v="0"/>
    <n v="527.89"/>
    <n v="0"/>
    <n v="0"/>
    <n v="0"/>
    <n v="0"/>
    <n v="22.3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525.36"/>
    <n v="358.8"/>
    <n v="0"/>
    <n v="0"/>
    <n v="349.79"/>
    <n v="1415.55"/>
    <n v="0"/>
    <n v="0"/>
    <n v="0"/>
    <n v="0"/>
    <n v="0"/>
    <n v="0"/>
    <n v="0"/>
    <n v="0"/>
    <n v="7"/>
    <n v="0"/>
    <n v="527.89"/>
    <n v="0"/>
    <n v="0"/>
    <n v="0"/>
    <n v="0"/>
    <n v="0"/>
    <x v="2"/>
    <x v="2"/>
    <s v="81340                   "/>
    <x v="8"/>
    <x v="1"/>
    <x v="51"/>
  </r>
  <r>
    <x v="3"/>
    <x v="3"/>
    <x v="1886"/>
    <x v="1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.08"/>
    <n v="0"/>
    <n v="0"/>
    <n v="0"/>
    <n v="0"/>
    <n v="0"/>
    <n v="-483.0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1340                   "/>
    <x v="8"/>
    <x v="7"/>
    <x v="51"/>
  </r>
  <r>
    <x v="3"/>
    <x v="3"/>
    <x v="1886"/>
    <x v="1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.08999999999997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9"/>
    <n v="0"/>
    <n v="0"/>
    <n v="0"/>
    <n v="0"/>
    <n v="0"/>
    <n v="0"/>
    <n v="302.08999999999997"/>
    <n v="0"/>
    <n v="0"/>
    <n v="0"/>
    <n v="0"/>
    <n v="0"/>
    <x v="2"/>
    <x v="2"/>
    <s v="81340                   "/>
    <x v="8"/>
    <x v="7"/>
    <x v="51"/>
  </r>
  <r>
    <x v="3"/>
    <x v="3"/>
    <x v="1887"/>
    <x v="1889"/>
    <n v="53.13"/>
    <n v="0"/>
    <n v="9.77"/>
    <n v="0"/>
    <n v="0"/>
    <n v="0"/>
    <n v="186.37"/>
    <n v="0"/>
    <n v="0"/>
    <n v="0"/>
    <n v="48.69"/>
    <n v="0"/>
    <n v="0"/>
    <n v="0"/>
    <n v="0"/>
    <n v="0"/>
    <n v="20.29"/>
    <n v="0"/>
    <n v="1263.99"/>
    <n v="0"/>
    <n v="136.91999999999999"/>
    <n v="0"/>
    <n v="0"/>
    <n v="32.5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55.69999999999999"/>
    <n v="0"/>
    <n v="0"/>
    <n v="0"/>
    <n v="931.13"/>
    <n v="0"/>
    <n v="0"/>
    <n v="0"/>
    <n v="9.31"/>
    <n v="0"/>
    <n v="0"/>
    <n v="0"/>
    <n v="0"/>
    <n v="20.29"/>
    <n v="0"/>
    <n v="1263.99"/>
    <n v="0"/>
    <n v="0"/>
    <n v="0"/>
    <n v="0"/>
    <n v="0"/>
    <x v="2"/>
    <x v="2"/>
    <s v="81340                   "/>
    <x v="8"/>
    <x v="8"/>
    <x v="51"/>
  </r>
  <r>
    <x v="3"/>
    <x v="3"/>
    <x v="1888"/>
    <x v="1890"/>
    <n v="0"/>
    <n v="0"/>
    <n v="8.99"/>
    <n v="0"/>
    <n v="0"/>
    <n v="0"/>
    <n v="87.86"/>
    <n v="0"/>
    <n v="0"/>
    <n v="0"/>
    <n v="14.54"/>
    <n v="0"/>
    <n v="0"/>
    <n v="0"/>
    <n v="0"/>
    <n v="0"/>
    <n v="0"/>
    <n v="0"/>
    <n v="0"/>
    <n v="0"/>
    <n v="0"/>
    <n v="0"/>
    <n v="0"/>
    <n v="14.3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9"/>
    <x v="51"/>
  </r>
  <r>
    <x v="3"/>
    <x v="3"/>
    <x v="1889"/>
    <x v="18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51.8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10"/>
    <x v="51"/>
  </r>
  <r>
    <x v="3"/>
    <x v="3"/>
    <x v="1890"/>
    <x v="1892"/>
    <n v="0"/>
    <n v="0"/>
    <n v="0"/>
    <n v="0"/>
    <n v="4.5999999999999996"/>
    <n v="0"/>
    <n v="574.98"/>
    <n v="0"/>
    <n v="0"/>
    <n v="0"/>
    <n v="27.61"/>
    <n v="101.32"/>
    <n v="0"/>
    <n v="0"/>
    <n v="0"/>
    <n v="0"/>
    <n v="222.32"/>
    <n v="0"/>
    <n v="799.34"/>
    <n v="0"/>
    <n v="0"/>
    <n v="0"/>
    <n v="102.45"/>
    <n v="82.4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94.77"/>
    <n v="617.88"/>
    <n v="0"/>
    <n v="0"/>
    <n v="91.65"/>
    <n v="2483.84"/>
    <n v="0"/>
    <n v="107.01"/>
    <n v="0"/>
    <n v="0"/>
    <n v="0"/>
    <n v="0"/>
    <n v="0"/>
    <n v="0"/>
    <n v="222.32"/>
    <n v="0"/>
    <n v="799.34"/>
    <n v="0"/>
    <n v="0"/>
    <n v="0"/>
    <n v="0"/>
    <n v="0"/>
    <x v="2"/>
    <x v="2"/>
    <s v="81340                   "/>
    <x v="8"/>
    <x v="12"/>
    <x v="51"/>
  </r>
  <r>
    <x v="3"/>
    <x v="3"/>
    <x v="1891"/>
    <x v="1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13"/>
    <x v="51"/>
  </r>
  <r>
    <x v="3"/>
    <x v="3"/>
    <x v="1892"/>
    <x v="1894"/>
    <n v="0"/>
    <n v="0"/>
    <n v="0"/>
    <n v="0"/>
    <n v="0"/>
    <n v="0"/>
    <n v="0"/>
    <n v="0"/>
    <n v="0"/>
    <n v="0"/>
    <n v="11.72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14"/>
    <x v="51"/>
  </r>
  <r>
    <x v="3"/>
    <x v="3"/>
    <x v="1893"/>
    <x v="1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8"/>
    <x v="15"/>
    <x v="51"/>
  </r>
  <r>
    <x v="3"/>
    <x v="3"/>
    <x v="1894"/>
    <x v="1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99999999999991"/>
    <n v="-9.53999999999999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1340                   "/>
    <x v="8"/>
    <x v="16"/>
    <x v="2"/>
  </r>
  <r>
    <x v="3"/>
    <x v="3"/>
    <x v="1894"/>
    <x v="1896"/>
    <n v="0"/>
    <n v="0"/>
    <n v="0"/>
    <n v="0"/>
    <n v="0"/>
    <n v="0"/>
    <n v="0"/>
    <n v="0"/>
    <n v="0"/>
    <n v="0"/>
    <n v="0"/>
    <n v="0"/>
    <n v="0"/>
    <n v="0"/>
    <n v="0"/>
    <n v="0"/>
    <n v="7.13"/>
    <n v="0"/>
    <n v="0"/>
    <n v="0"/>
    <n v="0"/>
    <n v="0"/>
    <n v="0"/>
    <n v="29.3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3"/>
    <n v="0"/>
    <n v="0"/>
    <n v="0"/>
    <n v="0"/>
    <n v="0"/>
    <n v="0"/>
    <n v="0"/>
    <x v="2"/>
    <x v="2"/>
    <s v="81340                   "/>
    <x v="8"/>
    <x v="16"/>
    <x v="51"/>
  </r>
  <r>
    <x v="3"/>
    <x v="3"/>
    <x v="1895"/>
    <x v="1897"/>
    <n v="0"/>
    <n v="0"/>
    <n v="0"/>
    <n v="0"/>
    <n v="2.78"/>
    <n v="0"/>
    <n v="0"/>
    <n v="0"/>
    <n v="0"/>
    <n v="0"/>
    <n v="0"/>
    <n v="0"/>
    <n v="0"/>
    <n v="0"/>
    <n v="0"/>
    <n v="0"/>
    <n v="100.4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4"/>
    <n v="0"/>
    <n v="0"/>
    <n v="0"/>
    <n v="0"/>
    <n v="0"/>
    <n v="0"/>
    <n v="0"/>
    <x v="2"/>
    <x v="2"/>
    <s v="81340                   "/>
    <x v="8"/>
    <x v="17"/>
    <x v="51"/>
  </r>
  <r>
    <x v="3"/>
    <x v="3"/>
    <x v="1896"/>
    <x v="1898"/>
    <n v="1445.61"/>
    <n v="2713.78"/>
    <n v="3038.66"/>
    <n v="2148.15"/>
    <n v="1794.9"/>
    <n v="1937.2"/>
    <n v="1292.5"/>
    <n v="1475.25"/>
    <n v="1685.16"/>
    <n v="633.63"/>
    <n v="870.9"/>
    <n v="1071.24"/>
    <n v="1681.68"/>
    <n v="1537.9"/>
    <n v="1281.9000000000001"/>
    <n v="1362.11"/>
    <n v="1782.58"/>
    <n v="1322.95"/>
    <n v="877.62"/>
    <n v="967.56"/>
    <n v="2990.96"/>
    <n v="707.76"/>
    <n v="1125.05"/>
    <n v="1287.42"/>
    <n v="1005.1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79.06"/>
    <n v="2458.8000000000002"/>
    <n v="2569.08"/>
    <n v="2375.83"/>
    <n v="2679.93"/>
    <n v="2809.77"/>
    <n v="3036.78"/>
    <n v="2409.88"/>
    <n v="3629.51"/>
    <n v="1889.08"/>
    <n v="2099.15"/>
    <n v="2019.02"/>
    <n v="1478.46"/>
    <n v="1551.37"/>
    <n v="1737.39"/>
    <n v="1917.37"/>
    <n v="1761.2"/>
    <n v="1966.25"/>
    <n v="1810.01"/>
    <n v="1643.63"/>
    <n v="2156.6799999999998"/>
    <n v="1165.74"/>
    <n v="1442.07"/>
    <n v="1325.36"/>
    <x v="2"/>
    <x v="2"/>
    <s v="81340                   "/>
    <x v="11"/>
    <x v="3"/>
    <x v="46"/>
  </r>
  <r>
    <x v="3"/>
    <x v="3"/>
    <x v="1897"/>
    <x v="1899"/>
    <n v="3923.09"/>
    <n v="4650.76"/>
    <n v="5285.52"/>
    <n v="6893.89"/>
    <n v="3928.13"/>
    <n v="4181.29"/>
    <n v="4694.09"/>
    <n v="3321.96"/>
    <n v="5010.3999999999996"/>
    <n v="3753.81"/>
    <n v="3369.99"/>
    <n v="3598.81"/>
    <n v="5144.28"/>
    <n v="5295.96"/>
    <n v="4515.1000000000004"/>
    <n v="5050.1400000000003"/>
    <n v="4528.83"/>
    <n v="6784.79"/>
    <n v="5687.95"/>
    <n v="4741.07"/>
    <n v="9042.6299999999992"/>
    <n v="2805.99"/>
    <n v="3372.65"/>
    <n v="2927.33"/>
    <n v="4255.5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04.08"/>
    <n v="6590.76"/>
    <n v="6822.69"/>
    <n v="6207.68"/>
    <n v="6186.24"/>
    <n v="6139.38"/>
    <n v="6959.93"/>
    <n v="5732.65"/>
    <n v="5828.6"/>
    <n v="3787.4"/>
    <n v="4748.25"/>
    <n v="4905.87"/>
    <n v="2744.69"/>
    <n v="3401.1"/>
    <n v="3456.21"/>
    <n v="3315.82"/>
    <n v="3502.51"/>
    <n v="3743.46"/>
    <n v="3377.43"/>
    <n v="2921.26"/>
    <n v="3114.04"/>
    <n v="2309.8200000000002"/>
    <n v="2085.63"/>
    <n v="2588.89"/>
    <x v="2"/>
    <x v="2"/>
    <s v="81340                   "/>
    <x v="11"/>
    <x v="4"/>
    <x v="46"/>
  </r>
  <r>
    <x v="3"/>
    <x v="3"/>
    <x v="1898"/>
    <x v="1900"/>
    <n v="222.98"/>
    <n v="37.619999999999997"/>
    <n v="262.64"/>
    <n v="0"/>
    <n v="0"/>
    <n v="14.43"/>
    <n v="7.52"/>
    <n v="-86.04"/>
    <n v="0"/>
    <n v="0"/>
    <n v="0"/>
    <n v="12.5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1"/>
    <x v="0"/>
    <x v="46"/>
  </r>
  <r>
    <x v="3"/>
    <x v="3"/>
    <x v="1899"/>
    <x v="1901"/>
    <n v="0"/>
    <n v="0"/>
    <n v="0"/>
    <n v="0"/>
    <n v="0"/>
    <n v="0"/>
    <n v="0"/>
    <n v="0"/>
    <n v="0"/>
    <n v="0"/>
    <n v="0"/>
    <n v="0"/>
    <n v="0"/>
    <n v="0"/>
    <n v="0"/>
    <n v="23.4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1"/>
    <x v="5"/>
    <x v="46"/>
  </r>
  <r>
    <x v="3"/>
    <x v="3"/>
    <x v="1900"/>
    <x v="1902"/>
    <n v="0"/>
    <n v="0"/>
    <n v="0"/>
    <n v="0"/>
    <n v="0"/>
    <n v="0"/>
    <n v="0"/>
    <n v="0"/>
    <n v="0"/>
    <n v="0"/>
    <n v="0"/>
    <n v="29.8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1"/>
    <x v="6"/>
    <x v="46"/>
  </r>
  <r>
    <x v="3"/>
    <x v="3"/>
    <x v="1901"/>
    <x v="1903"/>
    <n v="441.49"/>
    <n v="196.01"/>
    <n v="206.9"/>
    <n v="1511.86"/>
    <n v="2701.36"/>
    <n v="6760.72"/>
    <n v="72.45"/>
    <n v="-193.21"/>
    <n v="4.7300000000000004"/>
    <n v="94.74"/>
    <n v="367.37"/>
    <n v="174.23"/>
    <n v="81.42"/>
    <n v="325.83"/>
    <n v="194.87"/>
    <n v="82.21"/>
    <n v="408.97"/>
    <n v="138.47999999999999"/>
    <n v="133.87"/>
    <n v="114.71"/>
    <n v="559.66999999999996"/>
    <n v="218.98"/>
    <n v="81.19"/>
    <n v="163.74"/>
    <n v="311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64.13"/>
    <n v="1357.03"/>
    <n v="1159.4000000000001"/>
    <n v="1345.93"/>
    <n v="1353.14"/>
    <n v="2479.94"/>
    <n v="1634.69"/>
    <n v="2017.47"/>
    <n v="2037.32"/>
    <n v="1451.24"/>
    <n v="1594.92"/>
    <n v="1416.3"/>
    <n v="153.12"/>
    <n v="130.30000000000001"/>
    <n v="131.66999999999999"/>
    <n v="82.55"/>
    <n v="406.25"/>
    <n v="184.02"/>
    <n v="272.38"/>
    <n v="75.98"/>
    <n v="185.52"/>
    <n v="156.30000000000001"/>
    <n v="77.69"/>
    <n v="100.32"/>
    <x v="2"/>
    <x v="2"/>
    <s v="81340                   "/>
    <x v="11"/>
    <x v="1"/>
    <x v="46"/>
  </r>
  <r>
    <x v="3"/>
    <x v="3"/>
    <x v="1902"/>
    <x v="1904"/>
    <n v="0"/>
    <n v="0"/>
    <n v="0"/>
    <n v="0"/>
    <n v="0"/>
    <n v="0"/>
    <n v="0"/>
    <n v="0"/>
    <n v="0"/>
    <n v="0"/>
    <n v="0"/>
    <n v="0"/>
    <n v="0"/>
    <n v="47.24"/>
    <n v="0"/>
    <n v="0"/>
    <n v="0"/>
    <n v="0"/>
    <n v="0"/>
    <n v="0"/>
    <n v="0"/>
    <n v="0"/>
    <n v="0"/>
    <n v="0"/>
    <n v="-47.2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1340                   "/>
    <x v="11"/>
    <x v="7"/>
    <x v="45"/>
  </r>
  <r>
    <x v="3"/>
    <x v="3"/>
    <x v="1902"/>
    <x v="1904"/>
    <n v="229.72"/>
    <n v="0"/>
    <n v="208.63"/>
    <n v="104.31"/>
    <n v="0"/>
    <n v="97.88"/>
    <n v="48.71"/>
    <n v="0"/>
    <n v="183.44"/>
    <n v="0"/>
    <n v="48.59"/>
    <n v="48.59"/>
    <n v="0"/>
    <n v="84.39"/>
    <n v="0"/>
    <n v="11.01"/>
    <n v="0"/>
    <n v="29.34"/>
    <n v="47.31"/>
    <n v="22.01"/>
    <n v="0"/>
    <n v="0"/>
    <n v="7.33"/>
    <n v="3.6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6.6"/>
    <n v="261.47000000000003"/>
    <n v="346.8"/>
    <n v="350.69"/>
    <n v="284.86"/>
    <n v="433.64"/>
    <n v="336.53"/>
    <n v="469.06"/>
    <n v="295.60000000000002"/>
    <n v="250.81"/>
    <n v="264.33999999999997"/>
    <n v="179.26"/>
    <n v="42.31"/>
    <n v="90.69"/>
    <n v="46.57"/>
    <n v="56.4"/>
    <n v="225.64"/>
    <n v="55.74"/>
    <n v="164.99"/>
    <n v="226.61"/>
    <n v="315.76"/>
    <n v="156.04"/>
    <n v="157.80000000000001"/>
    <n v="345.01"/>
    <x v="2"/>
    <x v="2"/>
    <s v="81340                   "/>
    <x v="11"/>
    <x v="7"/>
    <x v="46"/>
  </r>
  <r>
    <x v="3"/>
    <x v="3"/>
    <x v="1903"/>
    <x v="1905"/>
    <n v="545.73"/>
    <n v="1954.81"/>
    <n v="1281.8800000000001"/>
    <n v="965.65"/>
    <n v="228.17"/>
    <n v="881.29"/>
    <n v="1102.1199999999999"/>
    <n v="500.59"/>
    <n v="717.43"/>
    <n v="746.88"/>
    <n v="200.65"/>
    <n v="381.75"/>
    <n v="1029.27"/>
    <n v="313.2"/>
    <n v="651.6"/>
    <n v="918.43"/>
    <n v="539.65"/>
    <n v="765.91"/>
    <n v="680.17"/>
    <n v="943.45"/>
    <n v="927.91"/>
    <n v="226.96"/>
    <n v="663.66"/>
    <n v="515.35"/>
    <n v="1146.1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07.67"/>
    <n v="1896.61"/>
    <n v="1805.76"/>
    <n v="1645.87"/>
    <n v="1708.35"/>
    <n v="1869.06"/>
    <n v="1619.22"/>
    <n v="1928.49"/>
    <n v="1806.01"/>
    <n v="1883.91"/>
    <n v="1710.66"/>
    <n v="1423"/>
    <n v="465.49"/>
    <n v="574.19000000000005"/>
    <n v="579.44000000000005"/>
    <n v="423"/>
    <n v="586.55999999999995"/>
    <n v="689.93"/>
    <n v="396.47"/>
    <n v="517.12"/>
    <n v="568.07000000000005"/>
    <n v="419"/>
    <n v="407.16"/>
    <n v="430.64"/>
    <x v="2"/>
    <x v="2"/>
    <s v="81340                   "/>
    <x v="11"/>
    <x v="8"/>
    <x v="46"/>
  </r>
  <r>
    <x v="3"/>
    <x v="3"/>
    <x v="1904"/>
    <x v="1906"/>
    <n v="289.06"/>
    <n v="163.19999999999999"/>
    <n v="148.72"/>
    <n v="113.68"/>
    <n v="7.76"/>
    <n v="73.150000000000006"/>
    <n v="175.88"/>
    <n v="49.57"/>
    <n v="734.63"/>
    <n v="26.55"/>
    <n v="15.99"/>
    <n v="52.34"/>
    <n v="66.3"/>
    <n v="456.06"/>
    <n v="12.2"/>
    <n v="77.95"/>
    <n v="34.89"/>
    <n v="74.45"/>
    <n v="65.209999999999994"/>
    <n v="76.59"/>
    <n v="94.41"/>
    <n v="8.4700000000000006"/>
    <n v="8.4700000000000006"/>
    <n v="59.08"/>
    <n v="267.6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1.79"/>
    <n v="445.48"/>
    <n v="705.26"/>
    <n v="919.18"/>
    <n v="680.35"/>
    <n v="463.3"/>
    <n v="459.97"/>
    <n v="612.87"/>
    <n v="302.27"/>
    <n v="316.25"/>
    <n v="296.06"/>
    <n v="456.07"/>
    <n v="67.790000000000006"/>
    <n v="102.54"/>
    <n v="89.79"/>
    <n v="64.709999999999994"/>
    <n v="135.44999999999999"/>
    <n v="66.86"/>
    <n v="78.540000000000006"/>
    <n v="66.95"/>
    <n v="56.1"/>
    <n v="74.180000000000007"/>
    <n v="16.170000000000002"/>
    <n v="37.22"/>
    <x v="2"/>
    <x v="2"/>
    <s v="81340                   "/>
    <x v="11"/>
    <x v="9"/>
    <x v="46"/>
  </r>
  <r>
    <x v="3"/>
    <x v="3"/>
    <x v="1905"/>
    <x v="1907"/>
    <n v="291.32"/>
    <n v="51.66"/>
    <n v="112.46"/>
    <n v="599.45000000000005"/>
    <n v="1381.21"/>
    <n v="1834.38"/>
    <n v="1.18"/>
    <n v="-12.91"/>
    <n v="0"/>
    <n v="201.51"/>
    <n v="0"/>
    <n v="0"/>
    <n v="50.37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"/>
    <n v="90.74"/>
    <n v="145.32"/>
    <n v="11.39"/>
    <n v="25.73"/>
    <n v="19.510000000000002"/>
    <n v="22.96"/>
    <n v="10.25"/>
    <n v="68.48"/>
    <n v="29.54"/>
    <n v="21.69"/>
    <n v="52.11"/>
    <n v="0"/>
    <n v="3.26"/>
    <n v="0"/>
    <n v="5.78"/>
    <n v="0"/>
    <n v="0"/>
    <n v="24.99"/>
    <n v="3.82"/>
    <n v="15.28"/>
    <n v="2.65"/>
    <n v="6.07"/>
    <n v="2.5299999999999998"/>
    <x v="2"/>
    <x v="2"/>
    <s v="81340                   "/>
    <x v="11"/>
    <x v="10"/>
    <x v="46"/>
  </r>
  <r>
    <x v="3"/>
    <x v="3"/>
    <x v="1906"/>
    <x v="1908"/>
    <n v="0"/>
    <n v="0"/>
    <n v="0"/>
    <n v="106.61"/>
    <n v="0"/>
    <n v="554.63"/>
    <n v="2316.2399999999998"/>
    <n v="-877.27"/>
    <n v="152.65"/>
    <n v="183.61"/>
    <n v="41.4"/>
    <n v="9.33"/>
    <n v="17.78"/>
    <n v="79.98"/>
    <n v="103.21"/>
    <n v="44.1"/>
    <n v="52.91"/>
    <n v="135.72"/>
    <n v="8.9600000000000009"/>
    <n v="227.31"/>
    <n v="122.66"/>
    <n v="85.4"/>
    <n v="122.49"/>
    <n v="13.36"/>
    <n v="34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9.11"/>
    <n v="323.57"/>
    <n v="328.85"/>
    <n v="550.03"/>
    <n v="670.3"/>
    <n v="964.71"/>
    <n v="1137"/>
    <n v="1301.1199999999999"/>
    <n v="586.54"/>
    <n v="276.10000000000002"/>
    <n v="587.42999999999995"/>
    <n v="551.77"/>
    <n v="149.63"/>
    <n v="116.35"/>
    <n v="202"/>
    <n v="73.23"/>
    <n v="233.66"/>
    <n v="225.58"/>
    <n v="356.18"/>
    <n v="253.25"/>
    <n v="340.67"/>
    <n v="69.34"/>
    <n v="194.57"/>
    <n v="89.83"/>
    <x v="2"/>
    <x v="2"/>
    <s v="81340                   "/>
    <x v="11"/>
    <x v="11"/>
    <x v="46"/>
  </r>
  <r>
    <x v="3"/>
    <x v="3"/>
    <x v="1907"/>
    <x v="1909"/>
    <n v="59.11"/>
    <n v="159.68"/>
    <n v="147.59"/>
    <n v="16.72"/>
    <n v="139.5"/>
    <n v="366.34"/>
    <n v="78.69"/>
    <n v="-273.27"/>
    <n v="137.94999999999999"/>
    <n v="4.53"/>
    <n v="163.37"/>
    <n v="246.69"/>
    <n v="54.81"/>
    <n v="66.790000000000006"/>
    <n v="111.69"/>
    <n v="0"/>
    <n v="60.32"/>
    <n v="82.07"/>
    <n v="0"/>
    <n v="48.18"/>
    <n v="155.36000000000001"/>
    <n v="61.17"/>
    <n v="8.66"/>
    <n v="16.7"/>
    <n v="52.6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.08"/>
    <n v="401.63"/>
    <n v="70.819999999999993"/>
    <n v="59.85"/>
    <n v="6.08"/>
    <n v="43.25"/>
    <n v="12.17"/>
    <n v="199.65"/>
    <n v="-24.75"/>
    <n v="315.70999999999998"/>
    <n v="607.72"/>
    <n v="12.2"/>
    <n v="370.15"/>
    <n v="399.2"/>
    <n v="502.77"/>
    <n v="440.56"/>
    <n v="427.91"/>
    <n v="449.04"/>
    <n v="484.82"/>
    <n v="258.61"/>
    <n v="471.56"/>
    <n v="611.20000000000005"/>
    <n v="442.7"/>
    <n v="345.76"/>
    <x v="2"/>
    <x v="2"/>
    <s v="81340                   "/>
    <x v="11"/>
    <x v="12"/>
    <x v="46"/>
  </r>
  <r>
    <x v="3"/>
    <x v="3"/>
    <x v="1908"/>
    <x v="1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1"/>
    <x v="13"/>
    <x v="46"/>
  </r>
  <r>
    <x v="3"/>
    <x v="3"/>
    <x v="1909"/>
    <x v="1911"/>
    <n v="0"/>
    <n v="228.66"/>
    <n v="83.87"/>
    <n v="282.14"/>
    <n v="244.15"/>
    <n v="41.93"/>
    <n v="44.81"/>
    <n v="83.15"/>
    <n v="175.48"/>
    <n v="127.94"/>
    <n v="477.25"/>
    <n v="44.8"/>
    <n v="0"/>
    <n v="39.31"/>
    <n v="117.94"/>
    <n v="0"/>
    <n v="164.31"/>
    <n v="83.33"/>
    <n v="190.83"/>
    <n v="208.31"/>
    <n v="126.73"/>
    <n v="41.86"/>
    <n v="88.38"/>
    <n v="41.86"/>
    <n v="41.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.2"/>
    <n v="155.27000000000001"/>
    <n v="124.76"/>
    <n v="140.36000000000001"/>
    <n v="114.7"/>
    <n v="218.33"/>
    <n v="13.34"/>
    <n v="903.62"/>
    <n v="324.26"/>
    <n v="123.4"/>
    <n v="201.33"/>
    <n v="175.92"/>
    <n v="638"/>
    <n v="681.89"/>
    <n v="1208.5899999999999"/>
    <n v="680.38"/>
    <n v="749.34"/>
    <n v="800.96"/>
    <n v="767.15"/>
    <n v="614.44000000000005"/>
    <n v="1123.21"/>
    <n v="482.76"/>
    <n v="619.69000000000005"/>
    <n v="640.70000000000005"/>
    <x v="2"/>
    <x v="2"/>
    <s v="81340                   "/>
    <x v="11"/>
    <x v="14"/>
    <x v="46"/>
  </r>
  <r>
    <x v="3"/>
    <x v="3"/>
    <x v="1910"/>
    <x v="1912"/>
    <n v="257.73"/>
    <n v="300.45"/>
    <n v="766.2"/>
    <n v="51.46"/>
    <n v="51.7"/>
    <n v="425.19"/>
    <n v="39.299999999999997"/>
    <n v="-101.85"/>
    <n v="0"/>
    <n v="0"/>
    <n v="0"/>
    <n v="48.61"/>
    <n v="17.690000000000001"/>
    <n v="30.95"/>
    <n v="30.95"/>
    <n v="27.88"/>
    <n v="4.1900000000000004"/>
    <n v="0"/>
    <n v="50.21"/>
    <n v="0"/>
    <n v="16.739999999999998"/>
    <n v="55.79"/>
    <n v="9.2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-2"/>
    <n v="0"/>
    <n v="0"/>
    <n v="0"/>
    <n v="0"/>
    <n v="0"/>
    <n v="0"/>
    <n v="0"/>
    <n v="12.72"/>
    <n v="8.9700000000000006"/>
    <n v="13"/>
    <n v="19.96"/>
    <n v="12.01"/>
    <n v="10.14"/>
    <n v="7.04"/>
    <n v="20.29"/>
    <n v="0"/>
    <n v="11.63"/>
    <n v="0"/>
    <n v="19.399999999999999"/>
    <x v="2"/>
    <x v="2"/>
    <s v="81340                   "/>
    <x v="11"/>
    <x v="15"/>
    <x v="46"/>
  </r>
  <r>
    <x v="3"/>
    <x v="3"/>
    <x v="1911"/>
    <x v="1913"/>
    <n v="0"/>
    <n v="0"/>
    <n v="0"/>
    <n v="0"/>
    <n v="0"/>
    <n v="0"/>
    <n v="0"/>
    <n v="0"/>
    <n v="0"/>
    <n v="0"/>
    <n v="0"/>
    <n v="0"/>
    <n v="282.29000000000002"/>
    <n v="99.99"/>
    <n v="56.36"/>
    <n v="184.15"/>
    <n v="161.68"/>
    <n v="10.11"/>
    <n v="121.61"/>
    <n v="10.33"/>
    <n v="0"/>
    <n v="0"/>
    <n v="61.38"/>
    <n v="175.38"/>
    <n v="-1163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1340                   "/>
    <x v="11"/>
    <x v="16"/>
    <x v="46"/>
  </r>
  <r>
    <x v="3"/>
    <x v="3"/>
    <x v="1911"/>
    <x v="1913"/>
    <n v="0"/>
    <n v="0"/>
    <n v="0"/>
    <n v="0"/>
    <n v="21.05"/>
    <n v="0"/>
    <n v="4.8"/>
    <n v="-115.2"/>
    <n v="4.79"/>
    <n v="0"/>
    <n v="91.25"/>
    <n v="0"/>
    <n v="0"/>
    <n v="0"/>
    <n v="0"/>
    <n v="0"/>
    <n v="57.62"/>
    <n v="19.21"/>
    <n v="0"/>
    <n v="9.61"/>
    <n v="0"/>
    <n v="57.62"/>
    <n v="0"/>
    <n v="65.17"/>
    <n v="137.6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.77"/>
    <n v="65.38"/>
    <n v="122.53"/>
    <n v="91.66"/>
    <n v="71.7"/>
    <n v="78.040000000000006"/>
    <n v="129.99"/>
    <n v="87.57"/>
    <n v="80.64"/>
    <n v="59.54"/>
    <n v="79.400000000000006"/>
    <n v="67.180000000000007"/>
    <n v="126.39"/>
    <n v="77.209999999999994"/>
    <n v="80.75"/>
    <n v="119.11"/>
    <n v="86.84"/>
    <n v="57.9"/>
    <n v="131.02000000000001"/>
    <n v="142.65"/>
    <n v="56.46"/>
    <n v="111.62"/>
    <n v="64.81"/>
    <n v="61.09"/>
    <x v="2"/>
    <x v="2"/>
    <s v="81340                   "/>
    <x v="11"/>
    <x v="16"/>
    <x v="46"/>
  </r>
  <r>
    <x v="3"/>
    <x v="3"/>
    <x v="1912"/>
    <x v="1914"/>
    <n v="0"/>
    <n v="0"/>
    <n v="5.58"/>
    <n v="5.57"/>
    <n v="0"/>
    <n v="0"/>
    <n v="0"/>
    <n v="0"/>
    <n v="0"/>
    <n v="0"/>
    <n v="0"/>
    <n v="0"/>
    <n v="0"/>
    <n v="0"/>
    <n v="0"/>
    <n v="11.13"/>
    <n v="0"/>
    <n v="0"/>
    <n v="0"/>
    <n v="0"/>
    <n v="0"/>
    <n v="0"/>
    <n v="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1"/>
    <x v="17"/>
    <x v="46"/>
  </r>
  <r>
    <x v="3"/>
    <x v="3"/>
    <x v="1913"/>
    <x v="1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5"/>
    <x v="7"/>
    <x v="41"/>
  </r>
  <r>
    <x v="3"/>
    <x v="3"/>
    <x v="1914"/>
    <x v="1916"/>
    <n v="0"/>
    <n v="0"/>
    <n v="0"/>
    <n v="0"/>
    <n v="0"/>
    <n v="0"/>
    <n v="0"/>
    <n v="0"/>
    <n v="0"/>
    <n v="0"/>
    <n v="16.239999999999998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5"/>
    <x v="8"/>
    <x v="41"/>
  </r>
  <r>
    <x v="3"/>
    <x v="3"/>
    <x v="1915"/>
    <x v="1917"/>
    <n v="0"/>
    <n v="0"/>
    <n v="0"/>
    <n v="0"/>
    <n v="0"/>
    <n v="0"/>
    <n v="0"/>
    <n v="0"/>
    <n v="0"/>
    <n v="0"/>
    <n v="17.760000000000002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1340                   "/>
    <x v="15"/>
    <x v="11"/>
    <x v="41"/>
  </r>
  <r>
    <x v="3"/>
    <x v="3"/>
    <x v="1916"/>
    <x v="1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7590                   "/>
    <x v="11"/>
    <x v="2"/>
    <x v="45"/>
  </r>
  <r>
    <x v="3"/>
    <x v="3"/>
    <x v="1917"/>
    <x v="1919"/>
    <n v="0"/>
    <n v="0"/>
    <n v="0"/>
    <n v="0"/>
    <n v="0"/>
    <n v="0"/>
    <n v="0"/>
    <n v="0"/>
    <n v="0"/>
    <n v="0"/>
    <n v="0"/>
    <n v="2597.52"/>
    <n v="0"/>
    <n v="0"/>
    <n v="0"/>
    <n v="0"/>
    <n v="660.92"/>
    <n v="0"/>
    <n v="0"/>
    <n v="0"/>
    <n v="0"/>
    <n v="0"/>
    <n v="0"/>
    <n v="827.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300"/>
    <n v="0"/>
    <n v="0"/>
    <n v="0"/>
    <n v="2600"/>
    <n v="0"/>
    <n v="2600"/>
    <n v="0"/>
    <n v="0"/>
    <n v="0"/>
    <n v="2600"/>
    <n v="2000"/>
    <n v="0"/>
    <n v="0"/>
    <n v="0"/>
    <n v="0"/>
    <n v="4000"/>
    <n v="0"/>
    <n v="0"/>
    <n v="700"/>
    <n v="0"/>
    <n v="0"/>
    <n v="2598"/>
    <x v="2"/>
    <x v="2"/>
    <s v="87600                   "/>
    <x v="8"/>
    <x v="2"/>
    <x v="44"/>
  </r>
  <r>
    <x v="3"/>
    <x v="3"/>
    <x v="1918"/>
    <x v="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7600                   "/>
    <x v="11"/>
    <x v="2"/>
    <x v="45"/>
  </r>
  <r>
    <x v="3"/>
    <x v="3"/>
    <x v="1919"/>
    <x v="1921"/>
    <n v="0"/>
    <n v="0"/>
    <n v="0"/>
    <n v="0"/>
    <n v="0"/>
    <n v="0"/>
    <n v="0"/>
    <n v="0"/>
    <n v="0"/>
    <n v="0"/>
    <n v="0"/>
    <n v="1338.82"/>
    <n v="0"/>
    <n v="0"/>
    <n v="0"/>
    <n v="0"/>
    <n v="0"/>
    <n v="0"/>
    <n v="0"/>
    <n v="0"/>
    <n v="0"/>
    <n v="0"/>
    <n v="0"/>
    <n v="1020.7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00"/>
    <n v="0"/>
    <n v="0"/>
    <n v="0"/>
    <n v="1400"/>
    <n v="0"/>
    <n v="1400"/>
    <n v="0"/>
    <n v="0"/>
    <n v="0"/>
    <n v="1400"/>
    <n v="1000"/>
    <n v="0"/>
    <n v="0"/>
    <n v="0"/>
    <n v="0"/>
    <n v="2000"/>
    <n v="0"/>
    <n v="0"/>
    <n v="300"/>
    <n v="0"/>
    <n v="0"/>
    <n v="1339"/>
    <x v="2"/>
    <x v="2"/>
    <s v="87610                   "/>
    <x v="8"/>
    <x v="2"/>
    <x v="44"/>
  </r>
  <r>
    <x v="3"/>
    <x v="3"/>
    <x v="1920"/>
    <x v="1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90"/>
    <n v="0"/>
    <n v="190"/>
    <n v="0"/>
    <n v="190"/>
    <n v="100"/>
    <n v="190"/>
    <n v="0"/>
    <n v="190"/>
    <n v="0"/>
    <n v="190"/>
    <n v="0"/>
    <n v="200"/>
    <n v="0"/>
    <n v="0"/>
    <n v="0"/>
    <n v="600"/>
    <n v="0"/>
    <n v="200"/>
    <n v="0"/>
    <n v="200"/>
    <n v="0"/>
    <n v="0"/>
    <x v="2"/>
    <x v="2"/>
    <s v="87610                   "/>
    <x v="11"/>
    <x v="2"/>
    <x v="45"/>
  </r>
  <r>
    <x v="3"/>
    <x v="3"/>
    <x v="1921"/>
    <x v="1923"/>
    <n v="0"/>
    <n v="0"/>
    <n v="0"/>
    <n v="0"/>
    <n v="0"/>
    <n v="0"/>
    <n v="0"/>
    <n v="0"/>
    <n v="0"/>
    <n v="0"/>
    <n v="0"/>
    <n v="367.99"/>
    <n v="0"/>
    <n v="0"/>
    <n v="0"/>
    <n v="0"/>
    <n v="0"/>
    <n v="107.03"/>
    <n v="0"/>
    <n v="0"/>
    <n v="190"/>
    <n v="0"/>
    <n v="0"/>
    <n v="266.4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400"/>
    <n v="0"/>
    <n v="0"/>
    <n v="0"/>
    <n v="800"/>
    <n v="0"/>
    <n v="800"/>
    <n v="0"/>
    <n v="0"/>
    <n v="0"/>
    <n v="800"/>
    <n v="500"/>
    <n v="0"/>
    <n v="0"/>
    <n v="0"/>
    <n v="0"/>
    <n v="1000"/>
    <n v="0"/>
    <n v="0"/>
    <n v="200"/>
    <n v="0"/>
    <n v="0"/>
    <n v="368"/>
    <x v="2"/>
    <x v="2"/>
    <s v="87620                   "/>
    <x v="8"/>
    <x v="2"/>
    <x v="44"/>
  </r>
  <r>
    <x v="3"/>
    <x v="3"/>
    <x v="1922"/>
    <x v="19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0"/>
    <n v="50"/>
    <n v="0"/>
    <n v="0"/>
    <n v="0"/>
    <n v="300"/>
    <n v="0"/>
    <n v="0"/>
    <n v="50"/>
    <n v="0"/>
    <n v="0"/>
    <n v="0"/>
    <n v="0"/>
    <n v="0"/>
    <n v="0"/>
    <n v="0"/>
    <n v="0"/>
    <n v="0"/>
    <n v="0"/>
    <n v="0"/>
    <n v="0"/>
    <n v="0"/>
    <x v="2"/>
    <x v="2"/>
    <s v="87620                   "/>
    <x v="11"/>
    <x v="2"/>
    <x v="45"/>
  </r>
  <r>
    <x v="3"/>
    <x v="3"/>
    <x v="1923"/>
    <x v="1925"/>
    <n v="0"/>
    <n v="0"/>
    <n v="0"/>
    <n v="0"/>
    <n v="0"/>
    <n v="0"/>
    <n v="0"/>
    <n v="0"/>
    <n v="0"/>
    <n v="0"/>
    <n v="0"/>
    <n v="183.77"/>
    <n v="0"/>
    <n v="0"/>
    <n v="0"/>
    <n v="0"/>
    <n v="0"/>
    <n v="652.80999999999995"/>
    <n v="0"/>
    <n v="0"/>
    <n v="0"/>
    <n v="0"/>
    <n v="0"/>
    <n v="244.1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00"/>
    <n v="0"/>
    <n v="0"/>
    <n v="0"/>
    <n v="200"/>
    <n v="0"/>
    <n v="200"/>
    <n v="0"/>
    <n v="0"/>
    <n v="0"/>
    <n v="200"/>
    <n v="0"/>
    <n v="0"/>
    <n v="0"/>
    <n v="0"/>
    <n v="0"/>
    <n v="652.80999999999995"/>
    <n v="0"/>
    <n v="0"/>
    <n v="0"/>
    <n v="0"/>
    <n v="0"/>
    <n v="184"/>
    <x v="2"/>
    <x v="2"/>
    <s v="87630                   "/>
    <x v="8"/>
    <x v="2"/>
    <x v="44"/>
  </r>
  <r>
    <x v="3"/>
    <x v="3"/>
    <x v="1924"/>
    <x v="1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7630                   "/>
    <x v="11"/>
    <x v="2"/>
    <x v="45"/>
  </r>
  <r>
    <x v="3"/>
    <x v="3"/>
    <x v="1925"/>
    <x v="1927"/>
    <n v="451.77"/>
    <n v="216.33"/>
    <n v="483.84"/>
    <n v="427.38"/>
    <n v="419.77"/>
    <n v="459"/>
    <n v="607.89"/>
    <n v="450.13"/>
    <n v="714.96"/>
    <n v="523.73"/>
    <n v="0"/>
    <n v="356.3"/>
    <n v="0"/>
    <n v="0"/>
    <n v="0"/>
    <n v="457.04"/>
    <n v="375.18"/>
    <n v="397.27"/>
    <n v="413.73"/>
    <n v="434.91"/>
    <n v="573.49"/>
    <n v="395.4"/>
    <n v="406.22"/>
    <n v="322.1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51.77"/>
    <n v="216.33"/>
    <n v="483.84"/>
    <n v="427.38"/>
    <n v="419.77"/>
    <n v="459"/>
    <n v="607.89"/>
    <n v="450.13"/>
    <n v="714.96"/>
    <n v="523.73"/>
    <n v="0"/>
    <n v="356.3"/>
    <n v="475"/>
    <n v="475"/>
    <n v="475"/>
    <n v="475"/>
    <n v="475"/>
    <n v="475"/>
    <n v="475"/>
    <n v="475"/>
    <n v="475"/>
    <n v="475"/>
    <n v="475"/>
    <n v="475"/>
    <x v="2"/>
    <x v="5"/>
    <s v="71500                   "/>
    <x v="1"/>
    <x v="2"/>
    <x v="13"/>
  </r>
  <r>
    <x v="3"/>
    <x v="3"/>
    <x v="1926"/>
    <x v="1928"/>
    <n v="0"/>
    <n v="0"/>
    <n v="966.85"/>
    <n v="0"/>
    <n v="0"/>
    <n v="900"/>
    <n v="0"/>
    <n v="752.37"/>
    <n v="0"/>
    <n v="0"/>
    <n v="110.73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500"/>
    <n v="0"/>
    <n v="0"/>
    <n v="111"/>
    <n v="250"/>
    <x v="2"/>
    <x v="5"/>
    <s v="71570                   "/>
    <x v="1"/>
    <x v="2"/>
    <x v="43"/>
  </r>
  <r>
    <x v="3"/>
    <x v="3"/>
    <x v="1927"/>
    <x v="1929"/>
    <n v="179.87"/>
    <n v="228.91"/>
    <n v="292.32"/>
    <n v="284.92"/>
    <n v="298.5"/>
    <n v="243"/>
    <n v="339.02"/>
    <n v="208.39"/>
    <n v="331"/>
    <n v="226.73"/>
    <n v="0"/>
    <n v="185.57"/>
    <n v="0"/>
    <n v="0"/>
    <n v="0"/>
    <n v="236.4"/>
    <n v="206.34"/>
    <n v="235.42"/>
    <n v="234.45"/>
    <n v="217.45"/>
    <n v="324.98"/>
    <n v="215.9"/>
    <n v="199.89"/>
    <n v="175.2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9.87"/>
    <n v="228.91"/>
    <n v="292.32"/>
    <n v="284.92"/>
    <n v="298.5"/>
    <n v="243"/>
    <n v="339.02"/>
    <n v="208.39"/>
    <n v="331"/>
    <n v="226.73"/>
    <n v="0"/>
    <n v="185.57"/>
    <n v="250"/>
    <n v="250"/>
    <n v="250"/>
    <n v="250"/>
    <n v="250"/>
    <n v="250"/>
    <n v="250"/>
    <n v="250"/>
    <n v="250"/>
    <n v="250"/>
    <n v="250"/>
    <n v="250"/>
    <x v="2"/>
    <x v="6"/>
    <s v="71500                   "/>
    <x v="1"/>
    <x v="2"/>
    <x v="13"/>
  </r>
  <r>
    <x v="3"/>
    <x v="3"/>
    <x v="1928"/>
    <x v="1930"/>
    <n v="0"/>
    <n v="4573.51"/>
    <n v="2178.2399999999998"/>
    <n v="2436.58"/>
    <n v="1716.63"/>
    <n v="2222.65"/>
    <n v="1758.25"/>
    <n v="2800.7"/>
    <n v="1647.92"/>
    <n v="1266.97"/>
    <n v="2210.48"/>
    <n v="2135.9"/>
    <n v="3470.51"/>
    <n v="-766.21"/>
    <n v="7420.73"/>
    <n v="-550.91"/>
    <n v="-1344.02"/>
    <n v="7244.35"/>
    <n v="2054.31"/>
    <n v="2453.12"/>
    <n v="2292.91"/>
    <n v="2404.88"/>
    <n v="2287.62"/>
    <n v="-2412.69"/>
    <n v="29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61.29"/>
    <n v="3058.75"/>
    <n v="3202.88"/>
    <n v="2993.36"/>
    <n v="2981.8"/>
    <n v="3334.29"/>
    <n v="3515.35"/>
    <n v="4026.27"/>
    <n v="3629.17"/>
    <n v="2184.83"/>
    <n v="2610.34"/>
    <n v="2434.27"/>
    <n v="2315.64"/>
    <n v="2315.64"/>
    <n v="2315.64"/>
    <n v="2315.64"/>
    <n v="2315.64"/>
    <n v="2315.64"/>
    <n v="2315.64"/>
    <n v="2315.64"/>
    <n v="2315.64"/>
    <n v="2315.64"/>
    <n v="2315.64"/>
    <n v="2315.64"/>
    <x v="2"/>
    <x v="6"/>
    <s v="71530                   "/>
    <x v="1"/>
    <x v="2"/>
    <x v="45"/>
  </r>
  <r>
    <x v="3"/>
    <x v="3"/>
    <x v="1929"/>
    <x v="1931"/>
    <n v="0"/>
    <n v="752.5"/>
    <n v="107.96"/>
    <n v="80.97"/>
    <n v="26.99"/>
    <n v="0"/>
    <n v="0"/>
    <n v="0"/>
    <n v="0"/>
    <n v="0"/>
    <n v="0"/>
    <n v="100"/>
    <n v="200"/>
    <n v="0"/>
    <n v="100"/>
    <n v="0"/>
    <n v="73.01000000000000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52.5"/>
    <n v="107.96"/>
    <n v="80.97"/>
    <n v="26.99"/>
    <n v="0"/>
    <n v="0"/>
    <n v="0"/>
    <n v="0"/>
    <n v="0"/>
    <n v="0"/>
    <n v="100"/>
    <n v="200"/>
    <n v="0"/>
    <n v="100"/>
    <n v="0"/>
    <n v="73.010000000000005"/>
    <n v="0"/>
    <n v="0"/>
    <n v="0"/>
    <n v="0"/>
    <n v="0"/>
    <n v="0"/>
    <n v="100"/>
    <x v="2"/>
    <x v="6"/>
    <s v="71810                   "/>
    <x v="1"/>
    <x v="2"/>
    <x v="48"/>
  </r>
  <r>
    <x v="4"/>
    <x v="4"/>
    <x v="1930"/>
    <x v="1932"/>
    <n v="0"/>
    <n v="0"/>
    <n v="0"/>
    <n v="0"/>
    <n v="0"/>
    <n v="0"/>
    <n v="0"/>
    <n v="0"/>
    <n v="0"/>
    <n v="0"/>
    <n v="0"/>
    <n v="0"/>
    <n v="89.79"/>
    <n v="68.86"/>
    <n v="55.82"/>
    <n v="68.239999999999995"/>
    <n v="69.650000000000006"/>
    <n v="62.89"/>
    <n v="122.44"/>
    <n v="33.53"/>
    <n v="33.53"/>
    <n v="32.76"/>
    <n v="13.38"/>
    <n v="33.4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4.29"/>
    <n v="87.98"/>
    <n v="19.399999999999999"/>
    <n v="57.54"/>
    <n v="127.78"/>
    <n v="76.27"/>
    <n v="76.27"/>
    <n v="57.54"/>
    <n v="0"/>
    <n v="79.040000000000006"/>
    <n v="498.45"/>
    <n v="871.15"/>
    <n v="65"/>
    <n v="65"/>
    <n v="65"/>
    <n v="65"/>
    <n v="65"/>
    <n v="65"/>
    <n v="65"/>
    <n v="65"/>
    <n v="65"/>
    <n v="65"/>
    <n v="65"/>
    <n v="65"/>
    <x v="1"/>
    <x v="3"/>
    <s v="71100                   "/>
    <x v="1"/>
    <x v="2"/>
    <x v="31"/>
  </r>
  <r>
    <x v="4"/>
    <x v="4"/>
    <x v="1930"/>
    <x v="19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100                   "/>
    <x v="1"/>
    <x v="2"/>
    <x v="31"/>
  </r>
  <r>
    <x v="4"/>
    <x v="4"/>
    <x v="1931"/>
    <x v="1933"/>
    <n v="0"/>
    <n v="0"/>
    <n v="0"/>
    <n v="0"/>
    <n v="0"/>
    <n v="0"/>
    <n v="0"/>
    <n v="0"/>
    <n v="0"/>
    <n v="0"/>
    <n v="0"/>
    <n v="0"/>
    <n v="14.34"/>
    <n v="22.93"/>
    <n v="4.7699999999999996"/>
    <n v="0.95"/>
    <n v="18.559999999999999"/>
    <n v="16.809999999999999"/>
    <n v="28.31"/>
    <n v="36.28"/>
    <n v="15.04"/>
    <n v="0.88"/>
    <n v="0"/>
    <n v="56.7"/>
    <n v="2.6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"/>
    <n v="40"/>
    <n v="40"/>
    <n v="40"/>
    <n v="40"/>
    <n v="40"/>
    <n v="40"/>
    <n v="40"/>
    <n v="40"/>
    <n v="40"/>
    <n v="40"/>
    <n v="40"/>
    <n v="30"/>
    <n v="30"/>
    <n v="30"/>
    <n v="30"/>
    <n v="30"/>
    <n v="30"/>
    <n v="30"/>
    <n v="30"/>
    <n v="30"/>
    <n v="30"/>
    <n v="30"/>
    <n v="30"/>
    <x v="1"/>
    <x v="3"/>
    <s v="71110                   "/>
    <x v="1"/>
    <x v="2"/>
    <x v="31"/>
  </r>
  <r>
    <x v="4"/>
    <x v="4"/>
    <x v="1932"/>
    <x v="1934"/>
    <n v="0"/>
    <n v="0"/>
    <n v="0"/>
    <n v="0"/>
    <n v="0"/>
    <n v="0"/>
    <n v="0"/>
    <n v="0"/>
    <n v="0"/>
    <n v="0"/>
    <n v="0"/>
    <n v="0"/>
    <n v="25.27"/>
    <n v="37.479999999999997"/>
    <n v="0"/>
    <n v="36.14"/>
    <n v="0"/>
    <n v="0"/>
    <n v="6.09"/>
    <n v="0"/>
    <n v="9.3699999999999992"/>
    <n v="27.86"/>
    <n v="0"/>
    <n v="24.18"/>
    <n v="62.5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10"/>
    <n v="10"/>
    <n v="10"/>
    <n v="10"/>
    <n v="10"/>
    <n v="10"/>
    <n v="12.5"/>
    <n v="12.5"/>
    <n v="12.5"/>
    <n v="12.5"/>
    <n v="12.5"/>
    <n v="12.5"/>
    <n v="12.5"/>
    <n v="12.5"/>
    <n v="12.5"/>
    <n v="12.5"/>
    <n v="12.5"/>
    <n v="12.5"/>
    <x v="1"/>
    <x v="3"/>
    <s v="71120                   "/>
    <x v="1"/>
    <x v="2"/>
    <x v="31"/>
  </r>
  <r>
    <x v="4"/>
    <x v="4"/>
    <x v="1933"/>
    <x v="1935"/>
    <n v="0"/>
    <n v="0"/>
    <n v="0"/>
    <n v="0"/>
    <n v="0"/>
    <n v="0"/>
    <n v="0"/>
    <n v="0"/>
    <n v="0"/>
    <n v="0"/>
    <n v="0"/>
    <n v="0"/>
    <n v="71.430000000000007"/>
    <n v="607.14"/>
    <n v="371.43"/>
    <n v="207.14"/>
    <n v="500.35"/>
    <n v="371.43"/>
    <n v="692.86"/>
    <n v="500"/>
    <n v="892.86"/>
    <n v="607.14"/>
    <n v="535.71"/>
    <n v="107.15"/>
    <n v="357.1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0"/>
    <n v="1000"/>
    <n v="1000"/>
    <n v="1000"/>
    <n v="1000"/>
    <n v="1000"/>
    <n v="1000"/>
    <n v="1000"/>
    <n v="1000"/>
    <n v="1000"/>
    <n v="1000"/>
    <n v="1000"/>
    <n v="500"/>
    <n v="500"/>
    <n v="500"/>
    <n v="500"/>
    <n v="500"/>
    <n v="500"/>
    <n v="500"/>
    <n v="500"/>
    <n v="500"/>
    <n v="500"/>
    <n v="500"/>
    <n v="500"/>
    <x v="1"/>
    <x v="3"/>
    <s v="71130                   "/>
    <x v="1"/>
    <x v="2"/>
    <x v="31"/>
  </r>
  <r>
    <x v="4"/>
    <x v="4"/>
    <x v="1933"/>
    <x v="1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130                   "/>
    <x v="1"/>
    <x v="2"/>
    <x v="2"/>
  </r>
  <r>
    <x v="4"/>
    <x v="4"/>
    <x v="1934"/>
    <x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140                   "/>
    <x v="1"/>
    <x v="2"/>
    <x v="31"/>
  </r>
  <r>
    <x v="4"/>
    <x v="4"/>
    <x v="1934"/>
    <x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140                   "/>
    <x v="1"/>
    <x v="2"/>
    <x v="31"/>
  </r>
  <r>
    <x v="4"/>
    <x v="4"/>
    <x v="1935"/>
    <x v="1937"/>
    <n v="0"/>
    <n v="0"/>
    <n v="0"/>
    <n v="0"/>
    <n v="0"/>
    <n v="0"/>
    <n v="0"/>
    <n v="0"/>
    <n v="0"/>
    <n v="0"/>
    <n v="0"/>
    <n v="0"/>
    <n v="459.22"/>
    <n v="459.22"/>
    <n v="459.22"/>
    <n v="459.22"/>
    <n v="459.22"/>
    <n v="459.22"/>
    <n v="459.22"/>
    <n v="459.22"/>
    <n v="459.22"/>
    <n v="459.22"/>
    <n v="459.22"/>
    <n v="459.22"/>
    <n v="459.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.22"/>
    <n v="459.22"/>
    <n v="459.22"/>
    <n v="459.22"/>
    <n v="459.22"/>
    <n v="459.22"/>
    <n v="459.22"/>
    <n v="459.22"/>
    <n v="459.22"/>
    <n v="459.22"/>
    <n v="459.22"/>
    <n v="459.22"/>
    <x v="1"/>
    <x v="3"/>
    <s v="71160                   "/>
    <x v="1"/>
    <x v="2"/>
    <x v="31"/>
  </r>
  <r>
    <x v="4"/>
    <x v="4"/>
    <x v="1935"/>
    <x v="19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160                   "/>
    <x v="1"/>
    <x v="2"/>
    <x v="31"/>
  </r>
  <r>
    <x v="4"/>
    <x v="4"/>
    <x v="1936"/>
    <x v="1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170                   "/>
    <x v="1"/>
    <x v="2"/>
    <x v="31"/>
  </r>
  <r>
    <x v="4"/>
    <x v="4"/>
    <x v="1937"/>
    <x v="1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180                   "/>
    <x v="1"/>
    <x v="2"/>
    <x v="31"/>
  </r>
  <r>
    <x v="4"/>
    <x v="4"/>
    <x v="1938"/>
    <x v="1940"/>
    <n v="0"/>
    <n v="0"/>
    <n v="0"/>
    <n v="0"/>
    <n v="0"/>
    <n v="0"/>
    <n v="0"/>
    <n v="0"/>
    <n v="0"/>
    <n v="0"/>
    <n v="0"/>
    <n v="0"/>
    <n v="29.28"/>
    <n v="2891.17"/>
    <n v="1607.83"/>
    <n v="1533.27"/>
    <n v="1401.67"/>
    <n v="1322.53"/>
    <n v="1023.5"/>
    <n v="1400.66"/>
    <n v="1160.3800000000001"/>
    <n v="1219.25"/>
    <n v="968.56"/>
    <n v="1548.42"/>
    <n v="1548.3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03.72"/>
    <n v="1403.72"/>
    <n v="1403.72"/>
    <n v="1403.72"/>
    <n v="1403.72"/>
    <n v="1603.72"/>
    <n v="1603.72"/>
    <n v="1603.72"/>
    <n v="1603.72"/>
    <n v="1603.72"/>
    <n v="1603.72"/>
    <n v="1603.72"/>
    <n v="1700"/>
    <n v="1700"/>
    <n v="1700"/>
    <n v="1700"/>
    <n v="1700"/>
    <n v="1700"/>
    <n v="1700"/>
    <n v="1700"/>
    <n v="1700"/>
    <n v="1700"/>
    <n v="1700"/>
    <n v="1700"/>
    <x v="2"/>
    <x v="4"/>
    <s v="71100                   "/>
    <x v="1"/>
    <x v="2"/>
    <x v="39"/>
  </r>
  <r>
    <x v="4"/>
    <x v="4"/>
    <x v="1939"/>
    <x v="1941"/>
    <n v="0"/>
    <n v="0"/>
    <n v="0"/>
    <n v="0"/>
    <n v="0"/>
    <n v="0"/>
    <n v="0"/>
    <n v="0"/>
    <n v="0"/>
    <n v="0"/>
    <n v="0"/>
    <n v="0"/>
    <n v="0"/>
    <n v="64.989999999999995"/>
    <n v="34.130000000000003"/>
    <n v="26.28"/>
    <n v="39.61"/>
    <n v="38.270000000000003"/>
    <n v="24.56"/>
    <n v="38.270000000000003"/>
    <n v="10.62"/>
    <n v="40.26"/>
    <n v="62.84"/>
    <n v="81.3"/>
    <n v="60.4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.200000000000003"/>
    <n v="37.200000000000003"/>
    <n v="37.200000000000003"/>
    <n v="37.200000000000003"/>
    <n v="37.200000000000003"/>
    <n v="37.200000000000003"/>
    <n v="37.200000000000003"/>
    <n v="37.200000000000003"/>
    <n v="37.200000000000003"/>
    <n v="37.200000000000003"/>
    <n v="37.200000000000003"/>
    <n v="37.200000000000003"/>
    <n v="50"/>
    <n v="50"/>
    <n v="50"/>
    <n v="50"/>
    <n v="50"/>
    <n v="50"/>
    <n v="50"/>
    <n v="50"/>
    <n v="50"/>
    <n v="50"/>
    <n v="50"/>
    <n v="50"/>
    <x v="2"/>
    <x v="4"/>
    <s v="71110                   "/>
    <x v="1"/>
    <x v="2"/>
    <x v="42"/>
  </r>
  <r>
    <x v="4"/>
    <x v="4"/>
    <x v="1940"/>
    <x v="1942"/>
    <n v="0"/>
    <n v="0"/>
    <n v="0"/>
    <n v="0"/>
    <n v="0"/>
    <n v="0"/>
    <n v="0"/>
    <n v="0"/>
    <n v="0"/>
    <n v="0"/>
    <n v="0"/>
    <n v="0"/>
    <n v="0"/>
    <n v="7.66"/>
    <n v="43.42"/>
    <n v="54.06"/>
    <n v="118.23"/>
    <n v="26.22"/>
    <n v="3.55"/>
    <n v="6.07"/>
    <n v="44.86"/>
    <n v="3.55"/>
    <n v="3.75"/>
    <n v="3.75"/>
    <n v="98.2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.61"/>
    <n v="17.61"/>
    <n v="17.61"/>
    <n v="17.61"/>
    <n v="17.61"/>
    <n v="17.61"/>
    <n v="17.61"/>
    <n v="17.61"/>
    <n v="17.61"/>
    <n v="17.61"/>
    <n v="17.61"/>
    <n v="17.61"/>
    <n v="40"/>
    <n v="40"/>
    <n v="40"/>
    <n v="40"/>
    <n v="40"/>
    <n v="40"/>
    <n v="40"/>
    <n v="40"/>
    <n v="40"/>
    <n v="40"/>
    <n v="40"/>
    <n v="40"/>
    <x v="2"/>
    <x v="4"/>
    <s v="71120                   "/>
    <x v="1"/>
    <x v="2"/>
    <x v="42"/>
  </r>
  <r>
    <x v="4"/>
    <x v="4"/>
    <x v="1941"/>
    <x v="1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1100                   "/>
    <x v="11"/>
    <x v="2"/>
    <x v="2"/>
  </r>
  <r>
    <x v="4"/>
    <x v="4"/>
    <x v="1941"/>
    <x v="1943"/>
    <n v="0"/>
    <n v="0"/>
    <n v="0"/>
    <n v="0"/>
    <n v="0"/>
    <n v="0"/>
    <n v="0"/>
    <n v="0"/>
    <n v="0"/>
    <n v="0"/>
    <n v="0"/>
    <n v="0"/>
    <n v="2676.1"/>
    <n v="2666.16"/>
    <n v="2676.1"/>
    <n v="2676.1"/>
    <n v="2618.85"/>
    <n v="2644.23"/>
    <n v="2676.1"/>
    <n v="2676.1"/>
    <n v="2676.1"/>
    <n v="2676.1"/>
    <n v="2606.38"/>
    <n v="2521.2199999999998"/>
    <n v="2676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00"/>
    <n v="2800"/>
    <n v="2800"/>
    <n v="2800"/>
    <n v="2800"/>
    <n v="2800"/>
    <n v="2800"/>
    <n v="2800"/>
    <n v="2800"/>
    <n v="2800"/>
    <n v="2800"/>
    <n v="2800"/>
    <n v="4076.1"/>
    <n v="4066.16"/>
    <n v="4076.18"/>
    <n v="4076.1"/>
    <n v="4018.85"/>
    <n v="4044.23"/>
    <n v="4076.1"/>
    <n v="4076.1"/>
    <n v="4200"/>
    <n v="4200"/>
    <n v="4200"/>
    <n v="4200"/>
    <x v="2"/>
    <x v="2"/>
    <s v="71100                   "/>
    <x v="11"/>
    <x v="2"/>
    <x v="45"/>
  </r>
  <r>
    <x v="4"/>
    <x v="4"/>
    <x v="1942"/>
    <x v="1944"/>
    <n v="0"/>
    <n v="0"/>
    <n v="0"/>
    <n v="0"/>
    <n v="0"/>
    <n v="0"/>
    <n v="0"/>
    <n v="0"/>
    <n v="0"/>
    <n v="0"/>
    <n v="0"/>
    <n v="0"/>
    <n v="8.1199999999999992"/>
    <n v="10.71"/>
    <n v="28.67"/>
    <n v="10.9"/>
    <n v="1.67"/>
    <n v="8.85"/>
    <n v="41.99"/>
    <n v="24.42"/>
    <n v="6.19"/>
    <n v="45.93"/>
    <n v="45.88"/>
    <n v="19.96"/>
    <n v="77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"/>
    <n v="55"/>
    <n v="55"/>
    <n v="55"/>
    <n v="55"/>
    <n v="55"/>
    <n v="55"/>
    <n v="55"/>
    <n v="55"/>
    <n v="55"/>
    <n v="55"/>
    <n v="55"/>
    <n v="13.12"/>
    <n v="15.71"/>
    <n v="48.67"/>
    <n v="15.9"/>
    <n v="6.67"/>
    <n v="13.85"/>
    <n v="46.99"/>
    <n v="49.42"/>
    <n v="35"/>
    <n v="20"/>
    <n v="17"/>
    <n v="20"/>
    <x v="2"/>
    <x v="2"/>
    <s v="71110                   "/>
    <x v="11"/>
    <x v="2"/>
    <x v="45"/>
  </r>
  <r>
    <x v="4"/>
    <x v="4"/>
    <x v="1943"/>
    <x v="1945"/>
    <n v="0"/>
    <n v="0"/>
    <n v="0"/>
    <n v="0"/>
    <n v="0"/>
    <n v="0"/>
    <n v="0"/>
    <n v="0"/>
    <n v="0"/>
    <n v="0"/>
    <n v="0"/>
    <n v="0"/>
    <n v="144.52000000000001"/>
    <n v="241.66"/>
    <n v="202.79"/>
    <n v="272.64999999999998"/>
    <n v="111.92"/>
    <n v="217.17"/>
    <n v="151.19"/>
    <n v="125.87"/>
    <n v="130.80000000000001"/>
    <n v="137.54"/>
    <n v="171.62"/>
    <n v="95.99"/>
    <n v="87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.52"/>
    <n v="291.66000000000003"/>
    <n v="252.79"/>
    <n v="322.64999999999998"/>
    <n v="161.91999999999999"/>
    <n v="267.17"/>
    <n v="201.19"/>
    <n v="175.87"/>
    <n v="200"/>
    <n v="225"/>
    <n v="205"/>
    <n v="230"/>
    <x v="2"/>
    <x v="2"/>
    <s v="71120                   "/>
    <x v="11"/>
    <x v="2"/>
    <x v="45"/>
  </r>
  <r>
    <x v="4"/>
    <x v="4"/>
    <x v="1944"/>
    <x v="1946"/>
    <n v="0"/>
    <n v="0"/>
    <n v="0"/>
    <n v="0"/>
    <n v="0"/>
    <n v="0"/>
    <n v="0"/>
    <n v="0"/>
    <n v="0"/>
    <n v="0"/>
    <n v="0"/>
    <n v="0"/>
    <n v="1104.68"/>
    <n v="857.6"/>
    <n v="1238.6099999999999"/>
    <n v="1311.28"/>
    <n v="1484.23"/>
    <n v="1458.91"/>
    <n v="1423.06"/>
    <n v="1328.12"/>
    <n v="1686.9"/>
    <n v="1620.52"/>
    <n v="1436.78"/>
    <n v="1185.0899999999999"/>
    <n v="1504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1104.68"/>
    <n v="857.6"/>
    <n v="1238.6099999999999"/>
    <n v="1311.28"/>
    <n v="1484.23"/>
    <n v="1458.91"/>
    <n v="1423.06"/>
    <n v="1243.82"/>
    <n v="1145"/>
    <n v="1060"/>
    <n v="1065"/>
    <n v="1180"/>
    <x v="2"/>
    <x v="2"/>
    <s v="72140                   "/>
    <x v="11"/>
    <x v="2"/>
    <x v="45"/>
  </r>
  <r>
    <x v="4"/>
    <x v="4"/>
    <x v="1945"/>
    <x v="1947"/>
    <n v="0"/>
    <n v="0"/>
    <n v="0"/>
    <n v="0"/>
    <n v="0"/>
    <n v="0"/>
    <n v="0"/>
    <n v="0"/>
    <n v="0"/>
    <n v="0"/>
    <n v="0"/>
    <n v="0"/>
    <n v="19.690000000000001"/>
    <n v="14.06"/>
    <n v="51.82"/>
    <n v="85.99"/>
    <n v="9.64"/>
    <n v="16.87"/>
    <n v="6.57"/>
    <n v="232.64"/>
    <n v="8.84"/>
    <n v="36.159999999999997"/>
    <n v="10.68"/>
    <n v="215.84"/>
    <n v="34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50"/>
    <n v="50"/>
    <n v="50"/>
    <n v="100"/>
    <n v="50"/>
    <n v="50"/>
    <n v="50"/>
    <n v="100"/>
    <n v="50"/>
    <n v="50"/>
    <n v="50"/>
    <n v="100"/>
    <x v="2"/>
    <x v="2"/>
    <s v="72140                   "/>
    <x v="15"/>
    <x v="2"/>
    <x v="50"/>
  </r>
  <r>
    <x v="4"/>
    <x v="4"/>
    <x v="1946"/>
    <x v="1948"/>
    <n v="0"/>
    <n v="0"/>
    <n v="0"/>
    <n v="0"/>
    <n v="0"/>
    <n v="0"/>
    <n v="0"/>
    <n v="0"/>
    <n v="0"/>
    <n v="0"/>
    <n v="0"/>
    <n v="0"/>
    <n v="1000"/>
    <n v="1000"/>
    <n v="2000"/>
    <n v="0"/>
    <n v="1000"/>
    <n v="1000"/>
    <n v="1000"/>
    <n v="1000"/>
    <n v="1000"/>
    <n v="1000"/>
    <n v="1000"/>
    <n v="1000"/>
    <n v="1000"/>
    <n v="100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x v="2"/>
    <x v="2"/>
    <s v="72160                   "/>
    <x v="11"/>
    <x v="2"/>
    <x v="45"/>
  </r>
  <r>
    <x v="4"/>
    <x v="4"/>
    <x v="1947"/>
    <x v="1949"/>
    <n v="0"/>
    <n v="0"/>
    <n v="0"/>
    <n v="0"/>
    <n v="0"/>
    <n v="0"/>
    <n v="0"/>
    <n v="0"/>
    <n v="0"/>
    <n v="0"/>
    <n v="0"/>
    <n v="0"/>
    <n v="115.65"/>
    <n v="126.16"/>
    <n v="137.81"/>
    <n v="146.28"/>
    <n v="129.03"/>
    <n v="106.19"/>
    <n v="116.9"/>
    <n v="114.34"/>
    <n v="103.54"/>
    <n v="116.95"/>
    <n v="92.96"/>
    <n v="102.79"/>
    <n v="123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65"/>
    <n v="126.16"/>
    <n v="137.81"/>
    <n v="146.28"/>
    <n v="129.03"/>
    <n v="106.19"/>
    <n v="116.9"/>
    <n v="114.34"/>
    <n v="124"/>
    <n v="124"/>
    <n v="124"/>
    <n v="124"/>
    <x v="2"/>
    <x v="2"/>
    <s v="72190                   "/>
    <x v="11"/>
    <x v="2"/>
    <x v="45"/>
  </r>
  <r>
    <x v="4"/>
    <x v="4"/>
    <x v="1948"/>
    <x v="1950"/>
    <n v="0"/>
    <n v="0"/>
    <n v="0"/>
    <n v="0"/>
    <n v="0"/>
    <n v="0"/>
    <n v="0"/>
    <n v="0"/>
    <n v="0"/>
    <n v="0"/>
    <n v="0"/>
    <n v="0"/>
    <n v="17.2"/>
    <n v="40.14"/>
    <n v="0"/>
    <n v="5.73"/>
    <n v="11.47"/>
    <n v="0"/>
    <n v="5.31"/>
    <n v="10.6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"/>
    <n v="67"/>
    <n v="67"/>
    <n v="67"/>
    <n v="67"/>
    <n v="67"/>
    <n v="67"/>
    <n v="67"/>
    <n v="67"/>
    <n v="67"/>
    <n v="67"/>
    <n v="67"/>
    <n v="17.2"/>
    <n v="40.14"/>
    <n v="0"/>
    <n v="15.73"/>
    <n v="11.47"/>
    <n v="0"/>
    <n v="15.31"/>
    <n v="10.62"/>
    <n v="10"/>
    <n v="0"/>
    <n v="5"/>
    <n v="0"/>
    <x v="2"/>
    <x v="2"/>
    <s v="72210                   "/>
    <x v="11"/>
    <x v="2"/>
    <x v="45"/>
  </r>
  <r>
    <x v="4"/>
    <x v="4"/>
    <x v="1949"/>
    <x v="1951"/>
    <n v="0"/>
    <n v="0"/>
    <n v="0"/>
    <n v="0"/>
    <n v="0"/>
    <n v="0"/>
    <n v="0"/>
    <n v="0"/>
    <n v="0"/>
    <n v="0"/>
    <n v="0"/>
    <n v="0"/>
    <n v="0"/>
    <n v="0"/>
    <n v="38.26"/>
    <n v="0"/>
    <n v="0"/>
    <n v="0"/>
    <n v="5.2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10"/>
    <n v="10"/>
    <n v="10"/>
    <n v="10"/>
    <n v="10"/>
    <n v="10"/>
    <x v="2"/>
    <x v="2"/>
    <s v="72210                   "/>
    <x v="15"/>
    <x v="2"/>
    <x v="50"/>
  </r>
  <r>
    <x v="4"/>
    <x v="4"/>
    <x v="1950"/>
    <x v="1952"/>
    <n v="0"/>
    <n v="0"/>
    <n v="0"/>
    <n v="0"/>
    <n v="0"/>
    <n v="0"/>
    <n v="0"/>
    <n v="0"/>
    <n v="0"/>
    <n v="0"/>
    <n v="0"/>
    <n v="0"/>
    <n v="59.86"/>
    <n v="32.61"/>
    <n v="0"/>
    <n v="0"/>
    <n v="0"/>
    <n v="0"/>
    <n v="21.5"/>
    <n v="25.24"/>
    <n v="0"/>
    <n v="0"/>
    <n v="0"/>
    <n v="0"/>
    <n v="55.5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86"/>
    <n v="32.61"/>
    <n v="0"/>
    <n v="0"/>
    <n v="0"/>
    <n v="0"/>
    <n v="21.5"/>
    <n v="25.24"/>
    <n v="0"/>
    <n v="0"/>
    <n v="0"/>
    <n v="0"/>
    <x v="2"/>
    <x v="2"/>
    <s v="72220                   "/>
    <x v="11"/>
    <x v="2"/>
    <x v="45"/>
  </r>
  <r>
    <x v="4"/>
    <x v="4"/>
    <x v="1951"/>
    <x v="1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  <n v="5"/>
    <n v="5"/>
    <n v="5"/>
    <x v="2"/>
    <x v="2"/>
    <s v="72220                   "/>
    <x v="15"/>
    <x v="2"/>
    <x v="50"/>
  </r>
  <r>
    <x v="5"/>
    <x v="5"/>
    <x v="1952"/>
    <x v="1954"/>
    <n v="0"/>
    <n v="0"/>
    <n v="0"/>
    <n v="0"/>
    <n v="0"/>
    <n v="0"/>
    <n v="0"/>
    <n v="0"/>
    <n v="0"/>
    <n v="0"/>
    <n v="0"/>
    <n v="0"/>
    <n v="0"/>
    <n v="0"/>
    <n v="0"/>
    <n v="0"/>
    <n v="0"/>
    <n v="212.55"/>
    <n v="0"/>
    <n v="0"/>
    <n v="0"/>
    <n v="0"/>
    <n v="0"/>
    <n v="1011.6"/>
    <n v="-1224.15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3"/>
    <s v="71210                   "/>
    <x v="1"/>
    <x v="2"/>
    <x v="52"/>
  </r>
  <r>
    <x v="5"/>
    <x v="5"/>
    <x v="1952"/>
    <x v="1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210                   "/>
    <x v="1"/>
    <x v="2"/>
    <x v="2"/>
  </r>
  <r>
    <x v="5"/>
    <x v="5"/>
    <x v="1952"/>
    <x v="1954"/>
    <n v="0"/>
    <n v="1177.8"/>
    <n v="1000"/>
    <n v="-3350.56"/>
    <n v="0"/>
    <n v="3412.07"/>
    <n v="0"/>
    <n v="200"/>
    <n v="228.27"/>
    <n v="0"/>
    <n v="0"/>
    <n v="-29054.51"/>
    <n v="-311.26"/>
    <n v="0"/>
    <n v="0"/>
    <n v="-2468.2600000000002"/>
    <n v="-193.4"/>
    <n v="8228.7900000000009"/>
    <n v="38.19"/>
    <n v="2163.7199999999998"/>
    <n v="136.12"/>
    <n v="0"/>
    <n v="0"/>
    <n v="59060.4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799.15"/>
    <n v="878.52"/>
    <n v="990.13"/>
    <n v="886.04"/>
    <n v="972.8"/>
    <n v="1017.64"/>
    <n v="953.2"/>
    <n v="835.88"/>
    <n v="1038.6199999999999"/>
    <n v="678.13"/>
    <n v="690.7"/>
    <n v="734.97"/>
    <x v="2"/>
    <x v="3"/>
    <s v="71210                   "/>
    <x v="1"/>
    <x v="2"/>
    <x v="52"/>
  </r>
  <r>
    <x v="5"/>
    <x v="5"/>
    <x v="1952"/>
    <x v="1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10                   "/>
    <x v="1"/>
    <x v="2"/>
    <x v="52"/>
  </r>
  <r>
    <x v="5"/>
    <x v="5"/>
    <x v="1952"/>
    <x v="1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10                   "/>
    <x v="1"/>
    <x v="2"/>
    <x v="52"/>
  </r>
  <r>
    <x v="5"/>
    <x v="5"/>
    <x v="1952"/>
    <x v="19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10                   "/>
    <x v="1"/>
    <x v="2"/>
    <x v="2"/>
  </r>
  <r>
    <x v="5"/>
    <x v="5"/>
    <x v="1952"/>
    <x v="1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10                   "/>
    <x v="1"/>
    <x v="2"/>
    <x v="52"/>
  </r>
  <r>
    <x v="6"/>
    <x v="6"/>
    <x v="1953"/>
    <x v="1959"/>
    <n v="229.33"/>
    <n v="176.66"/>
    <n v="178.2"/>
    <n v="259.97000000000003"/>
    <n v="407.57"/>
    <n v="449.77"/>
    <n v="258.14"/>
    <n v="174.84"/>
    <n v="593.16999999999996"/>
    <n v="41.65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7.44"/>
    <n v="147.96"/>
    <n v="147.96"/>
    <n v="147.96"/>
    <n v="147.96"/>
    <n v="168.08"/>
    <n v="168.08"/>
    <n v="168.08"/>
    <n v="168.08"/>
    <n v="123.45"/>
    <n v="123.45"/>
    <n v="137.44"/>
    <n v="0"/>
    <n v="0"/>
    <n v="0"/>
    <n v="0"/>
    <n v="0"/>
    <n v="0"/>
    <n v="0"/>
    <n v="0"/>
    <n v="0"/>
    <n v="0"/>
    <n v="0"/>
    <n v="0"/>
    <x v="2"/>
    <x v="2"/>
    <s v="71470                   "/>
    <x v="2"/>
    <x v="3"/>
    <x v="50"/>
  </r>
  <r>
    <x v="6"/>
    <x v="6"/>
    <x v="1954"/>
    <x v="1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0"/>
    <x v="50"/>
  </r>
  <r>
    <x v="6"/>
    <x v="6"/>
    <x v="1955"/>
    <x v="1961"/>
    <n v="243.86"/>
    <n v="249.18"/>
    <n v="191.61"/>
    <n v="313.56"/>
    <n v="209.04"/>
    <n v="339.69"/>
    <n v="191.62"/>
    <n v="148.07"/>
    <n v="217.74"/>
    <n v="26.13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6"/>
    <n v="118"/>
    <n v="118"/>
    <n v="188.8"/>
    <n v="118"/>
    <n v="236"/>
    <n v="212.4"/>
    <n v="165.2"/>
    <n v="118"/>
    <n v="47.2"/>
    <n v="61.36"/>
    <n v="61.36"/>
    <n v="0"/>
    <n v="0"/>
    <n v="0"/>
    <n v="0"/>
    <n v="0"/>
    <n v="0"/>
    <n v="0"/>
    <n v="0"/>
    <n v="0"/>
    <n v="0"/>
    <n v="0"/>
    <n v="0"/>
    <x v="2"/>
    <x v="2"/>
    <s v="71470                   "/>
    <x v="2"/>
    <x v="1"/>
    <x v="50"/>
  </r>
  <r>
    <x v="6"/>
    <x v="6"/>
    <x v="1956"/>
    <x v="19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7"/>
    <x v="50"/>
  </r>
  <r>
    <x v="6"/>
    <x v="6"/>
    <x v="1957"/>
    <x v="1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8"/>
    <x v="50"/>
  </r>
  <r>
    <x v="6"/>
    <x v="6"/>
    <x v="1958"/>
    <x v="1964"/>
    <n v="16.71"/>
    <n v="18.559999999999999"/>
    <n v="22.28"/>
    <n v="3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9"/>
    <x v="50"/>
  </r>
  <r>
    <x v="6"/>
    <x v="6"/>
    <x v="1959"/>
    <x v="1965"/>
    <n v="60.56"/>
    <n v="52.99"/>
    <n v="60.56"/>
    <n v="60.56"/>
    <n v="52.99"/>
    <n v="30.28"/>
    <n v="189.24"/>
    <n v="105.98"/>
    <n v="90.84"/>
    <n v="7.5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10"/>
    <x v="50"/>
  </r>
  <r>
    <x v="6"/>
    <x v="6"/>
    <x v="1960"/>
    <x v="1966"/>
    <n v="0"/>
    <n v="0"/>
    <n v="0"/>
    <n v="0"/>
    <n v="0"/>
    <n v="27.95"/>
    <n v="195.63"/>
    <n v="614.85"/>
    <n v="41.93"/>
    <n v="13.98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6"/>
    <n v="126"/>
    <n v="126"/>
    <n v="126"/>
    <n v="168"/>
    <n v="252"/>
    <n v="420"/>
    <n v="294"/>
    <n v="126"/>
    <n v="84"/>
    <n v="126"/>
    <n v="126"/>
    <n v="0"/>
    <n v="0"/>
    <n v="0"/>
    <n v="0"/>
    <n v="0"/>
    <n v="0"/>
    <n v="0"/>
    <n v="0"/>
    <n v="0"/>
    <n v="0"/>
    <n v="0"/>
    <n v="0"/>
    <x v="2"/>
    <x v="2"/>
    <s v="71470                   "/>
    <x v="2"/>
    <x v="11"/>
    <x v="50"/>
  </r>
  <r>
    <x v="6"/>
    <x v="6"/>
    <x v="1961"/>
    <x v="1967"/>
    <n v="237.23"/>
    <n v="237.23"/>
    <n v="207.58"/>
    <n v="326.2"/>
    <n v="296.55"/>
    <n v="489.29"/>
    <n v="429.98"/>
    <n v="341.02"/>
    <n v="489.29"/>
    <n v="14.83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8"/>
    <n v="128"/>
    <n v="128"/>
    <n v="128"/>
    <n v="128"/>
    <n v="224"/>
    <n v="288"/>
    <n v="320"/>
    <n v="256"/>
    <n v="96"/>
    <n v="128"/>
    <n v="128"/>
    <n v="0"/>
    <n v="0"/>
    <n v="0"/>
    <n v="0"/>
    <n v="0"/>
    <n v="0"/>
    <n v="0"/>
    <n v="0"/>
    <n v="0"/>
    <n v="0"/>
    <n v="0"/>
    <n v="0"/>
    <x v="2"/>
    <x v="2"/>
    <s v="71470                   "/>
    <x v="2"/>
    <x v="12"/>
    <x v="50"/>
  </r>
  <r>
    <x v="6"/>
    <x v="6"/>
    <x v="1962"/>
    <x v="1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13"/>
    <x v="50"/>
  </r>
  <r>
    <x v="6"/>
    <x v="6"/>
    <x v="1963"/>
    <x v="1969"/>
    <n v="41.93"/>
    <n v="27.94"/>
    <n v="0"/>
    <n v="48.9"/>
    <n v="0"/>
    <n v="0"/>
    <n v="27.95"/>
    <n v="0"/>
    <n v="6.9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.08"/>
    <n v="31.08"/>
    <n v="31.08"/>
    <n v="31.08"/>
    <n v="31.08"/>
    <n v="31.08"/>
    <n v="31.08"/>
    <n v="31.08"/>
    <n v="31.08"/>
    <n v="31.08"/>
    <n v="31.08"/>
    <n v="31.08"/>
    <n v="0"/>
    <n v="0"/>
    <n v="0"/>
    <n v="0"/>
    <n v="0"/>
    <n v="0"/>
    <n v="0"/>
    <n v="0"/>
    <n v="0"/>
    <n v="0"/>
    <n v="0"/>
    <n v="0"/>
    <x v="2"/>
    <x v="2"/>
    <s v="71470                   "/>
    <x v="2"/>
    <x v="15"/>
    <x v="50"/>
  </r>
  <r>
    <x v="6"/>
    <x v="6"/>
    <x v="1964"/>
    <x v="19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16"/>
    <x v="50"/>
  </r>
  <r>
    <x v="6"/>
    <x v="6"/>
    <x v="1965"/>
    <x v="1971"/>
    <n v="16.39"/>
    <n v="7.01"/>
    <n v="4.68"/>
    <n v="4.68"/>
    <n v="11.69"/>
    <n v="2.34"/>
    <n v="4.68"/>
    <n v="2.34"/>
    <n v="11.6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"/>
    <x v="17"/>
    <x v="50"/>
  </r>
  <r>
    <x v="6"/>
    <x v="6"/>
    <x v="1966"/>
    <x v="1972"/>
    <n v="97.52"/>
    <n v="41.81"/>
    <n v="272.92"/>
    <n v="81.25"/>
    <n v="3.81"/>
    <n v="83.15"/>
    <n v="714.86"/>
    <n v="169.05"/>
    <n v="362.29"/>
    <n v="225.92"/>
    <n v="0"/>
    <n v="105.79"/>
    <n v="-31.15"/>
    <n v="30.78"/>
    <n v="2349.7199999999998"/>
    <n v="46.86"/>
    <n v="10.95"/>
    <n v="63.85"/>
    <n v="186.93"/>
    <n v="50.44"/>
    <n v="295.12"/>
    <n v="357.72"/>
    <n v="257.57"/>
    <n v="21.9"/>
    <n v="552.0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7.52"/>
    <n v="41.81"/>
    <n v="272.92"/>
    <n v="81.25"/>
    <n v="3.81"/>
    <n v="83.15"/>
    <n v="714.86"/>
    <n v="169.05"/>
    <n v="362.29"/>
    <n v="225.92"/>
    <n v="0"/>
    <n v="105.79"/>
    <n v="21.91"/>
    <n v="32.86"/>
    <n v="24.96"/>
    <n v="195.89"/>
    <n v="125.68"/>
    <n v="227.23"/>
    <n v="451.67"/>
    <n v="98.21"/>
    <n v="412.86"/>
    <n v="55.05"/>
    <n v="119.09"/>
    <n v="99.39"/>
    <x v="2"/>
    <x v="2"/>
    <s v="71470                   "/>
    <x v="3"/>
    <x v="3"/>
    <x v="53"/>
  </r>
  <r>
    <x v="6"/>
    <x v="6"/>
    <x v="1967"/>
    <x v="1973"/>
    <n v="386.88"/>
    <n v="471.44"/>
    <n v="1165.54"/>
    <n v="914.9"/>
    <n v="796.22"/>
    <n v="922.46"/>
    <n v="833.61"/>
    <n v="1189.58"/>
    <n v="1358.85"/>
    <n v="893.53"/>
    <n v="361.99"/>
    <n v="939.64"/>
    <n v="485.78"/>
    <n v="468.36"/>
    <n v="267.7"/>
    <n v="1213.53"/>
    <n v="540.97"/>
    <n v="1020.63"/>
    <n v="862.89"/>
    <n v="719.67"/>
    <n v="1780.98"/>
    <n v="1131.26"/>
    <n v="1993.73"/>
    <n v="1157.17"/>
    <n v="1217.4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6.88"/>
    <n v="471.44"/>
    <n v="1165.54"/>
    <n v="914.9"/>
    <n v="796.22"/>
    <n v="922.46"/>
    <n v="833.61"/>
    <n v="1189.58"/>
    <n v="1358.85"/>
    <n v="893.53"/>
    <n v="361.99"/>
    <n v="939.64"/>
    <n v="781.35"/>
    <n v="1056.76"/>
    <n v="948.81"/>
    <n v="1112.98"/>
    <n v="1242.32"/>
    <n v="1669.65"/>
    <n v="1009.28"/>
    <n v="1331.41"/>
    <n v="1670.3"/>
    <n v="490.09"/>
    <n v="1037.6099999999999"/>
    <n v="869.43"/>
    <x v="2"/>
    <x v="2"/>
    <s v="71470                   "/>
    <x v="3"/>
    <x v="4"/>
    <x v="53"/>
  </r>
  <r>
    <x v="6"/>
    <x v="6"/>
    <x v="1968"/>
    <x v="19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3"/>
    <x v="5"/>
    <x v="53"/>
  </r>
  <r>
    <x v="6"/>
    <x v="6"/>
    <x v="1969"/>
    <x v="1975"/>
    <n v="13.54"/>
    <n v="0"/>
    <n v="62.65"/>
    <n v="0"/>
    <n v="9.3800000000000008"/>
    <n v="172.59"/>
    <n v="52.03"/>
    <n v="69.42"/>
    <n v="245.97"/>
    <n v="73.12"/>
    <n v="79.150000000000006"/>
    <n v="46.59"/>
    <n v="49.65"/>
    <n v="157.85"/>
    <n v="80.62"/>
    <n v="127.36"/>
    <n v="0"/>
    <n v="148.81"/>
    <n v="341.12"/>
    <n v="0"/>
    <n v="242.27"/>
    <n v="181.12"/>
    <n v="20.8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.54"/>
    <n v="0"/>
    <n v="62.65"/>
    <n v="0"/>
    <n v="9.3800000000000008"/>
    <n v="172.59"/>
    <n v="52.03"/>
    <n v="69.42"/>
    <n v="245.97"/>
    <n v="73.12"/>
    <n v="79.150000000000006"/>
    <n v="46.59"/>
    <n v="0"/>
    <n v="99.36"/>
    <n v="59.85"/>
    <n v="68.64"/>
    <n v="56.87"/>
    <n v="72.989999999999995"/>
    <n v="51.19"/>
    <n v="66.98"/>
    <n v="41.72"/>
    <n v="308.36"/>
    <n v="21.56"/>
    <n v="10.15"/>
    <x v="2"/>
    <x v="2"/>
    <s v="71470                   "/>
    <x v="3"/>
    <x v="1"/>
    <x v="53"/>
  </r>
  <r>
    <x v="6"/>
    <x v="6"/>
    <x v="1970"/>
    <x v="1976"/>
    <n v="0"/>
    <n v="0"/>
    <n v="0"/>
    <n v="0"/>
    <n v="0"/>
    <n v="0"/>
    <n v="0"/>
    <n v="0"/>
    <n v="0"/>
    <n v="0"/>
    <n v="0"/>
    <n v="0"/>
    <n v="66.989999999999995"/>
    <n v="27.35"/>
    <n v="52.73"/>
    <n v="75.66"/>
    <n v="0"/>
    <n v="52.57"/>
    <n v="126.11"/>
    <n v="25.77"/>
    <n v="27.35"/>
    <n v="57.81"/>
    <n v="136.99"/>
    <n v="186.18"/>
    <n v="-835.5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3"/>
    <x v="7"/>
    <x v="53"/>
  </r>
  <r>
    <x v="6"/>
    <x v="6"/>
    <x v="1970"/>
    <x v="1976"/>
    <n v="212.66"/>
    <n v="224.47"/>
    <n v="55.13"/>
    <n v="240.22"/>
    <n v="116.06"/>
    <n v="59.07"/>
    <n v="60.93"/>
    <n v="212.65"/>
    <n v="0"/>
    <n v="82.7"/>
    <n v="47.26"/>
    <n v="90.57"/>
    <n v="59.6"/>
    <n v="82.7"/>
    <n v="23.63"/>
    <n v="141.77000000000001"/>
    <n v="238.1"/>
    <n v="227.9"/>
    <n v="99.53"/>
    <n v="12.9"/>
    <n v="31.5"/>
    <n v="15.75"/>
    <n v="-35.299999999999997"/>
    <n v="75.2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2.66"/>
    <n v="224.47"/>
    <n v="55.13"/>
    <n v="240.22"/>
    <n v="116.06"/>
    <n v="59.07"/>
    <n v="60.93"/>
    <n v="212.65"/>
    <n v="0"/>
    <n v="82.7"/>
    <n v="47.26"/>
    <n v="90.57"/>
    <n v="189.42"/>
    <n v="147.63"/>
    <n v="237.22"/>
    <n v="196.44"/>
    <n v="123.44"/>
    <n v="212.51"/>
    <n v="284.77999999999997"/>
    <n v="223.54"/>
    <n v="329.92"/>
    <n v="129.94999999999999"/>
    <n v="119.37"/>
    <n v="151.04"/>
    <x v="2"/>
    <x v="2"/>
    <s v="71470                   "/>
    <x v="3"/>
    <x v="7"/>
    <x v="53"/>
  </r>
  <r>
    <x v="6"/>
    <x v="6"/>
    <x v="1971"/>
    <x v="1977"/>
    <n v="314.52"/>
    <n v="382.57"/>
    <n v="374.58"/>
    <n v="206.11"/>
    <n v="123.55"/>
    <n v="45.03"/>
    <n v="320.57"/>
    <n v="1190.5"/>
    <n v="447.64"/>
    <n v="686.44"/>
    <n v="88.83"/>
    <n v="42.88"/>
    <n v="230.63"/>
    <n v="103.72"/>
    <n v="172.43"/>
    <n v="122.65"/>
    <n v="117.08"/>
    <n v="517.44000000000005"/>
    <n v="148.80000000000001"/>
    <n v="103.14"/>
    <n v="1619.15"/>
    <n v="336.95"/>
    <n v="438.23"/>
    <n v="60.94"/>
    <n v="144.8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4.52"/>
    <n v="382.57"/>
    <n v="374.58"/>
    <n v="206.11"/>
    <n v="123.55"/>
    <n v="45.03"/>
    <n v="320.57"/>
    <n v="1190.5"/>
    <n v="447.64"/>
    <n v="686.44"/>
    <n v="88.83"/>
    <n v="42.88"/>
    <n v="0"/>
    <n v="275.22000000000003"/>
    <n v="70.489999999999995"/>
    <n v="83.11"/>
    <n v="421.87"/>
    <n v="197.78"/>
    <n v="56.89"/>
    <n v="402.71"/>
    <n v="371.25"/>
    <n v="712.92"/>
    <n v="48.98"/>
    <n v="70.98"/>
    <x v="2"/>
    <x v="2"/>
    <s v="71470                   "/>
    <x v="3"/>
    <x v="8"/>
    <x v="53"/>
  </r>
  <r>
    <x v="6"/>
    <x v="6"/>
    <x v="1972"/>
    <x v="1978"/>
    <n v="27.08"/>
    <n v="0"/>
    <n v="18.72"/>
    <n v="37.43"/>
    <n v="0"/>
    <n v="0"/>
    <n v="63.64"/>
    <n v="282.75"/>
    <n v="4.0599999999999996"/>
    <n v="0"/>
    <n v="0"/>
    <n v="18.72"/>
    <n v="14.73"/>
    <n v="43.01"/>
    <n v="15.93"/>
    <n v="12.35"/>
    <n v="2.4700000000000002"/>
    <n v="11.28"/>
    <n v="52.57"/>
    <n v="13.54"/>
    <n v="28.01"/>
    <n v="0"/>
    <n v="70.69"/>
    <n v="0"/>
    <n v="10.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7.08"/>
    <n v="0"/>
    <n v="18.72"/>
    <n v="37.43"/>
    <n v="0"/>
    <n v="0"/>
    <n v="63.64"/>
    <n v="282.75"/>
    <n v="4.0599999999999996"/>
    <n v="0"/>
    <n v="0"/>
    <n v="18.72"/>
    <n v="24.7"/>
    <n v="38.229999999999997"/>
    <n v="162.94999999999999"/>
    <n v="12.35"/>
    <n v="11.23"/>
    <n v="39.97"/>
    <n v="25.88"/>
    <n v="13.54"/>
    <n v="243.65"/>
    <n v="16.170000000000002"/>
    <n v="0"/>
    <n v="12.35"/>
    <x v="2"/>
    <x v="2"/>
    <s v="71470                   "/>
    <x v="3"/>
    <x v="9"/>
    <x v="53"/>
  </r>
  <r>
    <x v="6"/>
    <x v="6"/>
    <x v="1973"/>
    <x v="1979"/>
    <n v="0"/>
    <n v="0"/>
    <n v="0"/>
    <n v="0"/>
    <n v="3.38"/>
    <n v="1.1299999999999999"/>
    <n v="71.55"/>
    <n v="0"/>
    <n v="0"/>
    <n v="60.93"/>
    <n v="0"/>
    <n v="0"/>
    <n v="246.42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.38"/>
    <n v="1.1299999999999999"/>
    <n v="71.55"/>
    <n v="0"/>
    <n v="0"/>
    <n v="60.93"/>
    <n v="0"/>
    <n v="0"/>
    <n v="0"/>
    <n v="0"/>
    <n v="0"/>
    <n v="0"/>
    <n v="0"/>
    <n v="0"/>
    <n v="0"/>
    <n v="0"/>
    <n v="0"/>
    <n v="47.79"/>
    <n v="0"/>
    <n v="0"/>
    <x v="2"/>
    <x v="2"/>
    <s v="71470                   "/>
    <x v="3"/>
    <x v="10"/>
    <x v="53"/>
  </r>
  <r>
    <x v="6"/>
    <x v="6"/>
    <x v="1974"/>
    <x v="1980"/>
    <n v="0"/>
    <n v="0"/>
    <n v="0"/>
    <n v="14.56"/>
    <n v="26.15"/>
    <n v="55.28"/>
    <n v="273.45"/>
    <n v="114.47"/>
    <n v="93.72"/>
    <n v="239.11"/>
    <n v="249.77"/>
    <n v="85.33"/>
    <n v="35.36"/>
    <n v="35.36"/>
    <n v="124.62"/>
    <n v="153.24"/>
    <n v="161.69"/>
    <n v="212.18"/>
    <n v="358.2"/>
    <n v="110.02"/>
    <n v="449.42"/>
    <n v="188.6"/>
    <n v="11.79"/>
    <n v="165.03"/>
    <n v="255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4.56"/>
    <n v="26.15"/>
    <n v="55.28"/>
    <n v="273.45"/>
    <n v="114.47"/>
    <n v="93.72"/>
    <n v="239.11"/>
    <n v="249.77"/>
    <n v="85.33"/>
    <n v="47.15"/>
    <n v="82.51"/>
    <n v="202.64"/>
    <n v="220.02"/>
    <n v="199.86"/>
    <n v="208.24"/>
    <n v="136.47"/>
    <n v="76.36"/>
    <n v="64.23"/>
    <n v="99.72"/>
    <n v="281.02"/>
    <n v="85.33"/>
    <x v="2"/>
    <x v="2"/>
    <s v="71470                   "/>
    <x v="3"/>
    <x v="11"/>
    <x v="53"/>
  </r>
  <r>
    <x v="6"/>
    <x v="6"/>
    <x v="1975"/>
    <x v="1981"/>
    <n v="0"/>
    <n v="0"/>
    <n v="41.1"/>
    <n v="57.08"/>
    <n v="0"/>
    <n v="0"/>
    <n v="145.99"/>
    <n v="0"/>
    <n v="160.04"/>
    <n v="0"/>
    <n v="183.15"/>
    <n v="14.1"/>
    <n v="0"/>
    <n v="14.1"/>
    <n v="28.19"/>
    <n v="28.19"/>
    <n v="0"/>
    <n v="56.39"/>
    <n v="41.4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1.1"/>
    <n v="57.08"/>
    <n v="0"/>
    <n v="0"/>
    <n v="145.99"/>
    <n v="0"/>
    <n v="160.04"/>
    <n v="0"/>
    <n v="183.15"/>
    <n v="14.1"/>
    <n v="0"/>
    <n v="0"/>
    <n v="28.19"/>
    <n v="74.78"/>
    <n v="0"/>
    <n v="0"/>
    <n v="14.09"/>
    <n v="0"/>
    <n v="0"/>
    <n v="85.06"/>
    <n v="0"/>
    <n v="14.09"/>
    <x v="2"/>
    <x v="2"/>
    <s v="71470                   "/>
    <x v="3"/>
    <x v="12"/>
    <x v="53"/>
  </r>
  <r>
    <x v="6"/>
    <x v="6"/>
    <x v="1976"/>
    <x v="1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3"/>
    <x v="13"/>
    <x v="53"/>
  </r>
  <r>
    <x v="6"/>
    <x v="6"/>
    <x v="1977"/>
    <x v="1983"/>
    <n v="0"/>
    <n v="0"/>
    <n v="0"/>
    <n v="0"/>
    <n v="0"/>
    <n v="0"/>
    <n v="223.65"/>
    <n v="0"/>
    <n v="1387.8"/>
    <n v="37.270000000000003"/>
    <n v="0"/>
    <n v="81.95"/>
    <n v="0"/>
    <n v="0"/>
    <n v="0"/>
    <n v="0"/>
    <n v="111.59"/>
    <n v="0"/>
    <n v="0"/>
    <n v="0"/>
    <n v="0"/>
    <n v="479.01"/>
    <n v="0"/>
    <n v="56.2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.65"/>
    <n v="0"/>
    <n v="1387.8"/>
    <n v="37.270000000000003"/>
    <n v="0"/>
    <n v="81.95"/>
    <n v="0"/>
    <n v="0"/>
    <n v="0"/>
    <n v="1106.24"/>
    <n v="2390.5100000000002"/>
    <n v="1.08"/>
    <n v="0"/>
    <n v="106.66"/>
    <n v="0"/>
    <n v="2098.04"/>
    <n v="196.78"/>
    <n v="0"/>
    <x v="2"/>
    <x v="2"/>
    <s v="71470                   "/>
    <x v="3"/>
    <x v="14"/>
    <x v="53"/>
  </r>
  <r>
    <x v="6"/>
    <x v="6"/>
    <x v="1978"/>
    <x v="1984"/>
    <n v="0"/>
    <n v="62.12"/>
    <n v="0"/>
    <n v="0"/>
    <n v="3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62.12"/>
    <n v="0"/>
    <n v="0"/>
    <n v="3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3"/>
    <x v="15"/>
    <x v="53"/>
  </r>
  <r>
    <x v="6"/>
    <x v="6"/>
    <x v="1979"/>
    <x v="1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.73"/>
    <n v="0"/>
    <n v="78.849999999999994"/>
    <n v="26.28"/>
    <n v="-326.8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3"/>
    <x v="16"/>
    <x v="53"/>
  </r>
  <r>
    <x v="6"/>
    <x v="6"/>
    <x v="1979"/>
    <x v="1985"/>
    <n v="0"/>
    <n v="0"/>
    <n v="0"/>
    <n v="14.26"/>
    <n v="0"/>
    <n v="0"/>
    <n v="0"/>
    <n v="0"/>
    <n v="281.95"/>
    <n v="3.92"/>
    <n v="11.75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4.26"/>
    <n v="0"/>
    <n v="0"/>
    <n v="0"/>
    <n v="0"/>
    <n v="281.95"/>
    <n v="3.92"/>
    <n v="11.75"/>
    <n v="0"/>
    <n v="0"/>
    <n v="0"/>
    <n v="0"/>
    <n v="0"/>
    <n v="0"/>
    <n v="0"/>
    <n v="0"/>
    <n v="0"/>
    <n v="26.28"/>
    <n v="413.71"/>
    <n v="40.130000000000003"/>
    <n v="0"/>
    <x v="2"/>
    <x v="2"/>
    <s v="71470                   "/>
    <x v="3"/>
    <x v="16"/>
    <x v="53"/>
  </r>
  <r>
    <x v="6"/>
    <x v="6"/>
    <x v="1980"/>
    <x v="19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9999999999999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3"/>
    <x v="17"/>
    <x v="53"/>
  </r>
  <r>
    <x v="6"/>
    <x v="6"/>
    <x v="1981"/>
    <x v="1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5"/>
    <x v="3"/>
    <x v="50"/>
  </r>
  <r>
    <x v="6"/>
    <x v="6"/>
    <x v="1982"/>
    <x v="1988"/>
    <n v="487.08"/>
    <n v="270.58"/>
    <n v="500.71"/>
    <n v="937.09"/>
    <n v="840.05"/>
    <n v="1137.96"/>
    <n v="383.94"/>
    <n v="0"/>
    <n v="1009.21"/>
    <n v="315.31"/>
    <n v="0"/>
    <n v="419.4"/>
    <n v="85.16"/>
    <n v="325.2"/>
    <n v="550.57000000000005"/>
    <n v="333.54"/>
    <n v="270.92"/>
    <n v="840.95"/>
    <n v="689.1"/>
    <n v="0"/>
    <n v="544.95000000000005"/>
    <n v="360.72"/>
    <n v="61.76"/>
    <n v="414.15"/>
    <n v="430.4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.77"/>
    <n v="583.24"/>
    <n v="306.56"/>
    <n v="667.6"/>
    <n v="444.55"/>
    <n v="689.18"/>
    <n v="275.11"/>
    <n v="225"/>
    <n v="767.21"/>
    <n v="0"/>
    <n v="419.35"/>
    <n v="85.21"/>
    <x v="2"/>
    <x v="2"/>
    <s v="71470                   "/>
    <x v="7"/>
    <x v="3"/>
    <x v="54"/>
  </r>
  <r>
    <x v="6"/>
    <x v="6"/>
    <x v="1983"/>
    <x v="1989"/>
    <n v="0"/>
    <n v="0"/>
    <n v="0"/>
    <n v="0"/>
    <n v="0"/>
    <n v="0"/>
    <n v="0"/>
    <n v="0"/>
    <n v="0"/>
    <n v="0"/>
    <n v="0"/>
    <n v="0"/>
    <n v="0"/>
    <n v="0"/>
    <n v="0"/>
    <n v="0"/>
    <n v="0"/>
    <n v="401.4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8"/>
    <n v="280.8"/>
    <n v="0"/>
    <n v="0"/>
    <n v="0"/>
    <n v="0"/>
    <n v="0"/>
    <n v="0"/>
    <n v="0"/>
    <x v="2"/>
    <x v="2"/>
    <s v="71470                   "/>
    <x v="7"/>
    <x v="5"/>
    <x v="54"/>
  </r>
  <r>
    <x v="6"/>
    <x v="6"/>
    <x v="1984"/>
    <x v="1990"/>
    <n v="71.709999999999994"/>
    <n v="12.62"/>
    <n v="12.62"/>
    <n v="48.48"/>
    <n v="25.24"/>
    <n v="37.85"/>
    <n v="0"/>
    <n v="0"/>
    <n v="74.28"/>
    <n v="0"/>
    <n v="0"/>
    <n v="0"/>
    <n v="0"/>
    <n v="102.84"/>
    <n v="24"/>
    <n v="105.82"/>
    <n v="0"/>
    <n v="258.60000000000002"/>
    <n v="106.02"/>
    <n v="0"/>
    <n v="84.85"/>
    <n v="0"/>
    <n v="0"/>
    <n v="116.64"/>
    <n v="12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23"/>
    <n v="103.46"/>
    <n v="80.239999999999995"/>
    <n v="60.01"/>
    <n v="196.2"/>
    <n v="103.64"/>
    <n v="10.62"/>
    <n v="0"/>
    <n v="0"/>
    <n v="0"/>
    <n v="0"/>
    <n v="0"/>
    <x v="2"/>
    <x v="2"/>
    <s v="71470                   "/>
    <x v="7"/>
    <x v="1"/>
    <x v="54"/>
  </r>
  <r>
    <x v="6"/>
    <x v="6"/>
    <x v="1985"/>
    <x v="1991"/>
    <n v="0"/>
    <n v="0"/>
    <n v="22.5"/>
    <n v="0"/>
    <n v="0"/>
    <n v="0"/>
    <n v="0"/>
    <n v="0"/>
    <n v="0"/>
    <n v="0"/>
    <n v="0"/>
    <n v="0"/>
    <n v="0"/>
    <n v="0"/>
    <n v="147.30000000000001"/>
    <n v="34.5"/>
    <n v="0"/>
    <n v="44.1"/>
    <n v="58.95"/>
    <n v="0"/>
    <n v="33.840000000000003"/>
    <n v="33.840000000000003"/>
    <n v="0"/>
    <n v="76.59"/>
    <n v="22.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99.9"/>
    <n v="0"/>
    <n v="44.1"/>
    <n v="0"/>
    <n v="58.95"/>
    <n v="0"/>
    <n v="0"/>
    <n v="0"/>
    <n v="0"/>
    <n v="0"/>
    <n v="0"/>
    <x v="2"/>
    <x v="2"/>
    <s v="71470                   "/>
    <x v="7"/>
    <x v="8"/>
    <x v="54"/>
  </r>
  <r>
    <x v="6"/>
    <x v="6"/>
    <x v="1986"/>
    <x v="1992"/>
    <n v="0"/>
    <n v="0"/>
    <n v="0"/>
    <n v="0"/>
    <n v="9"/>
    <n v="0"/>
    <n v="0"/>
    <n v="0"/>
    <n v="0"/>
    <n v="0"/>
    <n v="0"/>
    <n v="0"/>
    <n v="0"/>
    <n v="0"/>
    <n v="0"/>
    <n v="49.86"/>
    <n v="0"/>
    <n v="0"/>
    <n v="0"/>
    <n v="0"/>
    <n v="2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x v="2"/>
    <x v="2"/>
    <s v="71470                   "/>
    <x v="7"/>
    <x v="9"/>
    <x v="54"/>
  </r>
  <r>
    <x v="6"/>
    <x v="6"/>
    <x v="1987"/>
    <x v="1993"/>
    <n v="0"/>
    <n v="21.24"/>
    <n v="10.62"/>
    <n v="21.24"/>
    <n v="31.86"/>
    <n v="0"/>
    <n v="0"/>
    <n v="0"/>
    <n v="10.62"/>
    <n v="10.62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7"/>
    <x v="10"/>
    <x v="54"/>
  </r>
  <r>
    <x v="6"/>
    <x v="6"/>
    <x v="1988"/>
    <x v="1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4"/>
    <n v="0"/>
    <n v="0"/>
    <n v="0"/>
    <n v="0"/>
    <n v="0"/>
    <n v="0"/>
    <n v="0"/>
    <n v="0"/>
    <n v="0"/>
    <n v="0"/>
    <x v="2"/>
    <x v="2"/>
    <s v="71470                   "/>
    <x v="7"/>
    <x v="11"/>
    <x v="54"/>
  </r>
  <r>
    <x v="6"/>
    <x v="6"/>
    <x v="1989"/>
    <x v="1995"/>
    <n v="0"/>
    <n v="0"/>
    <n v="0"/>
    <n v="0"/>
    <n v="0"/>
    <n v="0"/>
    <n v="0"/>
    <n v="0"/>
    <n v="0"/>
    <n v="0"/>
    <n v="0"/>
    <n v="0"/>
    <n v="0"/>
    <n v="0"/>
    <n v="0"/>
    <n v="0"/>
    <n v="0"/>
    <n v="153"/>
    <n v="0"/>
    <n v="225"/>
    <n v="54"/>
    <n v="99"/>
    <n v="0"/>
    <n v="5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.14"/>
    <n v="0"/>
    <n v="0"/>
    <n v="0"/>
    <n v="0"/>
    <n v="0"/>
    <n v="0"/>
    <n v="0"/>
    <x v="2"/>
    <x v="2"/>
    <s v="71470                   "/>
    <x v="7"/>
    <x v="12"/>
    <x v="54"/>
  </r>
  <r>
    <x v="6"/>
    <x v="6"/>
    <x v="1990"/>
    <x v="1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7"/>
    <x v="13"/>
    <x v="54"/>
  </r>
  <r>
    <x v="6"/>
    <x v="6"/>
    <x v="1991"/>
    <x v="1997"/>
    <n v="0"/>
    <n v="0"/>
    <n v="0"/>
    <n v="0"/>
    <n v="0"/>
    <n v="0"/>
    <n v="0"/>
    <n v="0"/>
    <n v="0"/>
    <n v="0"/>
    <n v="0"/>
    <n v="0"/>
    <n v="0"/>
    <n v="0"/>
    <n v="0"/>
    <n v="-24.6"/>
    <n v="0"/>
    <n v="0"/>
    <n v="0"/>
    <n v="0"/>
    <n v="0"/>
    <n v="0"/>
    <n v="0"/>
    <n v="49.2"/>
    <n v="-24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7"/>
    <x v="16"/>
    <x v="54"/>
  </r>
  <r>
    <x v="6"/>
    <x v="6"/>
    <x v="1991"/>
    <x v="1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"/>
    <n v="21.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9"/>
    <n v="0"/>
    <n v="0"/>
    <n v="0"/>
    <n v="0"/>
    <n v="0"/>
    <n v="0"/>
    <n v="0"/>
    <n v="0"/>
    <n v="0"/>
    <n v="0"/>
    <x v="2"/>
    <x v="2"/>
    <s v="71470                   "/>
    <x v="7"/>
    <x v="16"/>
    <x v="54"/>
  </r>
  <r>
    <x v="6"/>
    <x v="6"/>
    <x v="1992"/>
    <x v="1998"/>
    <n v="0"/>
    <n v="0"/>
    <n v="0"/>
    <n v="0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7"/>
    <x v="17"/>
    <x v="54"/>
  </r>
  <r>
    <x v="6"/>
    <x v="6"/>
    <x v="1993"/>
    <x v="1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3"/>
    <x v="44"/>
  </r>
  <r>
    <x v="6"/>
    <x v="6"/>
    <x v="1994"/>
    <x v="2000"/>
    <n v="0"/>
    <n v="0"/>
    <n v="0"/>
    <n v="0"/>
    <n v="0"/>
    <n v="0"/>
    <n v="0"/>
    <n v="0"/>
    <n v="0"/>
    <n v="0"/>
    <n v="0"/>
    <n v="0"/>
    <n v="0"/>
    <n v="0"/>
    <n v="0"/>
    <n v="0"/>
    <n v="0"/>
    <n v="1560"/>
    <n v="0"/>
    <n v="0"/>
    <n v="171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5"/>
    <x v="44"/>
  </r>
  <r>
    <x v="6"/>
    <x v="6"/>
    <x v="1995"/>
    <x v="2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7"/>
    <x v="44"/>
  </r>
  <r>
    <x v="6"/>
    <x v="6"/>
    <x v="1996"/>
    <x v="2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8"/>
    <x v="44"/>
  </r>
  <r>
    <x v="6"/>
    <x v="6"/>
    <x v="1997"/>
    <x v="2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9"/>
    <x v="44"/>
  </r>
  <r>
    <x v="6"/>
    <x v="6"/>
    <x v="1998"/>
    <x v="2004"/>
    <n v="0"/>
    <n v="0"/>
    <n v="0"/>
    <n v="0"/>
    <n v="0"/>
    <n v="0"/>
    <n v="0"/>
    <n v="0"/>
    <n v="0"/>
    <n v="0"/>
    <n v="0"/>
    <n v="0"/>
    <n v="13000"/>
    <n v="0"/>
    <n v="0"/>
    <n v="0"/>
    <n v="0"/>
    <n v="6362.28"/>
    <n v="0"/>
    <n v="0"/>
    <n v="0"/>
    <n v="1050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000"/>
    <n v="0"/>
    <n v="0"/>
    <n v="0"/>
    <n v="0"/>
    <n v="1815"/>
    <n v="1200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14"/>
    <x v="44"/>
  </r>
  <r>
    <x v="6"/>
    <x v="6"/>
    <x v="1999"/>
    <x v="2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8"/>
    <x v="15"/>
    <x v="55"/>
  </r>
  <r>
    <x v="6"/>
    <x v="6"/>
    <x v="2000"/>
    <x v="2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935"/>
    <n v="0"/>
    <n v="0"/>
    <n v="0"/>
    <n v="0"/>
    <n v="0"/>
    <n v="0"/>
    <n v="0"/>
    <n v="10710"/>
    <n v="0"/>
    <n v="0"/>
    <n v="0"/>
    <n v="0"/>
    <n v="0"/>
    <n v="0"/>
    <n v="0"/>
    <n v="0"/>
    <n v="0"/>
    <n v="0"/>
    <x v="2"/>
    <x v="2"/>
    <s v="71470                   "/>
    <x v="8"/>
    <x v="16"/>
    <x v="44"/>
  </r>
  <r>
    <x v="6"/>
    <x v="6"/>
    <x v="2001"/>
    <x v="2007"/>
    <n v="0"/>
    <n v="0"/>
    <n v="2.38"/>
    <n v="0"/>
    <n v="0"/>
    <n v="0"/>
    <n v="0"/>
    <n v="0"/>
    <n v="0"/>
    <n v="0"/>
    <n v="0"/>
    <n v="0"/>
    <n v="0"/>
    <n v="31.92"/>
    <n v="29.34"/>
    <n v="0"/>
    <n v="0"/>
    <n v="0"/>
    <n v="22.34"/>
    <n v="5.39"/>
    <n v="0"/>
    <n v="31.48"/>
    <n v="13.96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3"/>
    <x v="53"/>
  </r>
  <r>
    <x v="6"/>
    <x v="6"/>
    <x v="2002"/>
    <x v="2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4"/>
    <x v="53"/>
  </r>
  <r>
    <x v="6"/>
    <x v="6"/>
    <x v="2003"/>
    <x v="2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0"/>
    <x v="53"/>
  </r>
  <r>
    <x v="6"/>
    <x v="6"/>
    <x v="2004"/>
    <x v="2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5"/>
    <x v="53"/>
  </r>
  <r>
    <x v="6"/>
    <x v="6"/>
    <x v="2005"/>
    <x v="2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6"/>
    <x v="53"/>
  </r>
  <r>
    <x v="6"/>
    <x v="6"/>
    <x v="2006"/>
    <x v="2012"/>
    <n v="0"/>
    <n v="0"/>
    <n v="0"/>
    <n v="0"/>
    <n v="0"/>
    <n v="0"/>
    <n v="0"/>
    <n v="0"/>
    <n v="0"/>
    <n v="0"/>
    <n v="0"/>
    <n v="0"/>
    <n v="0"/>
    <n v="0"/>
    <n v="29.34"/>
    <n v="22.54"/>
    <n v="0"/>
    <n v="0"/>
    <n v="0"/>
    <n v="0"/>
    <n v="0"/>
    <n v="10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"/>
    <x v="53"/>
  </r>
  <r>
    <x v="6"/>
    <x v="6"/>
    <x v="2007"/>
    <x v="2013"/>
    <n v="0"/>
    <n v="0"/>
    <n v="94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7"/>
    <x v="53"/>
  </r>
  <r>
    <x v="6"/>
    <x v="6"/>
    <x v="2008"/>
    <x v="2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52000000000000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8"/>
    <x v="53"/>
  </r>
  <r>
    <x v="6"/>
    <x v="6"/>
    <x v="2009"/>
    <x v="2015"/>
    <n v="0"/>
    <n v="0"/>
    <n v="19.739999999999998"/>
    <n v="0"/>
    <n v="0"/>
    <n v="0"/>
    <n v="0"/>
    <n v="0"/>
    <n v="0"/>
    <n v="0"/>
    <n v="0"/>
    <n v="0"/>
    <n v="0"/>
    <n v="0"/>
    <n v="0"/>
    <n v="0"/>
    <n v="0"/>
    <n v="0"/>
    <n v="0"/>
    <n v="5.39"/>
    <n v="0"/>
    <n v="10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9"/>
    <x v="53"/>
  </r>
  <r>
    <x v="6"/>
    <x v="6"/>
    <x v="2010"/>
    <x v="2016"/>
    <n v="0"/>
    <n v="0"/>
    <n v="0"/>
    <n v="0"/>
    <n v="0"/>
    <n v="0"/>
    <n v="0"/>
    <n v="0"/>
    <n v="0"/>
    <n v="0"/>
    <n v="0"/>
    <n v="0"/>
    <n v="0"/>
    <n v="0"/>
    <n v="29.33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0"/>
    <x v="53"/>
  </r>
  <r>
    <x v="6"/>
    <x v="6"/>
    <x v="2011"/>
    <x v="2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1"/>
    <x v="53"/>
  </r>
  <r>
    <x v="6"/>
    <x v="6"/>
    <x v="2012"/>
    <x v="2018"/>
    <n v="0"/>
    <n v="0"/>
    <n v="0"/>
    <n v="0"/>
    <n v="0"/>
    <n v="0"/>
    <n v="0"/>
    <n v="0"/>
    <n v="3268.32"/>
    <n v="0"/>
    <n v="0"/>
    <n v="0"/>
    <n v="0"/>
    <n v="0"/>
    <n v="0"/>
    <n v="0"/>
    <n v="0"/>
    <n v="0"/>
    <n v="11.16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8.32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2"/>
    <x v="53"/>
  </r>
  <r>
    <x v="6"/>
    <x v="6"/>
    <x v="2013"/>
    <x v="2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3"/>
    <x v="53"/>
  </r>
  <r>
    <x v="6"/>
    <x v="6"/>
    <x v="2014"/>
    <x v="2020"/>
    <n v="0"/>
    <n v="0"/>
    <n v="0"/>
    <n v="0"/>
    <n v="0"/>
    <n v="0"/>
    <n v="0"/>
    <n v="0"/>
    <n v="0"/>
    <n v="0"/>
    <n v="0"/>
    <n v="0"/>
    <n v="0"/>
    <n v="0"/>
    <n v="0"/>
    <n v="0"/>
    <n v="0"/>
    <n v="1641.35"/>
    <n v="0"/>
    <n v="0"/>
    <n v="-1641.35"/>
    <n v="0"/>
    <n v="0"/>
    <n v="0"/>
    <n v="2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4"/>
    <x v="53"/>
  </r>
  <r>
    <x v="6"/>
    <x v="6"/>
    <x v="2015"/>
    <x v="2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5"/>
    <x v="53"/>
  </r>
  <r>
    <x v="6"/>
    <x v="6"/>
    <x v="2016"/>
    <x v="2022"/>
    <n v="0"/>
    <n v="0"/>
    <n v="0"/>
    <n v="0"/>
    <n v="0"/>
    <n v="0"/>
    <n v="0"/>
    <n v="0"/>
    <n v="0"/>
    <n v="0"/>
    <n v="0"/>
    <n v="0"/>
    <n v="0"/>
    <n v="10.08"/>
    <n v="0"/>
    <n v="0"/>
    <n v="0"/>
    <n v="0"/>
    <n v="0"/>
    <n v="0"/>
    <n v="0"/>
    <n v="10.5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6"/>
    <x v="53"/>
  </r>
  <r>
    <x v="6"/>
    <x v="6"/>
    <x v="2017"/>
    <x v="2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0"/>
    <x v="17"/>
    <x v="53"/>
  </r>
  <r>
    <x v="6"/>
    <x v="6"/>
    <x v="2018"/>
    <x v="2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1470                   "/>
    <x v="11"/>
    <x v="3"/>
    <x v="45"/>
  </r>
  <r>
    <x v="6"/>
    <x v="6"/>
    <x v="2018"/>
    <x v="2024"/>
    <n v="3548.96"/>
    <n v="4876.17"/>
    <n v="6520.43"/>
    <n v="3584.42"/>
    <n v="4501.6899999999996"/>
    <n v="5602.47"/>
    <n v="6276.2"/>
    <n v="5479.72"/>
    <n v="5459.9"/>
    <n v="6067.66"/>
    <n v="5041.9799999999996"/>
    <n v="5418.67"/>
    <n v="5513.43"/>
    <n v="5419.74"/>
    <n v="2587.92"/>
    <n v="7215.13"/>
    <n v="-16055.58"/>
    <n v="914.48"/>
    <n v="2972.13"/>
    <n v="1877.99"/>
    <n v="3314.64"/>
    <n v="1408.88"/>
    <n v="1085.44"/>
    <n v="1515.46"/>
    <n v="999.5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6.07"/>
    <n v="874.08"/>
    <n v="1269.31"/>
    <n v="795.79"/>
    <n v="861.16"/>
    <n v="1146.18"/>
    <n v="896.88"/>
    <n v="714.46"/>
    <n v="3266.01"/>
    <n v="1837.08"/>
    <n v="501.64"/>
    <n v="547.25"/>
    <n v="2429.0300000000002"/>
    <n v="2991.59"/>
    <n v="3382.05"/>
    <n v="3373.82"/>
    <n v="3425.7"/>
    <n v="3453.18"/>
    <n v="3297.99"/>
    <n v="3105.49"/>
    <n v="2853.41"/>
    <n v="2739.33"/>
    <n v="2558.5300000000002"/>
    <n v="2434.4699999999998"/>
    <x v="2"/>
    <x v="2"/>
    <s v="71470                   "/>
    <x v="11"/>
    <x v="3"/>
    <x v="45"/>
  </r>
  <r>
    <x v="6"/>
    <x v="6"/>
    <x v="2019"/>
    <x v="2025"/>
    <n v="12650.48"/>
    <n v="13956.74"/>
    <n v="13682.95"/>
    <n v="17345.55"/>
    <n v="13636.48"/>
    <n v="17879.28"/>
    <n v="16155.44"/>
    <n v="14200.42"/>
    <n v="16440.580000000002"/>
    <n v="16209.9"/>
    <n v="8996.4500000000007"/>
    <n v="13597.28"/>
    <n v="13072.37"/>
    <n v="16282.15"/>
    <n v="13756.97"/>
    <n v="23829.53"/>
    <n v="-57417.49"/>
    <n v="2017.2"/>
    <n v="5449.12"/>
    <n v="3872.08"/>
    <n v="4693.4799999999996"/>
    <n v="3290.92"/>
    <n v="3881.56"/>
    <n v="2964.53"/>
    <n v="1709.5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400.2700000000004"/>
    <n v="4528.4399999999996"/>
    <n v="4532.71"/>
    <n v="4135.3999999999996"/>
    <n v="4502.8"/>
    <n v="4992.3900000000003"/>
    <n v="4404.55"/>
    <n v="3742.37"/>
    <n v="2785.42"/>
    <n v="1495.24"/>
    <n v="3539.87"/>
    <n v="3007.57"/>
    <n v="4371.2"/>
    <n v="5472.47"/>
    <n v="5786.44"/>
    <n v="4862.74"/>
    <n v="5516.51"/>
    <n v="5233.92"/>
    <n v="5095.5"/>
    <n v="4460.75"/>
    <n v="5282.27"/>
    <n v="3584.27"/>
    <n v="2973.4"/>
    <n v="3806.87"/>
    <x v="2"/>
    <x v="2"/>
    <s v="71470                   "/>
    <x v="11"/>
    <x v="4"/>
    <x v="45"/>
  </r>
  <r>
    <x v="6"/>
    <x v="6"/>
    <x v="2020"/>
    <x v="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0"/>
    <x v="45"/>
  </r>
  <r>
    <x v="6"/>
    <x v="6"/>
    <x v="2021"/>
    <x v="2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5"/>
    <x v="45"/>
  </r>
  <r>
    <x v="6"/>
    <x v="6"/>
    <x v="2022"/>
    <x v="2028"/>
    <n v="0"/>
    <n v="0"/>
    <n v="0"/>
    <n v="0"/>
    <n v="0"/>
    <n v="0"/>
    <n v="0"/>
    <n v="0"/>
    <n v="0"/>
    <n v="0"/>
    <n v="0"/>
    <n v="0"/>
    <n v="0"/>
    <n v="75.41"/>
    <n v="0"/>
    <n v="0"/>
    <n v="-75.41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6"/>
    <x v="45"/>
  </r>
  <r>
    <x v="6"/>
    <x v="6"/>
    <x v="2023"/>
    <x v="2029"/>
    <n v="653.09"/>
    <n v="364.54"/>
    <n v="570.55999999999995"/>
    <n v="658.53"/>
    <n v="522.61"/>
    <n v="897.86"/>
    <n v="423.12"/>
    <n v="756.41"/>
    <n v="703.73"/>
    <n v="485.58"/>
    <n v="999.32"/>
    <n v="384.98"/>
    <n v="388.95"/>
    <n v="375.6"/>
    <n v="290.36"/>
    <n v="302.61"/>
    <n v="-858.63"/>
    <n v="89.4"/>
    <n v="122.84"/>
    <n v="527.70000000000005"/>
    <n v="70.66"/>
    <n v="14.94"/>
    <n v="655.72"/>
    <n v="165.89"/>
    <n v="55.2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6.03"/>
    <n v="136.86000000000001"/>
    <n v="63.87"/>
    <n v="79.069999999999993"/>
    <n v="91.24"/>
    <n v="71.47"/>
    <n v="65.39"/>
    <n v="319.33"/>
    <n v="76.03"/>
    <n v="45.62"/>
    <n v="60.83"/>
    <n v="30.41"/>
    <n v="206.13"/>
    <n v="279.02"/>
    <n v="134.72999999999999"/>
    <n v="167.01"/>
    <n v="234.77"/>
    <n v="232.31"/>
    <n v="501.61"/>
    <n v="148.47"/>
    <n v="336.42"/>
    <n v="87.92"/>
    <n v="182.08"/>
    <n v="220.03"/>
    <x v="2"/>
    <x v="2"/>
    <s v="71470                   "/>
    <x v="11"/>
    <x v="1"/>
    <x v="45"/>
  </r>
  <r>
    <x v="6"/>
    <x v="6"/>
    <x v="2024"/>
    <x v="2030"/>
    <n v="0"/>
    <n v="0"/>
    <n v="0"/>
    <n v="0"/>
    <n v="0"/>
    <n v="0"/>
    <n v="0"/>
    <n v="0"/>
    <n v="0"/>
    <n v="0"/>
    <n v="0"/>
    <n v="0"/>
    <n v="75.19"/>
    <n v="183.84"/>
    <n v="3509.34"/>
    <n v="53.9"/>
    <n v="96.58"/>
    <n v="27.86"/>
    <n v="21.81"/>
    <n v="0"/>
    <n v="7.88"/>
    <n v="0"/>
    <n v="6.71"/>
    <n v="0"/>
    <n v="-3983.1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11"/>
    <x v="7"/>
    <x v="45"/>
  </r>
  <r>
    <x v="6"/>
    <x v="6"/>
    <x v="2024"/>
    <x v="2030"/>
    <n v="125.67"/>
    <n v="290.95"/>
    <n v="369.44"/>
    <n v="279.45"/>
    <n v="394.76"/>
    <n v="421.27"/>
    <n v="292.41000000000003"/>
    <n v="272.83999999999997"/>
    <n v="175.51"/>
    <n v="665.55"/>
    <n v="1025.1400000000001"/>
    <n v="446.46"/>
    <n v="195.4"/>
    <n v="227.66"/>
    <n v="152.91"/>
    <n v="340.21"/>
    <n v="-871.1"/>
    <n v="0"/>
    <n v="45.65"/>
    <n v="48.88"/>
    <n v="20.03"/>
    <n v="304.42"/>
    <n v="49.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4.58"/>
    <n v="76.52"/>
    <n v="272.07"/>
    <n v="178.55"/>
    <n v="178.55"/>
    <n v="127.53"/>
    <n v="102.03"/>
    <n v="34.01"/>
    <n v="68.02"/>
    <n v="17"/>
    <n v="42.51"/>
    <n v="34.01"/>
    <n v="0"/>
    <n v="63.01"/>
    <n v="63.01"/>
    <n v="0"/>
    <n v="756.1"/>
    <n v="0"/>
    <n v="109.43"/>
    <n v="385.92"/>
    <n v="291.52"/>
    <n v="102.39"/>
    <n v="118.14"/>
    <n v="708"/>
    <x v="2"/>
    <x v="2"/>
    <s v="71470                   "/>
    <x v="11"/>
    <x v="7"/>
    <x v="45"/>
  </r>
  <r>
    <x v="6"/>
    <x v="6"/>
    <x v="2025"/>
    <x v="2031"/>
    <n v="1988.29"/>
    <n v="2023.73"/>
    <n v="1999.22"/>
    <n v="1726.61"/>
    <n v="1691.32"/>
    <n v="1629.45"/>
    <n v="2505.9299999999998"/>
    <n v="1147.73"/>
    <n v="3358.06"/>
    <n v="3591.11"/>
    <n v="1991.27"/>
    <n v="2011.22"/>
    <n v="1172.22"/>
    <n v="1658.39"/>
    <n v="1636.5"/>
    <n v="2269.3000000000002"/>
    <n v="-4767.63"/>
    <n v="319.5"/>
    <n v="534.41999999999996"/>
    <n v="404.36"/>
    <n v="2891.38"/>
    <n v="391.95"/>
    <n v="1727.05"/>
    <n v="526.04999999999995"/>
    <n v="509.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23.54999999999995"/>
    <n v="598.34"/>
    <n v="878.28"/>
    <n v="830.2"/>
    <n v="424.18"/>
    <n v="691.3"/>
    <n v="491.49"/>
    <n v="427.39"/>
    <n v="822.72"/>
    <n v="395.33"/>
    <n v="523.54999999999995"/>
    <n v="395.33"/>
    <n v="1152.3800000000001"/>
    <n v="1117.08"/>
    <n v="1282.5999999999999"/>
    <n v="684.05"/>
    <n v="876.95"/>
    <n v="1338.49"/>
    <n v="841.88"/>
    <n v="1157.04"/>
    <n v="1123.07"/>
    <n v="758.64"/>
    <n v="807.66"/>
    <n v="870.54"/>
    <x v="2"/>
    <x v="2"/>
    <s v="71470                   "/>
    <x v="11"/>
    <x v="8"/>
    <x v="45"/>
  </r>
  <r>
    <x v="6"/>
    <x v="6"/>
    <x v="2026"/>
    <x v="2032"/>
    <n v="218.54"/>
    <n v="225.9"/>
    <n v="602.20000000000005"/>
    <n v="486.07"/>
    <n v="297.81"/>
    <n v="224.31"/>
    <n v="240.86"/>
    <n v="243.07"/>
    <n v="240.02"/>
    <n v="445.18"/>
    <n v="275.27"/>
    <n v="285.19"/>
    <n v="171.27"/>
    <n v="392.83"/>
    <n v="244.57"/>
    <n v="470.16"/>
    <n v="-1037.72"/>
    <n v="57.54"/>
    <n v="202.24"/>
    <n v="65.98"/>
    <n v="105.75"/>
    <n v="107.13"/>
    <n v="61.93"/>
    <n v="52.42"/>
    <n v="23.8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9.63"/>
    <n v="313.35000000000002"/>
    <n v="320.31"/>
    <n v="598.84"/>
    <n v="417.8"/>
    <n v="139.27000000000001"/>
    <n v="139.27000000000001"/>
    <n v="104.45"/>
    <n v="174.08"/>
    <n v="0"/>
    <n v="34.82"/>
    <n v="104.45"/>
    <n v="162.58000000000001"/>
    <n v="279.54000000000002"/>
    <n v="219.7"/>
    <n v="200.37"/>
    <n v="266.85000000000002"/>
    <n v="94.19"/>
    <n v="145.04"/>
    <n v="128.94999999999999"/>
    <n v="119.9"/>
    <n v="152.03"/>
    <n v="42.69"/>
    <n v="86.64"/>
    <x v="2"/>
    <x v="2"/>
    <s v="71470                   "/>
    <x v="11"/>
    <x v="9"/>
    <x v="45"/>
  </r>
  <r>
    <x v="6"/>
    <x v="6"/>
    <x v="2027"/>
    <x v="2033"/>
    <n v="365.76"/>
    <n v="410.24"/>
    <n v="318.85000000000002"/>
    <n v="116.25"/>
    <n v="38.75"/>
    <n v="64.58"/>
    <n v="121.19"/>
    <n v="11.91"/>
    <n v="61.92"/>
    <n v="78.569999999999993"/>
    <n v="103.77"/>
    <n v="41.01"/>
    <n v="22.54"/>
    <n v="21.96"/>
    <n v="23.05"/>
    <n v="39.18"/>
    <n v="-83.68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.43"/>
    <n v="38.43"/>
    <n v="40.35"/>
    <n v="11.53"/>
    <n v="48.04"/>
    <n v="19.21"/>
    <n v="19.21"/>
    <n v="9.61"/>
    <n v="48.04"/>
    <n v="19.21"/>
    <n v="28.82"/>
    <n v="48.04"/>
    <n v="0"/>
    <n v="0"/>
    <n v="0"/>
    <n v="0"/>
    <n v="0"/>
    <n v="0"/>
    <n v="13.54"/>
    <n v="21.24"/>
    <n v="37.69"/>
    <n v="10.62"/>
    <n v="24.16"/>
    <n v="0"/>
    <x v="2"/>
    <x v="2"/>
    <s v="71470                   "/>
    <x v="11"/>
    <x v="10"/>
    <x v="45"/>
  </r>
  <r>
    <x v="6"/>
    <x v="6"/>
    <x v="2028"/>
    <x v="2034"/>
    <n v="0"/>
    <n v="0"/>
    <n v="0"/>
    <n v="89.66"/>
    <n v="338.42"/>
    <n v="177.13"/>
    <n v="639.96"/>
    <n v="1169.71"/>
    <n v="971.82"/>
    <n v="602.54999999999995"/>
    <n v="703.3"/>
    <n v="608.78"/>
    <n v="315.39999999999998"/>
    <n v="270.2"/>
    <n v="454.98"/>
    <n v="326.89"/>
    <n v="-1277.6099999999999"/>
    <n v="7.5"/>
    <n v="49.29"/>
    <n v="80.23"/>
    <n v="72.69"/>
    <n v="42.85"/>
    <n v="57.75"/>
    <n v="59.82"/>
    <n v="14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51.06"/>
    <n v="30.63"/>
    <n v="20.420000000000002"/>
    <n v="71.48"/>
    <n v="40.85"/>
    <n v="40.85"/>
    <n v="40.85"/>
    <n v="61.27"/>
    <n v="45.16"/>
    <n v="64.81"/>
    <n v="68.78"/>
    <n v="74.59"/>
    <n v="48.85"/>
    <n v="60.64"/>
    <n v="232.85"/>
    <n v="170.24"/>
    <n v="102.15"/>
    <n v="68.459999999999994"/>
    <n v="11.79"/>
    <n v="46.27"/>
    <x v="2"/>
    <x v="2"/>
    <s v="71470                   "/>
    <x v="11"/>
    <x v="11"/>
    <x v="45"/>
  </r>
  <r>
    <x v="6"/>
    <x v="6"/>
    <x v="2029"/>
    <x v="2035"/>
    <n v="0"/>
    <n v="111.74"/>
    <n v="519.84"/>
    <n v="2856.03"/>
    <n v="50.87"/>
    <n v="66.17"/>
    <n v="18.510000000000002"/>
    <n v="0"/>
    <n v="117.84"/>
    <n v="29.08"/>
    <n v="2952.57"/>
    <n v="121.62"/>
    <n v="188.01"/>
    <n v="29.89"/>
    <n v="195.48"/>
    <n v="177.82"/>
    <n v="-591.20000000000005"/>
    <n v="1022.37"/>
    <n v="0"/>
    <n v="-726.45"/>
    <n v="69.5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94.27"/>
    <n v="0"/>
    <n v="0"/>
    <n v="0"/>
    <n v="0"/>
    <n v="0"/>
    <n v="0"/>
    <n v="0"/>
    <n v="0"/>
    <n v="0"/>
    <n v="0"/>
    <n v="0"/>
    <n v="0"/>
    <n v="0"/>
    <n v="0"/>
    <n v="0"/>
    <n v="0"/>
    <n v="12.55"/>
    <n v="0"/>
    <n v="0"/>
    <n v="11.75"/>
    <n v="0"/>
    <x v="2"/>
    <x v="2"/>
    <s v="71470                   "/>
    <x v="11"/>
    <x v="12"/>
    <x v="45"/>
  </r>
  <r>
    <x v="6"/>
    <x v="6"/>
    <x v="2030"/>
    <x v="20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13"/>
    <x v="45"/>
  </r>
  <r>
    <x v="6"/>
    <x v="6"/>
    <x v="2031"/>
    <x v="2037"/>
    <n v="595.62"/>
    <n v="363.35"/>
    <n v="882.98"/>
    <n v="1009.91"/>
    <n v="530.25"/>
    <n v="2787.09"/>
    <n v="6199.81"/>
    <n v="2067"/>
    <n v="4297.09"/>
    <n v="3492.45"/>
    <n v="2234.39"/>
    <n v="2567.65"/>
    <n v="2393.3000000000002"/>
    <n v="2996.6"/>
    <n v="3728.29"/>
    <n v="3594"/>
    <n v="-12712.19"/>
    <n v="0"/>
    <n v="0"/>
    <n v="0"/>
    <n v="386.94"/>
    <n v="97.22"/>
    <n v="0"/>
    <n v="42.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93"/>
    <n v="0"/>
    <n v="0"/>
    <n v="0"/>
    <n v="37.04"/>
    <n v="37.04"/>
    <n v="270.97000000000003"/>
    <n v="37.04"/>
    <n v="180.95"/>
    <n v="262.12"/>
    <n v="81.48"/>
    <n v="108.84"/>
    <n v="329.62"/>
    <n v="0"/>
    <n v="0"/>
    <n v="44.44"/>
    <x v="2"/>
    <x v="2"/>
    <s v="71470                   "/>
    <x v="11"/>
    <x v="14"/>
    <x v="45"/>
  </r>
  <r>
    <x v="6"/>
    <x v="6"/>
    <x v="2032"/>
    <x v="2038"/>
    <n v="64.61"/>
    <n v="164.3"/>
    <n v="48.38"/>
    <n v="37.49"/>
    <n v="68.34"/>
    <n v="0"/>
    <n v="13.3"/>
    <n v="0"/>
    <n v="0"/>
    <n v="67.17"/>
    <n v="130.38"/>
    <n v="67.17"/>
    <n v="0"/>
    <n v="90.13"/>
    <n v="117.3"/>
    <n v="0"/>
    <n v="-207.4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15"/>
    <x v="45"/>
  </r>
  <r>
    <x v="6"/>
    <x v="6"/>
    <x v="2033"/>
    <x v="2039"/>
    <n v="0"/>
    <n v="0"/>
    <n v="0"/>
    <n v="0"/>
    <n v="0"/>
    <n v="0"/>
    <n v="0"/>
    <n v="0"/>
    <n v="0"/>
    <n v="0"/>
    <n v="0"/>
    <n v="0"/>
    <n v="826.18"/>
    <n v="180.28"/>
    <n v="75.16"/>
    <n v="109.92"/>
    <n v="275"/>
    <n v="0"/>
    <n v="0"/>
    <n v="0"/>
    <n v="0"/>
    <n v="0"/>
    <n v="0"/>
    <n v="27.86"/>
    <n v="-1494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11"/>
    <x v="16"/>
    <x v="45"/>
  </r>
  <r>
    <x v="6"/>
    <x v="6"/>
    <x v="2033"/>
    <x v="2039"/>
    <n v="0"/>
    <n v="0"/>
    <n v="0"/>
    <n v="0"/>
    <n v="0"/>
    <n v="0"/>
    <n v="0"/>
    <n v="0"/>
    <n v="19.920000000000002"/>
    <n v="0"/>
    <n v="0"/>
    <n v="0"/>
    <n v="14.94"/>
    <n v="0"/>
    <n v="0"/>
    <n v="121.45"/>
    <n v="-136.38999999999999"/>
    <n v="0"/>
    <n v="0"/>
    <n v="69.65000000000000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8.96"/>
    <n v="0"/>
    <n v="715.85"/>
    <n v="0"/>
    <n v="178.96"/>
    <n v="0"/>
    <n v="0"/>
    <n v="0"/>
    <n v="0"/>
    <n v="0"/>
    <n v="0"/>
    <n v="0"/>
    <n v="113.86"/>
    <n v="74.5"/>
    <n v="46.89"/>
    <n v="57.04"/>
    <n v="88.88"/>
    <n v="56.25"/>
    <n v="180.86"/>
    <n v="200.69"/>
    <n v="73.36"/>
    <n v="165.67"/>
    <n v="80.55"/>
    <n v="62.19"/>
    <x v="2"/>
    <x v="2"/>
    <s v="71470                   "/>
    <x v="11"/>
    <x v="16"/>
    <x v="45"/>
  </r>
  <r>
    <x v="6"/>
    <x v="6"/>
    <x v="2034"/>
    <x v="2040"/>
    <n v="12.92"/>
    <n v="3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1"/>
    <x v="17"/>
    <x v="45"/>
  </r>
  <r>
    <x v="6"/>
    <x v="6"/>
    <x v="2035"/>
    <x v="2041"/>
    <n v="0"/>
    <n v="0"/>
    <n v="0"/>
    <n v="0"/>
    <n v="0"/>
    <n v="0"/>
    <n v="0"/>
    <n v="0"/>
    <n v="0"/>
    <n v="0"/>
    <n v="0"/>
    <n v="0"/>
    <n v="177.96"/>
    <n v="0"/>
    <n v="0"/>
    <n v="0"/>
    <n v="0"/>
    <n v="0"/>
    <n v="0"/>
    <n v="0"/>
    <n v="0"/>
    <n v="0"/>
    <n v="380.31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3"/>
    <x v="50"/>
  </r>
  <r>
    <x v="6"/>
    <x v="6"/>
    <x v="2036"/>
    <x v="2042"/>
    <n v="0"/>
    <n v="0"/>
    <n v="0"/>
    <n v="587.04999999999995"/>
    <n v="111.47"/>
    <n v="0"/>
    <n v="445.86"/>
    <n v="587.04999999999995"/>
    <n v="0"/>
    <n v="0"/>
    <n v="88.98"/>
    <n v="557.61"/>
    <n v="0"/>
    <n v="0"/>
    <n v="0"/>
    <n v="0"/>
    <n v="0"/>
    <n v="0"/>
    <n v="736.85"/>
    <n v="0"/>
    <n v="0"/>
    <n v="0"/>
    <n v="356.54"/>
    <n v="0"/>
    <n v="446.3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0.64"/>
    <n v="0"/>
    <n v="0"/>
    <n v="175.32"/>
    <n v="175.32"/>
    <n v="0"/>
    <n v="701.28"/>
    <n v="0"/>
    <n v="0"/>
    <n v="350.64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1"/>
    <x v="50"/>
  </r>
  <r>
    <x v="6"/>
    <x v="6"/>
    <x v="2037"/>
    <x v="2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8"/>
    <x v="50"/>
  </r>
  <r>
    <x v="6"/>
    <x v="6"/>
    <x v="2038"/>
    <x v="2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9"/>
    <x v="50"/>
  </r>
  <r>
    <x v="6"/>
    <x v="6"/>
    <x v="2039"/>
    <x v="2045"/>
    <n v="106.74"/>
    <n v="0"/>
    <n v="0"/>
    <n v="0"/>
    <n v="0"/>
    <n v="0"/>
    <n v="216.26"/>
    <n v="216.26"/>
    <n v="0"/>
    <n v="0"/>
    <n v="87.04"/>
    <n v="0"/>
    <n v="0"/>
    <n v="0"/>
    <n v="0"/>
    <n v="0"/>
    <n v="0"/>
    <n v="87.04"/>
    <n v="0"/>
    <n v="-87.0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10"/>
    <x v="50"/>
  </r>
  <r>
    <x v="6"/>
    <x v="6"/>
    <x v="2040"/>
    <x v="2046"/>
    <n v="0"/>
    <n v="0"/>
    <n v="0"/>
    <n v="0"/>
    <n v="0"/>
    <n v="958.32"/>
    <n v="958.32"/>
    <n v="0"/>
    <n v="0"/>
    <n v="0"/>
    <n v="0"/>
    <n v="0"/>
    <n v="0"/>
    <n v="0"/>
    <n v="0"/>
    <n v="0"/>
    <n v="0"/>
    <n v="0"/>
    <n v="383.32"/>
    <n v="191.66"/>
    <n v="0"/>
    <n v="0"/>
    <n v="0"/>
    <n v="95.83"/>
    <n v="95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50.64"/>
    <n v="0"/>
    <n v="701.28"/>
    <n v="0"/>
    <n v="0"/>
    <n v="350.64"/>
    <n v="0"/>
    <n v="0"/>
    <n v="350.64"/>
    <n v="0"/>
    <n v="0"/>
    <n v="0"/>
    <n v="0"/>
    <n v="0"/>
    <n v="381.38"/>
    <n v="0"/>
    <n v="0"/>
    <n v="381.38"/>
    <n v="0"/>
    <n v="0"/>
    <n v="190.69"/>
    <n v="0"/>
    <x v="2"/>
    <x v="2"/>
    <s v="71470                   "/>
    <x v="12"/>
    <x v="11"/>
    <x v="50"/>
  </r>
  <r>
    <x v="6"/>
    <x v="6"/>
    <x v="2041"/>
    <x v="2047"/>
    <n v="14.92"/>
    <n v="0"/>
    <n v="208.88"/>
    <n v="0"/>
    <n v="417.76"/>
    <n v="282.37"/>
    <n v="208.88"/>
    <n v="836.64"/>
    <n v="0"/>
    <n v="0"/>
    <n v="0"/>
    <n v="167.33"/>
    <n v="167.33"/>
    <n v="0"/>
    <n v="0"/>
    <n v="0"/>
    <n v="0"/>
    <n v="0"/>
    <n v="669.31"/>
    <n v="0"/>
    <n v="0"/>
    <n v="0"/>
    <n v="334.66"/>
    <n v="334.66"/>
    <n v="167.3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620.16999999999996"/>
    <n v="0"/>
    <n v="0"/>
    <n v="620.16999999999996"/>
    <n v="0"/>
    <n v="620.16999999999996"/>
    <n v="0"/>
    <n v="0"/>
    <n v="310.08999999999997"/>
    <n v="0"/>
    <n v="0"/>
    <n v="0"/>
    <n v="358.3"/>
    <n v="0"/>
    <n v="0"/>
    <n v="358.3"/>
    <n v="0"/>
    <n v="0"/>
    <n v="358.3"/>
    <n v="0"/>
    <n v="0"/>
    <n v="358.3"/>
    <n v="0"/>
    <x v="2"/>
    <x v="2"/>
    <s v="71470                   "/>
    <x v="12"/>
    <x v="12"/>
    <x v="50"/>
  </r>
  <r>
    <x v="6"/>
    <x v="6"/>
    <x v="2042"/>
    <x v="2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2"/>
    <x v="13"/>
    <x v="50"/>
  </r>
  <r>
    <x v="6"/>
    <x v="6"/>
    <x v="2043"/>
    <x v="2049"/>
    <n v="281.27999999999997"/>
    <n v="0"/>
    <n v="281.29000000000002"/>
    <n v="0"/>
    <n v="281.29000000000002"/>
    <n v="0"/>
    <n v="0"/>
    <n v="0"/>
    <n v="0"/>
    <n v="0"/>
    <n v="0"/>
    <n v="241.1"/>
    <n v="0"/>
    <n v="0"/>
    <n v="0"/>
    <n v="0"/>
    <n v="0"/>
    <n v="0"/>
    <n v="0"/>
    <n v="0"/>
    <n v="0"/>
    <n v="0"/>
    <n v="0"/>
    <n v="0"/>
    <n v="120.5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28.04"/>
    <n v="0"/>
    <n v="128.04"/>
    <n v="0"/>
    <n v="128.04"/>
    <n v="0"/>
    <n v="128.04"/>
    <n v="0"/>
    <n v="128.04"/>
    <n v="0"/>
    <n v="0"/>
    <n v="0"/>
    <n v="239.4"/>
    <n v="0"/>
    <n v="0"/>
    <n v="0"/>
    <n v="239.4"/>
    <n v="0"/>
    <n v="0"/>
    <n v="0"/>
    <n v="239.4"/>
    <n v="0"/>
    <n v="0"/>
    <x v="2"/>
    <x v="2"/>
    <s v="71470                   "/>
    <x v="13"/>
    <x v="3"/>
    <x v="50"/>
  </r>
  <r>
    <x v="6"/>
    <x v="6"/>
    <x v="2044"/>
    <x v="2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3"/>
    <x v="10"/>
    <x v="50"/>
  </r>
  <r>
    <x v="6"/>
    <x v="6"/>
    <x v="2045"/>
    <x v="2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12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3"/>
    <x v="11"/>
    <x v="50"/>
  </r>
  <r>
    <x v="6"/>
    <x v="6"/>
    <x v="2046"/>
    <x v="2052"/>
    <n v="555.13"/>
    <n v="0"/>
    <n v="555.12"/>
    <n v="0"/>
    <n v="0"/>
    <n v="0"/>
    <n v="0"/>
    <n v="0"/>
    <n v="0"/>
    <n v="0"/>
    <n v="0"/>
    <n v="0"/>
    <n v="111.03"/>
    <n v="0"/>
    <n v="0"/>
    <n v="0"/>
    <n v="111.03"/>
    <n v="0"/>
    <n v="0"/>
    <n v="0"/>
    <n v="0"/>
    <n v="111.02"/>
    <n v="111.02"/>
    <n v="0"/>
    <n v="111.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6.08"/>
    <n v="0"/>
    <n v="256.08"/>
    <n v="0"/>
    <n v="256.08"/>
    <n v="0"/>
    <n v="256.08"/>
    <n v="0"/>
    <n v="0"/>
    <n v="0"/>
    <n v="0"/>
    <n v="0"/>
    <n v="109.83"/>
    <n v="0"/>
    <n v="0"/>
    <n v="109.83"/>
    <n v="0"/>
    <n v="0"/>
    <n v="109.83"/>
    <n v="0"/>
    <n v="0"/>
    <n v="109.83"/>
    <n v="0"/>
    <x v="2"/>
    <x v="2"/>
    <s v="71470                   "/>
    <x v="13"/>
    <x v="15"/>
    <x v="50"/>
  </r>
  <r>
    <x v="6"/>
    <x v="6"/>
    <x v="2047"/>
    <x v="2053"/>
    <n v="0"/>
    <n v="489.58"/>
    <n v="0"/>
    <n v="0"/>
    <n v="0"/>
    <n v="228"/>
    <n v="414.26"/>
    <n v="247.48"/>
    <n v="0"/>
    <n v="0"/>
    <n v="0"/>
    <n v="0"/>
    <n v="0"/>
    <n v="460.53"/>
    <n v="0"/>
    <n v="0"/>
    <n v="129.12"/>
    <n v="-129.12"/>
    <n v="163.55000000000001"/>
    <n v="197.98"/>
    <n v="129.12"/>
    <n v="0"/>
    <n v="109.92"/>
    <n v="64.56"/>
    <n v="395.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69.70000000000005"/>
    <n v="0"/>
    <n v="591.9"/>
    <n v="0"/>
    <n v="0"/>
    <n v="739.8"/>
    <n v="0"/>
    <n v="0"/>
    <n v="369.9"/>
    <n v="0"/>
    <n v="0"/>
    <n v="0"/>
    <n v="520.74"/>
    <n v="0"/>
    <n v="0"/>
    <n v="128.05000000000001"/>
    <n v="183.54"/>
    <n v="328.67"/>
    <n v="196.35"/>
    <n v="0"/>
    <n v="0"/>
    <n v="0"/>
    <n v="64.03"/>
    <x v="2"/>
    <x v="2"/>
    <s v="71470                   "/>
    <x v="14"/>
    <x v="3"/>
    <x v="50"/>
  </r>
  <r>
    <x v="6"/>
    <x v="6"/>
    <x v="2048"/>
    <x v="2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14"/>
    <x v="0"/>
    <x v="50"/>
  </r>
  <r>
    <x v="6"/>
    <x v="6"/>
    <x v="2048"/>
    <x v="2054"/>
    <n v="0"/>
    <n v="0"/>
    <n v="0"/>
    <n v="0"/>
    <n v="0"/>
    <n v="0"/>
    <n v="0"/>
    <n v="0"/>
    <n v="0"/>
    <n v="0"/>
    <n v="0"/>
    <n v="0"/>
    <n v="0"/>
    <n v="291.83999999999997"/>
    <n v="0"/>
    <n v="0"/>
    <n v="0"/>
    <n v="0"/>
    <n v="0"/>
    <n v="0"/>
    <n v="0"/>
    <n v="0"/>
    <n v="0"/>
    <n v="319.6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.08999999999997"/>
    <n v="0"/>
    <n v="0"/>
    <n v="0"/>
    <n v="0"/>
    <n v="0"/>
    <n v="0"/>
    <n v="0"/>
    <n v="0"/>
    <n v="0"/>
    <n v="0"/>
    <x v="2"/>
    <x v="2"/>
    <s v="71470                   "/>
    <x v="14"/>
    <x v="0"/>
    <x v="50"/>
  </r>
  <r>
    <x v="6"/>
    <x v="6"/>
    <x v="2049"/>
    <x v="2055"/>
    <n v="0"/>
    <n v="222.18"/>
    <n v="0"/>
    <n v="0"/>
    <n v="0"/>
    <n v="111.09"/>
    <n v="111.09"/>
    <n v="0"/>
    <n v="0"/>
    <n v="0"/>
    <n v="0"/>
    <n v="0"/>
    <n v="0"/>
    <n v="88.88"/>
    <n v="0"/>
    <n v="0"/>
    <n v="0"/>
    <n v="0"/>
    <n v="88.87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84.44"/>
    <n v="0"/>
    <n v="0"/>
    <n v="0"/>
    <n v="0"/>
    <n v="184.44"/>
    <n v="0"/>
    <n v="0"/>
    <n v="0"/>
    <n v="0"/>
    <n v="0"/>
    <n v="0"/>
    <n v="180.04"/>
    <n v="0"/>
    <n v="0"/>
    <n v="0"/>
    <n v="0"/>
    <n v="0"/>
    <n v="180.04"/>
    <n v="0"/>
    <n v="0"/>
    <n v="0"/>
    <n v="0"/>
    <x v="2"/>
    <x v="2"/>
    <s v="71470                   "/>
    <x v="14"/>
    <x v="1"/>
    <x v="50"/>
  </r>
  <r>
    <x v="6"/>
    <x v="6"/>
    <x v="2050"/>
    <x v="20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69.36"/>
    <n v="78.48"/>
    <n v="277.02"/>
    <n v="0"/>
    <n v="0"/>
    <n v="355.5"/>
    <n v="0"/>
    <n v="0"/>
    <n v="184.68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8"/>
    <x v="50"/>
  </r>
  <r>
    <x v="6"/>
    <x v="6"/>
    <x v="2051"/>
    <x v="2057"/>
    <n v="0"/>
    <n v="27.3"/>
    <n v="0"/>
    <n v="0"/>
    <n v="20.48"/>
    <n v="20.48"/>
    <n v="40.9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10"/>
    <x v="50"/>
  </r>
  <r>
    <x v="6"/>
    <x v="6"/>
    <x v="2052"/>
    <x v="2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1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11"/>
    <x v="50"/>
  </r>
  <r>
    <x v="6"/>
    <x v="6"/>
    <x v="2053"/>
    <x v="2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13"/>
    <x v="50"/>
  </r>
  <r>
    <x v="6"/>
    <x v="6"/>
    <x v="2054"/>
    <x v="2060"/>
    <n v="0"/>
    <n v="0"/>
    <n v="0"/>
    <n v="0"/>
    <n v="0"/>
    <n v="0"/>
    <n v="0"/>
    <n v="0"/>
    <n v="0"/>
    <n v="0"/>
    <n v="0"/>
    <n v="0"/>
    <n v="45.54"/>
    <n v="0"/>
    <n v="0"/>
    <n v="0"/>
    <n v="0"/>
    <n v="0"/>
    <n v="0"/>
    <n v="0"/>
    <n v="91.07"/>
    <n v="0"/>
    <n v="0"/>
    <n v="0"/>
    <n v="-136.61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14"/>
    <x v="16"/>
    <x v="50"/>
  </r>
  <r>
    <x v="6"/>
    <x v="6"/>
    <x v="2054"/>
    <x v="2060"/>
    <n v="0"/>
    <n v="0"/>
    <n v="0"/>
    <n v="0"/>
    <n v="0"/>
    <n v="0"/>
    <n v="56.92"/>
    <n v="0"/>
    <n v="0"/>
    <n v="0"/>
    <n v="0"/>
    <n v="0"/>
    <n v="0"/>
    <n v="45.54"/>
    <n v="0"/>
    <n v="0"/>
    <n v="0"/>
    <n v="0"/>
    <n v="39.840000000000003"/>
    <n v="91.07"/>
    <n v="91.07"/>
    <n v="0"/>
    <n v="0"/>
    <n v="45.54"/>
    <n v="91.0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16"/>
    <x v="50"/>
  </r>
  <r>
    <x v="6"/>
    <x v="6"/>
    <x v="2055"/>
    <x v="2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4"/>
    <x v="17"/>
    <x v="50"/>
  </r>
  <r>
    <x v="6"/>
    <x v="6"/>
    <x v="2056"/>
    <x v="2062"/>
    <n v="426.87"/>
    <n v="0"/>
    <n v="170.75"/>
    <n v="332.86"/>
    <n v="170.76"/>
    <n v="256.14"/>
    <n v="256.12"/>
    <n v="256.13"/>
    <n v="256.14"/>
    <n v="0"/>
    <n v="204.9"/>
    <n v="546.4"/>
    <n v="546.4"/>
    <n v="136.6"/>
    <n v="0"/>
    <n v="204.9"/>
    <n v="0"/>
    <n v="0"/>
    <n v="68.3"/>
    <n v="409.8"/>
    <n v="136.6"/>
    <n v="0"/>
    <n v="136.6"/>
    <n v="0"/>
    <n v="68.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8.04"/>
    <n v="192.06"/>
    <n v="128.04"/>
    <n v="320.10000000000002"/>
    <n v="0"/>
    <n v="256.08"/>
    <n v="256.08"/>
    <n v="384.12"/>
    <n v="0"/>
    <n v="256.08"/>
    <n v="128.04"/>
    <n v="128.04"/>
    <n v="339.17"/>
    <n v="135.66999999999999"/>
    <n v="135.66999999999999"/>
    <n v="0"/>
    <n v="0"/>
    <n v="0"/>
    <n v="203.5"/>
    <n v="203.5"/>
    <n v="203.5"/>
    <n v="271.33"/>
    <n v="203.5"/>
    <n v="271.33"/>
    <x v="2"/>
    <x v="2"/>
    <s v="71470                   "/>
    <x v="15"/>
    <x v="3"/>
    <x v="50"/>
  </r>
  <r>
    <x v="6"/>
    <x v="6"/>
    <x v="2057"/>
    <x v="20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"/>
    <x v="50"/>
  </r>
  <r>
    <x v="6"/>
    <x v="6"/>
    <x v="2058"/>
    <x v="2064"/>
    <n v="0"/>
    <n v="0"/>
    <n v="0"/>
    <n v="115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8"/>
    <x v="50"/>
  </r>
  <r>
    <x v="6"/>
    <x v="6"/>
    <x v="2059"/>
    <x v="2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9"/>
    <x v="50"/>
  </r>
  <r>
    <x v="6"/>
    <x v="6"/>
    <x v="2060"/>
    <x v="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0"/>
    <x v="50"/>
  </r>
  <r>
    <x v="6"/>
    <x v="6"/>
    <x v="2061"/>
    <x v="20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5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1"/>
    <x v="50"/>
  </r>
  <r>
    <x v="6"/>
    <x v="6"/>
    <x v="2062"/>
    <x v="2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2"/>
    <x v="50"/>
  </r>
  <r>
    <x v="6"/>
    <x v="6"/>
    <x v="2063"/>
    <x v="2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3"/>
    <x v="50"/>
  </r>
  <r>
    <x v="6"/>
    <x v="6"/>
    <x v="2064"/>
    <x v="2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5"/>
    <x v="16"/>
    <x v="50"/>
  </r>
  <r>
    <x v="6"/>
    <x v="6"/>
    <x v="2065"/>
    <x v="2071"/>
    <n v="2697.65"/>
    <n v="3639.79"/>
    <n v="5489.47"/>
    <n v="5185.7"/>
    <n v="7190.01"/>
    <n v="4888.6899999999996"/>
    <n v="4411.16"/>
    <n v="-1298.29"/>
    <n v="3124.1"/>
    <n v="20.8"/>
    <n v="0"/>
    <n v="8008.51"/>
    <n v="1270.8599999999999"/>
    <n v="3062.33"/>
    <n v="3099.02"/>
    <n v="3766.13"/>
    <n v="5979.11"/>
    <n v="3940.97"/>
    <n v="5635.1"/>
    <n v="2177.3200000000002"/>
    <n v="5766.23"/>
    <n v="1938.57"/>
    <n v="3411.79"/>
    <n v="2159.83"/>
    <n v="3042.74"/>
    <n v="12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256.34"/>
    <n v="1530.72"/>
    <n v="6022.07"/>
    <n v="5908.15"/>
    <n v="7839.17"/>
    <n v="5621.33"/>
    <n v="5841.82"/>
    <n v="2613.15"/>
    <n v="2226.1"/>
    <n v="1342.96"/>
    <n v="1732.44"/>
    <n v="2308.11"/>
    <n v="1454.65"/>
    <n v="1466.72"/>
    <n v="1536.69"/>
    <n v="1566.81"/>
    <n v="1615"/>
    <n v="1639.75"/>
    <n v="1526.06"/>
    <n v="1447.76"/>
    <n v="1487.1"/>
    <n v="1534.58"/>
    <n v="1416.62"/>
    <n v="1453.39"/>
    <x v="2"/>
    <x v="2"/>
    <s v="71470                   "/>
    <x v="16"/>
    <x v="2"/>
    <x v="56"/>
  </r>
  <r>
    <x v="6"/>
    <x v="6"/>
    <x v="2066"/>
    <x v="2072"/>
    <n v="13051.17"/>
    <n v="19186.72"/>
    <n v="14771.74"/>
    <n v="11286.67"/>
    <n v="20619.669999999998"/>
    <n v="19859.14"/>
    <n v="10379.370000000001"/>
    <n v="10023.290000000001"/>
    <n v="11587.05"/>
    <n v="6623.76"/>
    <n v="9552.6"/>
    <n v="4113.38"/>
    <n v="12121.34"/>
    <n v="6547.69"/>
    <n v="9014.86"/>
    <n v="16456.8"/>
    <n v="12749.52"/>
    <n v="9780.07"/>
    <n v="9910.2999999999993"/>
    <n v="21509.98"/>
    <n v="10231.219999999999"/>
    <n v="11876.54"/>
    <n v="8759.3799999999992"/>
    <n v="6594.26"/>
    <n v="11221.2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560.24"/>
    <n v="12686.42"/>
    <n v="10254.49"/>
    <n v="11005.19"/>
    <n v="10521.91"/>
    <n v="13391.2"/>
    <n v="16728.82"/>
    <n v="16264"/>
    <n v="16132.28"/>
    <n v="9180.58"/>
    <n v="8981.27"/>
    <n v="11869.68"/>
    <n v="15191.01"/>
    <n v="9445.4"/>
    <n v="10594.37"/>
    <n v="8824.14"/>
    <n v="15632.11"/>
    <n v="11342.92"/>
    <n v="11577.36"/>
    <n v="9056.09"/>
    <n v="9674.2999999999993"/>
    <n v="7135.29"/>
    <n v="6663.78"/>
    <n v="6612.64"/>
    <x v="2"/>
    <x v="2"/>
    <s v="71470                   "/>
    <x v="17"/>
    <x v="3"/>
    <x v="55"/>
  </r>
  <r>
    <x v="6"/>
    <x v="6"/>
    <x v="2067"/>
    <x v="2073"/>
    <n v="2783.16"/>
    <n v="1236.96"/>
    <n v="927.72"/>
    <n v="773.1"/>
    <n v="1391.58"/>
    <n v="2783.16"/>
    <n v="2412.0700000000002"/>
    <n v="1113.26"/>
    <n v="494.78"/>
    <n v="1608.04"/>
    <n v="2350.2199999999998"/>
    <n v="2226.5300000000002"/>
    <n v="2473.92"/>
    <n v="927.72"/>
    <n v="1051.4100000000001"/>
    <n v="1731.73"/>
    <n v="0"/>
    <n v="3522.6"/>
    <n v="1050.5999999999999"/>
    <n v="2411.69"/>
    <n v="494.8"/>
    <n v="742.17"/>
    <n v="2535.77"/>
    <n v="1484.36"/>
    <n v="989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10.88"/>
    <n v="1690.51"/>
    <n v="989.57"/>
    <n v="2473.92"/>
    <n v="989.57"/>
    <n v="1236.96"/>
    <n v="2473.92"/>
    <n v="1236.96"/>
    <n v="1236.96"/>
    <n v="865.87"/>
    <n v="989.57"/>
    <n v="1484.35"/>
    <n v="2211.62"/>
    <n v="1965.89"/>
    <n v="1965.89"/>
    <n v="737.21"/>
    <n v="0"/>
    <n v="1228.68"/>
    <n v="1228.68"/>
    <n v="1228.68"/>
    <n v="1228.68"/>
    <n v="1228.68"/>
    <n v="737.21"/>
    <n v="0"/>
    <x v="2"/>
    <x v="2"/>
    <s v="71470                   "/>
    <x v="17"/>
    <x v="0"/>
    <x v="55"/>
  </r>
  <r>
    <x v="6"/>
    <x v="6"/>
    <x v="2068"/>
    <x v="2074"/>
    <n v="0"/>
    <n v="0"/>
    <n v="0"/>
    <n v="0"/>
    <n v="0"/>
    <n v="0"/>
    <n v="0"/>
    <n v="197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5"/>
    <x v="55"/>
  </r>
  <r>
    <x v="6"/>
    <x v="6"/>
    <x v="2069"/>
    <x v="2075"/>
    <n v="0"/>
    <n v="532.73"/>
    <n v="0"/>
    <n v="0"/>
    <n v="0"/>
    <n v="121.55"/>
    <n v="0"/>
    <n v="0"/>
    <n v="0"/>
    <n v="0"/>
    <n v="48.62"/>
    <n v="48.62"/>
    <n v="0"/>
    <n v="48.62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6"/>
    <x v="55"/>
  </r>
  <r>
    <x v="6"/>
    <x v="6"/>
    <x v="2070"/>
    <x v="2076"/>
    <n v="5506.79"/>
    <n v="8206.35"/>
    <n v="4536.8"/>
    <n v="4125.01"/>
    <n v="9759.7000000000007"/>
    <n v="3600.92"/>
    <n v="5279.54"/>
    <n v="1832.3"/>
    <n v="2732.29"/>
    <n v="3423.84"/>
    <n v="5515.97"/>
    <n v="1504.62"/>
    <n v="5617.24"/>
    <n v="2746.99"/>
    <n v="2191.37"/>
    <n v="4143.76"/>
    <n v="5416.64"/>
    <n v="703.13"/>
    <n v="3512.25"/>
    <n v="7222.4"/>
    <n v="1805.55"/>
    <n v="4413.8900000000003"/>
    <n v="1805.71"/>
    <n v="1659.11"/>
    <n v="5078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403.84"/>
    <n v="5002.6099999999997"/>
    <n v="4017.56"/>
    <n v="3415.71"/>
    <n v="5015.3999999999996"/>
    <n v="5349.76"/>
    <n v="6419.71"/>
    <n v="5884.74"/>
    <n v="5216.0200000000004"/>
    <n v="3109.55"/>
    <n v="2006.16"/>
    <n v="2407.39"/>
    <n v="2902.88"/>
    <n v="3010.39"/>
    <n v="2687.85"/>
    <n v="2150.2800000000002"/>
    <n v="1935.25"/>
    <n v="3870.5"/>
    <n v="5590.73"/>
    <n v="5590.73"/>
    <n v="1935.25"/>
    <n v="1505.2"/>
    <n v="1505.2"/>
    <n v="2150.2800000000002"/>
    <x v="2"/>
    <x v="2"/>
    <s v="71470                   "/>
    <x v="17"/>
    <x v="1"/>
    <x v="55"/>
  </r>
  <r>
    <x v="6"/>
    <x v="6"/>
    <x v="2071"/>
    <x v="2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70                   "/>
    <x v="17"/>
    <x v="7"/>
    <x v="55"/>
  </r>
  <r>
    <x v="6"/>
    <x v="6"/>
    <x v="2071"/>
    <x v="2077"/>
    <n v="0"/>
    <n v="1546.2"/>
    <n v="885.81"/>
    <n v="2952.74"/>
    <n v="3690.89"/>
    <n v="4230.53"/>
    <n v="2391.6999999999998"/>
    <n v="826.76"/>
    <n v="-383.84"/>
    <n v="0"/>
    <n v="0"/>
    <n v="0"/>
    <n v="1228.1500000000001"/>
    <n v="0"/>
    <n v="1181.0899999999999"/>
    <n v="4111.74"/>
    <n v="1653.53"/>
    <n v="1535.43"/>
    <n v="1771.35"/>
    <n v="3543.16"/>
    <n v="1889.75"/>
    <n v="0"/>
    <n v="2598.41"/>
    <n v="944.88"/>
    <n v="1299.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40.4"/>
    <n v="1968.48"/>
    <n v="2952.72"/>
    <n v="2624.64"/>
    <n v="2952.72"/>
    <n v="1968.48"/>
    <n v="2296.56"/>
    <n v="2296.56"/>
    <n v="1804.44"/>
    <n v="1148.28"/>
    <n v="2296.56"/>
    <n v="1640.4"/>
    <n v="1618.4"/>
    <n v="4544.47"/>
    <n v="2447.02"/>
    <n v="4544.47"/>
    <n v="2447.02"/>
    <n v="2330.5"/>
    <n v="2447.02"/>
    <n v="2582.9699999999998"/>
    <n v="2447.02"/>
    <n v="2447.02"/>
    <n v="2447.02"/>
    <n v="1747.87"/>
    <x v="2"/>
    <x v="2"/>
    <s v="71470                   "/>
    <x v="17"/>
    <x v="7"/>
    <x v="55"/>
  </r>
  <r>
    <x v="6"/>
    <x v="6"/>
    <x v="2072"/>
    <x v="2078"/>
    <n v="13159.12"/>
    <n v="14298.83"/>
    <n v="15457.08"/>
    <n v="7852.73"/>
    <n v="15295.35"/>
    <n v="14228.85"/>
    <n v="6928.71"/>
    <n v="12155.47"/>
    <n v="3840.28"/>
    <n v="2327.13"/>
    <n v="7323.28"/>
    <n v="8366.34"/>
    <n v="11122.07"/>
    <n v="7216.76"/>
    <n v="3731.44"/>
    <n v="14584.72"/>
    <n v="10290.75"/>
    <n v="7170.08"/>
    <n v="6947.08"/>
    <n v="15496.2"/>
    <n v="11397.01"/>
    <n v="7909.34"/>
    <n v="7545.32"/>
    <n v="10110.06"/>
    <n v="9995.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920.66"/>
    <n v="16673.259999999998"/>
    <n v="11092.2"/>
    <n v="10307.14"/>
    <n v="10976.04"/>
    <n v="15688.14"/>
    <n v="13782.58"/>
    <n v="15620.68"/>
    <n v="9946.64"/>
    <n v="5104.0200000000004"/>
    <n v="8657.09"/>
    <n v="7643.29"/>
    <n v="12399.29"/>
    <n v="15924.87"/>
    <n v="12588.2"/>
    <n v="7964.27"/>
    <n v="10512.64"/>
    <n v="12557.92"/>
    <n v="8822.42"/>
    <n v="11661.04"/>
    <n v="11943.13"/>
    <n v="5783.6"/>
    <n v="5094.92"/>
    <n v="4415.47"/>
    <x v="2"/>
    <x v="2"/>
    <s v="71470                   "/>
    <x v="17"/>
    <x v="8"/>
    <x v="55"/>
  </r>
  <r>
    <x v="6"/>
    <x v="6"/>
    <x v="2073"/>
    <x v="2079"/>
    <n v="3483.85"/>
    <n v="2908.16"/>
    <n v="4020.92"/>
    <n v="4856.7"/>
    <n v="5786.76"/>
    <n v="1454.42"/>
    <n v="84.9"/>
    <n v="764.1"/>
    <n v="849"/>
    <n v="509.4"/>
    <n v="764.1"/>
    <n v="339.6"/>
    <n v="3483.5"/>
    <n v="1188.5999999999999"/>
    <n v="1298.5"/>
    <n v="3404.2"/>
    <n v="933.9"/>
    <n v="1047.0999999999999"/>
    <n v="339.6"/>
    <n v="2037.6"/>
    <n v="509.4"/>
    <n v="2911.6"/>
    <n v="1748"/>
    <n v="1895.6"/>
    <n v="1814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21.36"/>
    <n v="1589.88"/>
    <n v="1659.36"/>
    <n v="1559.04"/>
    <n v="1358.4"/>
    <n v="1528.2"/>
    <n v="1698"/>
    <n v="1528.2"/>
    <n v="1018.8"/>
    <n v="679.2"/>
    <n v="849"/>
    <n v="1188.5999999999999"/>
    <n v="4042.49"/>
    <n v="2978.62"/>
    <n v="3767.04"/>
    <n v="3767.04"/>
    <n v="3266.33"/>
    <n v="3210.01"/>
    <n v="1914.74"/>
    <n v="1267.1099999999999"/>
    <n v="1182.6400000000001"/>
    <n v="5490.81"/>
    <n v="675.79"/>
    <n v="675.79"/>
    <x v="2"/>
    <x v="2"/>
    <s v="71470                   "/>
    <x v="17"/>
    <x v="9"/>
    <x v="55"/>
  </r>
  <r>
    <x v="6"/>
    <x v="6"/>
    <x v="2074"/>
    <x v="2080"/>
    <n v="2037.6"/>
    <n v="113.2"/>
    <n v="226.4"/>
    <n v="452.8"/>
    <n v="3622.4"/>
    <n v="3222.77"/>
    <n v="1290.48"/>
    <n v="249.04"/>
    <n v="3826.47"/>
    <n v="181.12"/>
    <n v="271.68"/>
    <n v="90.56"/>
    <n v="90.56"/>
    <n v="0"/>
    <n v="0"/>
    <n v="-90.5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10"/>
    <x v="55"/>
  </r>
  <r>
    <x v="6"/>
    <x v="6"/>
    <x v="2075"/>
    <x v="2081"/>
    <n v="0"/>
    <n v="0"/>
    <n v="0"/>
    <n v="0"/>
    <n v="3009.24"/>
    <n v="1929.48"/>
    <n v="8103.81"/>
    <n v="3718.53"/>
    <n v="-1157.69"/>
    <n v="0"/>
    <n v="401.23"/>
    <n v="100.31"/>
    <n v="200.62"/>
    <n v="3148.52"/>
    <n v="1173.02"/>
    <n v="586.51"/>
    <n v="741.12"/>
    <n v="2316.84"/>
    <n v="1143"/>
    <n v="571.17999999999995"/>
    <n v="0"/>
    <n v="0"/>
    <n v="100.31"/>
    <n v="401.2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43.58"/>
    <n v="1929.48"/>
    <n v="2315.38"/>
    <n v="3087.17"/>
    <n v="1929.48"/>
    <n v="3087.17"/>
    <n v="5016.6499999999996"/>
    <n v="4445.47"/>
    <n v="2701.27"/>
    <n v="771.79"/>
    <n v="771.79"/>
    <n v="1157.69"/>
    <n v="399.53"/>
    <n v="299.64999999999998"/>
    <n v="998.82"/>
    <n v="399.53"/>
    <n v="399.53"/>
    <n v="1598.11"/>
    <n v="1598.11"/>
    <n v="599.29"/>
    <n v="399.53"/>
    <n v="399.53"/>
    <n v="499.41"/>
    <n v="399.53"/>
    <x v="2"/>
    <x v="2"/>
    <s v="71470                   "/>
    <x v="17"/>
    <x v="11"/>
    <x v="55"/>
  </r>
  <r>
    <x v="6"/>
    <x v="6"/>
    <x v="2076"/>
    <x v="2082"/>
    <n v="1460.03"/>
    <n v="7300.15"/>
    <n v="4380.09"/>
    <n v="10220.219999999999"/>
    <n v="4380.09"/>
    <n v="8957.3799999999992"/>
    <n v="2628.06"/>
    <n v="0"/>
    <n v="5548.13"/>
    <n v="1168.03"/>
    <n v="6140.15"/>
    <n v="2302.11"/>
    <n v="200.62"/>
    <n v="4845.51"/>
    <n v="6129.09"/>
    <n v="6129.09"/>
    <n v="6198.42"/>
    <n v="4467.0200000000004"/>
    <n v="3775.24"/>
    <n v="10061.76"/>
    <n v="1413.06"/>
    <n v="1225.82"/>
    <n v="1225.82"/>
    <n v="2683.05"/>
    <n v="3677.4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41.3599999999997"/>
    <n v="5910.19"/>
    <n v="3940.13"/>
    <n v="9861.3799999999992"/>
    <n v="5840.13"/>
    <n v="8132.29"/>
    <n v="3283.44"/>
    <n v="5992.71"/>
    <n v="3940.13"/>
    <n v="3283.44"/>
    <n v="2298.41"/>
    <n v="2298.41"/>
    <n v="2506.56"/>
    <n v="3759.84"/>
    <n v="3859.23"/>
    <n v="3446.52"/>
    <n v="5112.42"/>
    <n v="6803.52"/>
    <n v="6992.43"/>
    <n v="6781.14"/>
    <n v="2506.56"/>
    <n v="2506.56"/>
    <n v="2506.56"/>
    <n v="2506.56"/>
    <x v="2"/>
    <x v="2"/>
    <s v="71470                   "/>
    <x v="17"/>
    <x v="12"/>
    <x v="55"/>
  </r>
  <r>
    <x v="6"/>
    <x v="6"/>
    <x v="2077"/>
    <x v="2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95.28"/>
    <n v="1797.88"/>
    <n v="2807.79"/>
    <n v="1897.76"/>
    <n v="1897.76"/>
    <n v="2807.79"/>
    <n v="2916.55"/>
    <n v="3915.37"/>
    <n v="1897.76"/>
    <n v="1897.76"/>
    <n v="1897.76"/>
    <n v="799.06"/>
    <x v="2"/>
    <x v="2"/>
    <s v="71470                   "/>
    <x v="17"/>
    <x v="13"/>
    <x v="55"/>
  </r>
  <r>
    <x v="6"/>
    <x v="6"/>
    <x v="2078"/>
    <x v="2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0.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6000"/>
    <n v="6000"/>
    <n v="6000"/>
    <n v="600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14"/>
    <x v="55"/>
  </r>
  <r>
    <x v="6"/>
    <x v="6"/>
    <x v="2079"/>
    <x v="2085"/>
    <n v="2860.47"/>
    <n v="2010.06"/>
    <n v="2241.9899999999998"/>
    <n v="3478.97"/>
    <n v="4329.3500000000004"/>
    <n v="2010.06"/>
    <n v="0"/>
    <n v="371.09"/>
    <n v="618.48"/>
    <n v="309.24"/>
    <n v="1669.91"/>
    <n v="309.25"/>
    <n v="371.1"/>
    <n v="247.39"/>
    <n v="61.8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54.5"/>
    <n v="989.57"/>
    <n v="371.09"/>
    <n v="371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15"/>
    <x v="55"/>
  </r>
  <r>
    <x v="6"/>
    <x v="6"/>
    <x v="2080"/>
    <x v="2086"/>
    <n v="0"/>
    <n v="1201.2"/>
    <n v="-277.2"/>
    <n v="0"/>
    <n v="123.2"/>
    <n v="2262.87"/>
    <n v="0"/>
    <n v="0"/>
    <n v="0"/>
    <n v="0"/>
    <n v="0"/>
    <n v="0"/>
    <n v="0"/>
    <n v="0"/>
    <n v="0"/>
    <n v="0"/>
    <n v="0"/>
    <n v="0"/>
    <n v="0"/>
    <n v="95.01"/>
    <n v="0"/>
    <n v="741.12"/>
    <n v="0"/>
    <n v="277.92"/>
    <n v="185.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16"/>
    <x v="55"/>
  </r>
  <r>
    <x v="6"/>
    <x v="6"/>
    <x v="2081"/>
    <x v="20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7"/>
    <x v="17"/>
    <x v="55"/>
  </r>
  <r>
    <x v="6"/>
    <x v="6"/>
    <x v="2082"/>
    <x v="2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28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8"/>
    <x v="11"/>
    <x v="50"/>
  </r>
  <r>
    <x v="6"/>
    <x v="6"/>
    <x v="2083"/>
    <x v="2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8"/>
    <x v="12"/>
    <x v="50"/>
  </r>
  <r>
    <x v="6"/>
    <x v="6"/>
    <x v="2084"/>
    <x v="2090"/>
    <n v="0"/>
    <n v="0"/>
    <n v="0"/>
    <n v="0"/>
    <n v="0"/>
    <n v="0"/>
    <n v="0"/>
    <n v="0"/>
    <n v="0"/>
    <n v="0"/>
    <n v="0"/>
    <n v="630"/>
    <n v="0"/>
    <n v="0"/>
    <n v="0"/>
    <n v="0"/>
    <n v="0"/>
    <n v="0"/>
    <n v="0"/>
    <n v="0"/>
    <n v="0"/>
    <n v="704.8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629.13"/>
    <n v="0"/>
    <n v="0"/>
    <x v="2"/>
    <x v="2"/>
    <s v="71470                   "/>
    <x v="19"/>
    <x v="3"/>
    <x v="50"/>
  </r>
  <r>
    <x v="6"/>
    <x v="6"/>
    <x v="2085"/>
    <x v="2091"/>
    <n v="0"/>
    <n v="0"/>
    <n v="0"/>
    <n v="0"/>
    <n v="0"/>
    <n v="51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9"/>
    <x v="1"/>
    <x v="50"/>
  </r>
  <r>
    <x v="6"/>
    <x v="6"/>
    <x v="2086"/>
    <x v="2092"/>
    <n v="0"/>
    <n v="0"/>
    <n v="0"/>
    <n v="0"/>
    <n v="0"/>
    <n v="23.36"/>
    <n v="0"/>
    <n v="0"/>
    <n v="0"/>
    <n v="0"/>
    <n v="0"/>
    <n v="27.2"/>
    <n v="0"/>
    <n v="0"/>
    <n v="0"/>
    <n v="0"/>
    <n v="0"/>
    <n v="0"/>
    <n v="0"/>
    <n v="0"/>
    <n v="0"/>
    <n v="0"/>
    <n v="0"/>
    <n v="1362.8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9"/>
    <x v="8"/>
    <x v="50"/>
  </r>
  <r>
    <x v="6"/>
    <x v="6"/>
    <x v="2087"/>
    <x v="2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9"/>
    <x v="9"/>
    <x v="50"/>
  </r>
  <r>
    <x v="6"/>
    <x v="6"/>
    <x v="2088"/>
    <x v="2094"/>
    <n v="0"/>
    <n v="0"/>
    <n v="0"/>
    <n v="0"/>
    <n v="0"/>
    <n v="0"/>
    <n v="0"/>
    <n v="0"/>
    <n v="0"/>
    <n v="0"/>
    <n v="0"/>
    <n v="74.40000000000000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9"/>
    <x v="11"/>
    <x v="50"/>
  </r>
  <r>
    <x v="6"/>
    <x v="6"/>
    <x v="2089"/>
    <x v="2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19"/>
    <x v="13"/>
    <x v="50"/>
  </r>
  <r>
    <x v="6"/>
    <x v="6"/>
    <x v="2090"/>
    <x v="2096"/>
    <n v="0"/>
    <n v="169.22"/>
    <n v="1061.94"/>
    <n v="353.98"/>
    <n v="0"/>
    <n v="353.98"/>
    <n v="0"/>
    <n v="707.96"/>
    <n v="0"/>
    <n v="353.98"/>
    <n v="0"/>
    <n v="1061.94"/>
    <n v="17.2"/>
    <n v="0"/>
    <n v="707.96"/>
    <n v="707.96"/>
    <n v="353.98"/>
    <n v="0"/>
    <n v="0"/>
    <n v="353.98"/>
    <n v="1061.9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69.22"/>
    <n v="1061.94"/>
    <n v="353.98"/>
    <n v="0"/>
    <n v="353.98"/>
    <n v="0"/>
    <n v="707.96"/>
    <n v="0"/>
    <n v="353.98"/>
    <n v="0"/>
    <n v="1061.94"/>
    <n v="17.2"/>
    <n v="0"/>
    <n v="707.96"/>
    <n v="707.96"/>
    <n v="353.98"/>
    <n v="0"/>
    <n v="0"/>
    <n v="353.98"/>
    <n v="0"/>
    <n v="0"/>
    <n v="0"/>
    <n v="0"/>
    <x v="2"/>
    <x v="2"/>
    <s v="71470                   "/>
    <x v="20"/>
    <x v="2"/>
    <x v="56"/>
  </r>
  <r>
    <x v="6"/>
    <x v="6"/>
    <x v="2091"/>
    <x v="2097"/>
    <n v="0"/>
    <n v="0"/>
    <n v="0"/>
    <n v="0"/>
    <n v="0"/>
    <n v="0"/>
    <n v="0"/>
    <n v="0"/>
    <n v="0"/>
    <n v="51.44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2"/>
    <x v="3"/>
    <x v="50"/>
  </r>
  <r>
    <x v="6"/>
    <x v="6"/>
    <x v="2092"/>
    <x v="2098"/>
    <n v="0"/>
    <n v="0"/>
    <n v="0"/>
    <n v="0"/>
    <n v="0"/>
    <n v="543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2"/>
    <x v="10"/>
    <x v="50"/>
  </r>
  <r>
    <x v="6"/>
    <x v="6"/>
    <x v="2093"/>
    <x v="2099"/>
    <n v="0"/>
    <n v="0"/>
    <n v="0"/>
    <n v="0"/>
    <n v="0"/>
    <n v="1655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2"/>
    <x v="11"/>
    <x v="50"/>
  </r>
  <r>
    <x v="6"/>
    <x v="6"/>
    <x v="2094"/>
    <x v="2100"/>
    <n v="398.33"/>
    <n v="0"/>
    <n v="0"/>
    <n v="0"/>
    <n v="418.49"/>
    <n v="418.49"/>
    <n v="0"/>
    <n v="0"/>
    <n v="0"/>
    <n v="0"/>
    <n v="0"/>
    <n v="334.79"/>
    <n v="0"/>
    <n v="334.79"/>
    <n v="-334.79"/>
    <n v="334.79"/>
    <n v="0"/>
    <n v="669.5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05.16000000000003"/>
    <n v="0"/>
    <n v="0"/>
    <n v="305.16000000000003"/>
    <n v="0"/>
    <n v="0"/>
    <n v="610.30999999999995"/>
    <n v="0"/>
    <n v="0"/>
    <n v="305.16000000000003"/>
    <n v="0"/>
    <n v="0"/>
    <n v="0"/>
    <n v="0"/>
    <n v="0"/>
    <n v="0"/>
    <n v="0"/>
    <n v="0"/>
    <n v="0"/>
    <n v="0"/>
    <n v="0"/>
    <n v="0"/>
    <n v="0"/>
    <x v="2"/>
    <x v="2"/>
    <s v="71470                   "/>
    <x v="22"/>
    <x v="12"/>
    <x v="50"/>
  </r>
  <r>
    <x v="6"/>
    <x v="6"/>
    <x v="2095"/>
    <x v="2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2"/>
    <x v="17"/>
    <x v="50"/>
  </r>
  <r>
    <x v="6"/>
    <x v="6"/>
    <x v="2096"/>
    <x v="2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3"/>
    <x v="8"/>
    <x v="53"/>
  </r>
  <r>
    <x v="6"/>
    <x v="6"/>
    <x v="2097"/>
    <x v="2103"/>
    <n v="1210.08"/>
    <n v="101.77"/>
    <n v="856.98"/>
    <n v="0"/>
    <n v="36.6"/>
    <n v="1893.6"/>
    <n v="16.2"/>
    <n v="451.19"/>
    <n v="997.98"/>
    <n v="0"/>
    <n v="97.2"/>
    <n v="89.15"/>
    <n v="0"/>
    <n v="0"/>
    <n v="896.28"/>
    <n v="0"/>
    <n v="-143.82"/>
    <n v="0"/>
    <n v="0"/>
    <n v="1355.05"/>
    <n v="68.34"/>
    <n v="0"/>
    <n v="19.32"/>
    <n v="0"/>
    <n v="10.3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69.52"/>
    <n v="21.74"/>
    <n v="659.63"/>
    <n v="1357.17"/>
    <n v="42.16"/>
    <n v="10.37"/>
    <n v="-102.36"/>
    <n v="-53.07"/>
    <n v="247.79"/>
    <n v="14.16"/>
    <n v="1083.57"/>
    <n v="0"/>
    <n v="117.48"/>
    <n v="29.86"/>
    <n v="13.79"/>
    <n v="12.33"/>
    <n v="12.33"/>
    <n v="18.899999999999999"/>
    <n v="12.33"/>
    <n v="12.33"/>
    <n v="14.06"/>
    <n v="22.23"/>
    <n v="22.23"/>
    <n v="21.66"/>
    <x v="2"/>
    <x v="2"/>
    <s v="71470                   "/>
    <x v="24"/>
    <x v="3"/>
    <x v="53"/>
  </r>
  <r>
    <x v="6"/>
    <x v="6"/>
    <x v="2098"/>
    <x v="2104"/>
    <n v="0"/>
    <n v="0"/>
    <n v="24.78"/>
    <n v="0"/>
    <n v="624.24"/>
    <n v="0"/>
    <n v="257.04000000000002"/>
    <n v="0"/>
    <n v="6.6"/>
    <n v="0"/>
    <n v="10.14"/>
    <n v="0"/>
    <n v="0"/>
    <n v="0"/>
    <n v="49.56"/>
    <n v="0"/>
    <n v="1346.4"/>
    <n v="1437.25"/>
    <n v="0"/>
    <n v="0"/>
    <n v="1256.71"/>
    <n v="0"/>
    <n v="23.83"/>
    <n v="0"/>
    <n v="2050.2399999999998"/>
    <n v="13.9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24.98"/>
    <n v="207.88"/>
    <n v="0"/>
    <n v="34.5"/>
    <n v="22.6"/>
    <n v="0"/>
    <n v="-34.65"/>
    <n v="-9.1"/>
    <n v="0"/>
    <n v="5.35"/>
    <n v="1173.06"/>
    <n v="28.75"/>
    <n v="14.05"/>
    <n v="12.48"/>
    <n v="12.48"/>
    <n v="12.48"/>
    <n v="12.48"/>
    <n v="12.48"/>
    <n v="12.48"/>
    <n v="12.48"/>
    <n v="12.48"/>
    <n v="12.48"/>
    <n v="12.48"/>
    <n v="12.48"/>
    <x v="2"/>
    <x v="2"/>
    <s v="71470                   "/>
    <x v="24"/>
    <x v="1"/>
    <x v="53"/>
  </r>
  <r>
    <x v="6"/>
    <x v="6"/>
    <x v="2099"/>
    <x v="2105"/>
    <n v="28.44"/>
    <n v="0"/>
    <n v="1043.22"/>
    <n v="0"/>
    <n v="0"/>
    <n v="0"/>
    <n v="0"/>
    <n v="0"/>
    <n v="630.84"/>
    <n v="798.6"/>
    <n v="514.79999999999995"/>
    <n v="0"/>
    <n v="0"/>
    <n v="19.8"/>
    <n v="13.2"/>
    <n v="0"/>
    <n v="-6.6"/>
    <n v="0"/>
    <n v="712.8"/>
    <n v="0"/>
    <n v="8.039999999999999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491.79"/>
    <n v="0"/>
    <n v="0"/>
    <n v="0"/>
    <n v="449.39"/>
    <n v="-32.1"/>
    <n v="-26.75"/>
    <n v="1105.23"/>
    <n v="0"/>
    <n v="32.049999999999997"/>
    <n v="32.049999999999997"/>
    <n v="32.049999999999997"/>
    <n v="32.049999999999997"/>
    <n v="32.049999999999997"/>
    <n v="32.049999999999997"/>
    <n v="32.049999999999997"/>
    <n v="32.729999999999997"/>
    <n v="32.049999999999997"/>
    <n v="32.729999999999997"/>
    <n v="32.729999999999997"/>
    <n v="33.46"/>
    <x v="2"/>
    <x v="2"/>
    <s v="71470                   "/>
    <x v="24"/>
    <x v="8"/>
    <x v="53"/>
  </r>
  <r>
    <x v="6"/>
    <x v="6"/>
    <x v="2100"/>
    <x v="2106"/>
    <n v="0"/>
    <n v="0"/>
    <n v="0"/>
    <n v="0"/>
    <n v="0"/>
    <n v="0"/>
    <n v="0"/>
    <n v="0"/>
    <n v="7.02"/>
    <n v="0"/>
    <n v="12.48"/>
    <n v="0"/>
    <n v="0"/>
    <n v="0"/>
    <n v="0"/>
    <n v="0"/>
    <n v="0"/>
    <n v="0"/>
    <n v="3.06"/>
    <n v="0"/>
    <n v="0"/>
    <n v="0"/>
    <n v="0"/>
    <n v="0"/>
    <n v="0"/>
    <n v="3.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.57"/>
    <n v="0"/>
    <n v="0"/>
    <n v="0"/>
    <n v="5.62"/>
    <n v="0"/>
    <n v="2.52"/>
    <n v="5.2"/>
    <n v="0"/>
    <n v="0"/>
    <n v="0"/>
    <n v="3.01"/>
    <n v="3.01"/>
    <n v="3.01"/>
    <n v="3.01"/>
    <n v="3.01"/>
    <n v="3.01"/>
    <n v="3.01"/>
    <n v="3.01"/>
    <n v="3.01"/>
    <n v="3.01"/>
    <n v="3.01"/>
    <n v="3.01"/>
    <x v="2"/>
    <x v="2"/>
    <s v="71470                   "/>
    <x v="24"/>
    <x v="9"/>
    <x v="53"/>
  </r>
  <r>
    <x v="6"/>
    <x v="6"/>
    <x v="2101"/>
    <x v="2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7"/>
    <n v="0"/>
    <n v="0"/>
    <n v="0"/>
    <n v="0"/>
    <n v="0"/>
    <n v="0"/>
    <n v="0.53"/>
    <n v="0"/>
    <n v="0.68"/>
    <n v="0"/>
    <x v="2"/>
    <x v="2"/>
    <s v="71470                   "/>
    <x v="24"/>
    <x v="10"/>
    <x v="53"/>
  </r>
  <r>
    <x v="6"/>
    <x v="6"/>
    <x v="2102"/>
    <x v="2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n v="1.41"/>
    <n v="1.41"/>
    <n v="1.41"/>
    <n v="1.41"/>
    <n v="1.41"/>
    <n v="1.41"/>
    <n v="1.41"/>
    <n v="1.41"/>
    <n v="1.41"/>
    <n v="1.41"/>
    <n v="1.41"/>
    <x v="2"/>
    <x v="2"/>
    <s v="71470                   "/>
    <x v="24"/>
    <x v="11"/>
    <x v="53"/>
  </r>
  <r>
    <x v="6"/>
    <x v="6"/>
    <x v="2103"/>
    <x v="2109"/>
    <n v="0"/>
    <n v="0"/>
    <n v="9.48"/>
    <n v="0"/>
    <n v="9.5299999999999994"/>
    <n v="0"/>
    <n v="0"/>
    <n v="0"/>
    <n v="0"/>
    <n v="0"/>
    <n v="0"/>
    <n v="0"/>
    <n v="0"/>
    <n v="8.52"/>
    <n v="0"/>
    <n v="0"/>
    <n v="0"/>
    <n v="0"/>
    <n v="3.54"/>
    <n v="0"/>
    <n v="50.35"/>
    <n v="0"/>
    <n v="6.56"/>
    <n v="0"/>
    <n v="0"/>
    <n v="7.0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7.57"/>
    <n v="0"/>
    <n v="0"/>
    <n v="0"/>
    <n v="0"/>
    <n v="0"/>
    <n v="0"/>
    <n v="39.97"/>
    <n v="3.88"/>
    <n v="7.03"/>
    <n v="0"/>
    <n v="34.97"/>
    <n v="34.97"/>
    <n v="34.97"/>
    <n v="34.97"/>
    <n v="34.97"/>
    <n v="34.97"/>
    <n v="34.97"/>
    <n v="34.97"/>
    <n v="34.97"/>
    <n v="34.97"/>
    <n v="34.97"/>
    <n v="34.97"/>
    <x v="2"/>
    <x v="2"/>
    <s v="71470                   "/>
    <x v="24"/>
    <x v="12"/>
    <x v="53"/>
  </r>
  <r>
    <x v="6"/>
    <x v="6"/>
    <x v="2104"/>
    <x v="2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70                   "/>
    <x v="24"/>
    <x v="13"/>
    <x v="53"/>
  </r>
  <r>
    <x v="6"/>
    <x v="6"/>
    <x v="2105"/>
    <x v="2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1"/>
    <n v="0.41"/>
    <n v="0.41"/>
    <n v="0.41"/>
    <n v="0.41"/>
    <n v="0.41"/>
    <n v="0.41"/>
    <n v="0.41"/>
    <n v="0.41"/>
    <n v="0.41"/>
    <n v="0.41"/>
    <n v="0.41"/>
    <x v="2"/>
    <x v="2"/>
    <s v="71470                   "/>
    <x v="24"/>
    <x v="15"/>
    <x v="53"/>
  </r>
  <r>
    <x v="6"/>
    <x v="6"/>
    <x v="2106"/>
    <x v="2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599999999999996"/>
    <n v="4.5599999999999996"/>
    <n v="4.5599999999999996"/>
    <n v="4.5599999999999996"/>
    <n v="4.5599999999999996"/>
    <n v="4.5599999999999996"/>
    <n v="4.5599999999999996"/>
    <n v="4.5599999999999996"/>
    <n v="4.5599999999999996"/>
    <n v="4.5599999999999996"/>
    <n v="4.5599999999999996"/>
    <n v="4.5599999999999996"/>
    <x v="2"/>
    <x v="2"/>
    <s v="71470                   "/>
    <x v="24"/>
    <x v="16"/>
    <x v="53"/>
  </r>
  <r>
    <x v="6"/>
    <x v="6"/>
    <x v="2107"/>
    <x v="2113"/>
    <n v="0"/>
    <n v="0"/>
    <n v="0"/>
    <n v="0"/>
    <n v="0"/>
    <n v="0"/>
    <n v="0"/>
    <n v="0"/>
    <n v="0"/>
    <n v="0"/>
    <n v="0"/>
    <n v="0"/>
    <n v="0"/>
    <n v="0"/>
    <n v="0"/>
    <n v="0"/>
    <n v="22225.22"/>
    <n v="8687.52"/>
    <n v="4479.82"/>
    <n v="313.95999999999998"/>
    <n v="5699.14"/>
    <n v="4937.22"/>
    <n v="4275.6400000000003"/>
    <n v="3888.85"/>
    <n v="5582.9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18.44"/>
    <n v="8896.49"/>
    <n v="8405.7000000000007"/>
    <n v="8233.91"/>
    <n v="8668.1200000000008"/>
    <n v="9913.7199999999993"/>
    <n v="10950.15"/>
    <n v="8549.26"/>
    <n v="11120.11"/>
    <n v="5665.69"/>
    <n v="7850.18"/>
    <n v="6958.82"/>
    <n v="5408.93"/>
    <n v="4800.83"/>
    <n v="5207.74"/>
    <n v="5655.22"/>
    <n v="5080.22"/>
    <n v="6074.87"/>
    <n v="5764.35"/>
    <n v="4642.3500000000004"/>
    <n v="6745.53"/>
    <n v="3231.85"/>
    <n v="4111.7"/>
    <n v="4201.8500000000004"/>
    <x v="2"/>
    <x v="2"/>
    <s v="71480                   "/>
    <x v="11"/>
    <x v="3"/>
    <x v="45"/>
  </r>
  <r>
    <x v="6"/>
    <x v="6"/>
    <x v="2108"/>
    <x v="2114"/>
    <n v="0"/>
    <n v="0"/>
    <n v="0"/>
    <n v="0"/>
    <n v="0"/>
    <n v="0"/>
    <n v="0"/>
    <n v="0"/>
    <n v="0"/>
    <n v="0"/>
    <n v="0"/>
    <n v="0"/>
    <n v="0"/>
    <n v="0"/>
    <n v="0"/>
    <n v="0"/>
    <n v="72998.509999999995"/>
    <n v="15668.22"/>
    <n v="16881.89"/>
    <n v="15479.21"/>
    <n v="16533.740000000002"/>
    <n v="13787.01"/>
    <n v="14351.33"/>
    <n v="13143.69"/>
    <n v="14768.2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360.64"/>
    <n v="18732.009999999998"/>
    <n v="19253.63"/>
    <n v="17512.080000000002"/>
    <n v="16561.990000000002"/>
    <n v="16193.24"/>
    <n v="20010.53"/>
    <n v="16155.6"/>
    <n v="17996.560000000001"/>
    <n v="12382.24"/>
    <n v="12367.23"/>
    <n v="13807.22"/>
    <n v="12221.93"/>
    <n v="13813.77"/>
    <n v="14850.54"/>
    <n v="14970.78"/>
    <n v="14299.83"/>
    <n v="16130.87"/>
    <n v="15454.64"/>
    <n v="11884.86"/>
    <n v="13532.23"/>
    <n v="10155.14"/>
    <n v="9814.4500000000007"/>
    <n v="11152.12"/>
    <x v="2"/>
    <x v="2"/>
    <s v="71480                   "/>
    <x v="11"/>
    <x v="4"/>
    <x v="45"/>
  </r>
  <r>
    <x v="6"/>
    <x v="6"/>
    <x v="2109"/>
    <x v="2115"/>
    <n v="0"/>
    <n v="0"/>
    <n v="0"/>
    <n v="0"/>
    <n v="0"/>
    <n v="0"/>
    <n v="0"/>
    <n v="0"/>
    <n v="0"/>
    <n v="0"/>
    <n v="0"/>
    <n v="0"/>
    <n v="0"/>
    <n v="0"/>
    <n v="0"/>
    <n v="0"/>
    <n v="0"/>
    <n v="61.85"/>
    <n v="0"/>
    <n v="-61.8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80                   "/>
    <x v="11"/>
    <x v="0"/>
    <x v="45"/>
  </r>
  <r>
    <x v="6"/>
    <x v="6"/>
    <x v="2110"/>
    <x v="2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80                   "/>
    <x v="11"/>
    <x v="5"/>
    <x v="45"/>
  </r>
  <r>
    <x v="6"/>
    <x v="6"/>
    <x v="2111"/>
    <x v="2117"/>
    <n v="0"/>
    <n v="0"/>
    <n v="0"/>
    <n v="0"/>
    <n v="0"/>
    <n v="0"/>
    <n v="0"/>
    <n v="0"/>
    <n v="0"/>
    <n v="0"/>
    <n v="0"/>
    <n v="0"/>
    <n v="0"/>
    <n v="0"/>
    <n v="0"/>
    <n v="0"/>
    <n v="75.41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80                   "/>
    <x v="11"/>
    <x v="6"/>
    <x v="45"/>
  </r>
  <r>
    <x v="6"/>
    <x v="6"/>
    <x v="2112"/>
    <x v="2118"/>
    <n v="0"/>
    <n v="0"/>
    <n v="0"/>
    <n v="0"/>
    <n v="0"/>
    <n v="0"/>
    <n v="0"/>
    <n v="0"/>
    <n v="0"/>
    <n v="0"/>
    <n v="0"/>
    <n v="0"/>
    <n v="0"/>
    <n v="0"/>
    <n v="0"/>
    <n v="0"/>
    <n v="1463.87"/>
    <n v="2673.1"/>
    <n v="416.35"/>
    <n v="-1467.37"/>
    <n v="496.13"/>
    <n v="399.77"/>
    <n v="248.79"/>
    <n v="491"/>
    <n v="448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86.81"/>
    <n v="1044.08"/>
    <n v="895.8"/>
    <n v="1070.7"/>
    <n v="1094.08"/>
    <n v="2233.63"/>
    <n v="1471.6"/>
    <n v="1318.05"/>
    <n v="2079.9699999999998"/>
    <n v="1313.3"/>
    <n v="1237.99"/>
    <n v="1226.6500000000001"/>
    <n v="293.45999999999998"/>
    <n v="317.63"/>
    <n v="518.25"/>
    <n v="185.98"/>
    <n v="660.58"/>
    <n v="764.44"/>
    <n v="808.92"/>
    <n v="281.29000000000002"/>
    <n v="642.32000000000005"/>
    <n v="758.36"/>
    <n v="180.08"/>
    <n v="296.24"/>
    <x v="2"/>
    <x v="2"/>
    <s v="71480                   "/>
    <x v="11"/>
    <x v="1"/>
    <x v="45"/>
  </r>
  <r>
    <x v="6"/>
    <x v="6"/>
    <x v="2113"/>
    <x v="2119"/>
    <n v="0"/>
    <n v="0"/>
    <n v="0"/>
    <n v="0"/>
    <n v="0"/>
    <n v="0"/>
    <n v="0"/>
    <n v="0"/>
    <n v="0"/>
    <n v="0"/>
    <n v="0"/>
    <n v="0"/>
    <n v="0"/>
    <n v="0"/>
    <n v="0"/>
    <n v="0"/>
    <n v="0"/>
    <n v="142.56"/>
    <n v="-117.01"/>
    <n v="0"/>
    <n v="22.54"/>
    <n v="0"/>
    <n v="45.08"/>
    <n v="28.63"/>
    <n v="-121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80                   "/>
    <x v="11"/>
    <x v="7"/>
    <x v="45"/>
  </r>
  <r>
    <x v="6"/>
    <x v="6"/>
    <x v="2113"/>
    <x v="2119"/>
    <n v="0"/>
    <n v="0"/>
    <n v="0"/>
    <n v="0"/>
    <n v="0"/>
    <n v="0"/>
    <n v="0"/>
    <n v="0"/>
    <n v="0"/>
    <n v="0"/>
    <n v="0"/>
    <n v="0"/>
    <n v="0"/>
    <n v="0"/>
    <n v="0"/>
    <n v="0"/>
    <n v="906.01"/>
    <n v="236.22"/>
    <n v="0"/>
    <n v="-271.13"/>
    <n v="137.080000000000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01.43"/>
    <n v="566.34"/>
    <n v="498.07"/>
    <n v="667.44"/>
    <n v="522.08000000000004"/>
    <n v="941.82"/>
    <n v="725.77"/>
    <n v="1070.8699999999999"/>
    <n v="700.49"/>
    <n v="688.37"/>
    <n v="639.17999999999995"/>
    <n v="452.6"/>
    <n v="226.68"/>
    <n v="438.65"/>
    <n v="174.38"/>
    <n v="477.16"/>
    <n v="136.9"/>
    <n v="333.04"/>
    <n v="865.44"/>
    <n v="744.11"/>
    <n v="1687.37"/>
    <n v="792.87"/>
    <n v="811.45"/>
    <n v="1075.56"/>
    <x v="2"/>
    <x v="2"/>
    <s v="71480                   "/>
    <x v="11"/>
    <x v="7"/>
    <x v="45"/>
  </r>
  <r>
    <x v="6"/>
    <x v="6"/>
    <x v="2114"/>
    <x v="2120"/>
    <n v="0"/>
    <n v="0"/>
    <n v="0"/>
    <n v="0"/>
    <n v="0"/>
    <n v="0"/>
    <n v="0"/>
    <n v="0"/>
    <n v="0"/>
    <n v="0"/>
    <n v="0"/>
    <n v="0"/>
    <n v="0"/>
    <n v="0"/>
    <n v="0"/>
    <n v="0"/>
    <n v="6430.8"/>
    <n v="4915.41"/>
    <n v="1421.4"/>
    <n v="-2938.04"/>
    <n v="1684.81"/>
    <n v="1078.9100000000001"/>
    <n v="882.62"/>
    <n v="1883.99"/>
    <n v="1506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77.59"/>
    <n v="2660.7"/>
    <n v="2237.0500000000002"/>
    <n v="1740.38"/>
    <n v="2109.6799999999998"/>
    <n v="3124.62"/>
    <n v="2490.98"/>
    <n v="3849.79"/>
    <n v="2814.53"/>
    <n v="2970.94"/>
    <n v="2269.33"/>
    <n v="1937.12"/>
    <n v="1183.1600000000001"/>
    <n v="1781.32"/>
    <n v="1647.03"/>
    <n v="1508.33"/>
    <n v="1280.93"/>
    <n v="2397.7399999999998"/>
    <n v="1232.45"/>
    <n v="1707.28"/>
    <n v="1862.34"/>
    <n v="1335.22"/>
    <n v="1275.99"/>
    <n v="1388.38"/>
    <x v="2"/>
    <x v="2"/>
    <s v="71480                   "/>
    <x v="11"/>
    <x v="8"/>
    <x v="45"/>
  </r>
  <r>
    <x v="6"/>
    <x v="6"/>
    <x v="2115"/>
    <x v="2121"/>
    <n v="0"/>
    <n v="0"/>
    <n v="0"/>
    <n v="0"/>
    <n v="0"/>
    <n v="0"/>
    <n v="0"/>
    <n v="0"/>
    <n v="0"/>
    <n v="0"/>
    <n v="0"/>
    <n v="0"/>
    <n v="0"/>
    <n v="0"/>
    <n v="0"/>
    <n v="0"/>
    <n v="1300.5899999999999"/>
    <n v="575.9"/>
    <n v="70.16"/>
    <n v="-83.72"/>
    <n v="149.05000000000001"/>
    <n v="146.82"/>
    <n v="99.46"/>
    <n v="769.17"/>
    <n v="229.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28.54"/>
    <n v="668.74"/>
    <n v="1375.66"/>
    <n v="1328.98"/>
    <n v="1009.47"/>
    <n v="981.24"/>
    <n v="1028.68"/>
    <n v="1412.54"/>
    <n v="450.71"/>
    <n v="880.52"/>
    <n v="705.51"/>
    <n v="1099.79"/>
    <n v="131.25"/>
    <n v="235.92"/>
    <n v="221.67"/>
    <n v="82.22"/>
    <n v="336.7"/>
    <n v="273.18"/>
    <n v="308.7"/>
    <n v="198.24"/>
    <n v="187.17"/>
    <n v="267.36"/>
    <n v="39.4"/>
    <n v="127.22"/>
    <x v="2"/>
    <x v="2"/>
    <s v="71480                   "/>
    <x v="11"/>
    <x v="9"/>
    <x v="45"/>
  </r>
  <r>
    <x v="6"/>
    <x v="6"/>
    <x v="2116"/>
    <x v="2122"/>
    <n v="0"/>
    <n v="0"/>
    <n v="0"/>
    <n v="0"/>
    <n v="0"/>
    <n v="0"/>
    <n v="0"/>
    <n v="0"/>
    <n v="0"/>
    <n v="0"/>
    <n v="0"/>
    <n v="0"/>
    <n v="0"/>
    <n v="0"/>
    <n v="0"/>
    <n v="0"/>
    <n v="83.68"/>
    <n v="0"/>
    <n v="0"/>
    <n v="-61.1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1.36"/>
    <n v="193.59"/>
    <n v="315.99"/>
    <n v="12.91"/>
    <n v="0"/>
    <n v="0"/>
    <n v="110.27"/>
    <n v="12.91"/>
    <n v="190.57"/>
    <n v="51.62"/>
    <n v="12.91"/>
    <n v="66.739999999999995"/>
    <n v="0"/>
    <n v="21.95"/>
    <n v="0"/>
    <n v="39.17"/>
    <n v="0"/>
    <n v="0"/>
    <n v="61.12"/>
    <n v="21.95"/>
    <n v="39.17"/>
    <n v="0"/>
    <n v="0"/>
    <n v="17.22"/>
    <x v="2"/>
    <x v="2"/>
    <s v="71480                   "/>
    <x v="11"/>
    <x v="10"/>
    <x v="45"/>
  </r>
  <r>
    <x v="6"/>
    <x v="6"/>
    <x v="2117"/>
    <x v="2123"/>
    <n v="0"/>
    <n v="0"/>
    <n v="0"/>
    <n v="0"/>
    <n v="0"/>
    <n v="0"/>
    <n v="0"/>
    <n v="0"/>
    <n v="0"/>
    <n v="0"/>
    <n v="0"/>
    <n v="0"/>
    <n v="0"/>
    <n v="0"/>
    <n v="0"/>
    <n v="0"/>
    <n v="1506.8"/>
    <n v="745.87"/>
    <n v="437.27"/>
    <n v="-31.56"/>
    <n v="497.48"/>
    <n v="349.97"/>
    <n v="1845.81"/>
    <n v="3034.62"/>
    <n v="2760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96.77"/>
    <n v="940.16"/>
    <n v="888.88"/>
    <n v="1477.86"/>
    <n v="1349.69"/>
    <n v="2241.63"/>
    <n v="3051.89"/>
    <n v="3254.25"/>
    <n v="1534.51"/>
    <n v="828.36"/>
    <n v="1468.75"/>
    <n v="1359.52"/>
    <n v="522.79999999999995"/>
    <n v="241.06"/>
    <n v="665.46"/>
    <n v="263.38"/>
    <n v="886.37"/>
    <n v="771.42"/>
    <n v="1374.47"/>
    <n v="1021.34"/>
    <n v="1609.15"/>
    <n v="215.26"/>
    <n v="770.59"/>
    <n v="334.16"/>
    <x v="2"/>
    <x v="2"/>
    <s v="71480                   "/>
    <x v="11"/>
    <x v="11"/>
    <x v="45"/>
  </r>
  <r>
    <x v="6"/>
    <x v="6"/>
    <x v="2118"/>
    <x v="2124"/>
    <n v="0"/>
    <n v="0"/>
    <n v="0"/>
    <n v="0"/>
    <n v="0"/>
    <n v="0"/>
    <n v="0"/>
    <n v="0"/>
    <n v="0"/>
    <n v="0"/>
    <n v="0"/>
    <n v="0"/>
    <n v="0"/>
    <n v="0"/>
    <n v="0"/>
    <n v="0"/>
    <n v="942.73"/>
    <n v="1276.6300000000001"/>
    <n v="313.14999999999998"/>
    <n v="-1445.53"/>
    <n v="42"/>
    <n v="114.07"/>
    <n v="0"/>
    <n v="88.94"/>
    <n v="101.6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991.08"/>
    <n v="19.5"/>
    <n v="131.85"/>
    <n v="0"/>
    <n v="131.85"/>
    <n v="0"/>
    <n v="444.73"/>
    <n v="58.5"/>
    <n v="781.26"/>
    <n v="1522.96"/>
    <n v="39.56"/>
    <n v="1464.44"/>
    <n v="2627.77"/>
    <n v="2170.1999999999998"/>
    <n v="2273.94"/>
    <n v="2853.91"/>
    <n v="3386.39"/>
    <n v="2114.17"/>
    <n v="2179.96"/>
    <n v="1627.33"/>
    <n v="1502.12"/>
    <n v="1484.69"/>
    <n v="2156.4"/>
    <x v="2"/>
    <x v="2"/>
    <s v="71480                   "/>
    <x v="11"/>
    <x v="12"/>
    <x v="45"/>
  </r>
  <r>
    <x v="6"/>
    <x v="6"/>
    <x v="2119"/>
    <x v="2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80                   "/>
    <x v="11"/>
    <x v="13"/>
    <x v="45"/>
  </r>
  <r>
    <x v="6"/>
    <x v="6"/>
    <x v="2120"/>
    <x v="2126"/>
    <n v="0"/>
    <n v="0"/>
    <n v="0"/>
    <n v="0"/>
    <n v="0"/>
    <n v="0"/>
    <n v="0"/>
    <n v="0"/>
    <n v="0"/>
    <n v="0"/>
    <n v="0"/>
    <n v="0"/>
    <n v="0"/>
    <n v="0"/>
    <n v="0"/>
    <n v="0"/>
    <n v="15985.83"/>
    <n v="3881.17"/>
    <n v="3239.47"/>
    <n v="2029.19"/>
    <n v="7335.5"/>
    <n v="3073.93"/>
    <n v="3043.42"/>
    <n v="3493.13"/>
    <n v="3393.1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07.33"/>
    <n v="1563.08"/>
    <n v="1794.99"/>
    <n v="1837.57"/>
    <n v="1437.62"/>
    <n v="2307.87"/>
    <n v="3034.69"/>
    <n v="10834.8"/>
    <n v="4925.13"/>
    <n v="1609.95"/>
    <n v="1993.42"/>
    <n v="2303.3000000000002"/>
    <n v="2766.57"/>
    <n v="3033.12"/>
    <n v="6185.4"/>
    <n v="3224.16"/>
    <n v="3537.88"/>
    <n v="3617.01"/>
    <n v="3384.17"/>
    <n v="2734.86"/>
    <n v="4914.3599999999997"/>
    <n v="2330.63"/>
    <n v="2859.54"/>
    <n v="3091.8"/>
    <x v="2"/>
    <x v="2"/>
    <s v="71480                   "/>
    <x v="11"/>
    <x v="14"/>
    <x v="45"/>
  </r>
  <r>
    <x v="6"/>
    <x v="6"/>
    <x v="2121"/>
    <x v="2127"/>
    <n v="0"/>
    <n v="0"/>
    <n v="0"/>
    <n v="0"/>
    <n v="0"/>
    <n v="0"/>
    <n v="0"/>
    <n v="0"/>
    <n v="0"/>
    <n v="0"/>
    <n v="0"/>
    <n v="0"/>
    <n v="0"/>
    <n v="0"/>
    <n v="0"/>
    <n v="0"/>
    <n v="207.43"/>
    <n v="130.37"/>
    <n v="35.33"/>
    <n v="35.33"/>
    <n v="82.44"/>
    <n v="47.11"/>
    <n v="35.33"/>
    <n v="171.16"/>
    <n v="35.3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78"/>
    <n v="54.58"/>
    <n v="79.150000000000006"/>
    <n v="134.62"/>
    <n v="73.099999999999994"/>
    <n v="61.74"/>
    <n v="53.37"/>
    <n v="0"/>
    <n v="0"/>
    <n v="86.94"/>
    <n v="0"/>
    <n v="128.57"/>
    <x v="2"/>
    <x v="2"/>
    <s v="71480                   "/>
    <x v="11"/>
    <x v="15"/>
    <x v="45"/>
  </r>
  <r>
    <x v="6"/>
    <x v="6"/>
    <x v="2122"/>
    <x v="2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36.14"/>
    <n v="-303.55"/>
    <n v="-260.69"/>
    <n v="-184.51"/>
    <n v="-135.82"/>
    <n v="2752.86"/>
    <n v="-1432.1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480                   "/>
    <x v="11"/>
    <x v="16"/>
    <x v="45"/>
  </r>
  <r>
    <x v="6"/>
    <x v="6"/>
    <x v="2122"/>
    <x v="2128"/>
    <n v="0"/>
    <n v="0"/>
    <n v="0"/>
    <n v="0"/>
    <n v="0"/>
    <n v="0"/>
    <n v="0"/>
    <n v="0"/>
    <n v="0"/>
    <n v="0"/>
    <n v="0"/>
    <n v="0"/>
    <n v="0"/>
    <n v="0"/>
    <n v="0"/>
    <n v="0"/>
    <n v="206.04"/>
    <n v="45.54"/>
    <n v="0"/>
    <n v="-45.54"/>
    <n v="0"/>
    <n v="0"/>
    <n v="20.9"/>
    <n v="83.5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35.95"/>
    <n v="1191.24"/>
    <n v="1176.8800000000001"/>
    <n v="1663.84"/>
    <n v="896.24"/>
    <n v="1441.61"/>
    <n v="2444.2199999999998"/>
    <n v="1542.24"/>
    <n v="1789.65"/>
    <n v="1015.47"/>
    <n v="1442.68"/>
    <n v="1375.04"/>
    <n v="659.63"/>
    <n v="384.03"/>
    <n v="445.4"/>
    <n v="665.33"/>
    <n v="414.68"/>
    <n v="299.61"/>
    <n v="647.65"/>
    <n v="680.48"/>
    <n v="274.68"/>
    <n v="517.16999999999996"/>
    <n v="321.43"/>
    <n v="294.41000000000003"/>
    <x v="2"/>
    <x v="2"/>
    <s v="71480                   "/>
    <x v="11"/>
    <x v="16"/>
    <x v="45"/>
  </r>
  <r>
    <x v="6"/>
    <x v="6"/>
    <x v="2123"/>
    <x v="2129"/>
    <n v="0"/>
    <n v="0"/>
    <n v="0"/>
    <n v="0"/>
    <n v="0"/>
    <n v="0"/>
    <n v="0"/>
    <n v="0"/>
    <n v="0"/>
    <n v="0"/>
    <n v="0"/>
    <n v="0"/>
    <n v="0"/>
    <n v="0"/>
    <n v="0"/>
    <n v="0"/>
    <n v="0"/>
    <n v="576.2999999999999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480                   "/>
    <x v="11"/>
    <x v="17"/>
    <x v="45"/>
  </r>
  <r>
    <x v="7"/>
    <x v="7"/>
    <x v="2124"/>
    <x v="2130"/>
    <n v="0"/>
    <n v="0"/>
    <n v="0"/>
    <n v="0"/>
    <n v="0"/>
    <n v="0"/>
    <n v="0"/>
    <n v="0"/>
    <n v="0"/>
    <n v="0"/>
    <n v="0"/>
    <n v="0"/>
    <n v="41691.620000000003"/>
    <n v="62511.19"/>
    <n v="16813.36"/>
    <n v="50947.02"/>
    <n v="50698.84"/>
    <n v="30924.52"/>
    <n v="166016.4"/>
    <n v="58900.55"/>
    <n v="59383.73"/>
    <n v="60387.34"/>
    <n v="36638.449999999997"/>
    <n v="57020.92"/>
    <n v="48477.56"/>
    <n v="-10011.9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6007.43"/>
    <n v="51007.43"/>
    <n v="44262.43"/>
    <n v="41531.39"/>
    <n v="41531.39"/>
    <n v="41531.39"/>
    <n v="38948.06"/>
    <n v="38948.06"/>
    <n v="38948.06"/>
    <n v="38948.06"/>
    <n v="38948.06"/>
    <n v="38948.06"/>
    <n v="61089.15"/>
    <n v="63125.46"/>
    <n v="61089.15"/>
    <n v="63125.46"/>
    <n v="63125.46"/>
    <n v="61089.15"/>
    <n v="63125.46"/>
    <n v="61089.15"/>
    <n v="63125.46"/>
    <n v="63125.46"/>
    <n v="57016.54"/>
    <n v="63125.46"/>
    <x v="1"/>
    <x v="3"/>
    <s v="71700                   "/>
    <x v="1"/>
    <x v="2"/>
    <x v="31"/>
  </r>
  <r>
    <x v="7"/>
    <x v="7"/>
    <x v="2124"/>
    <x v="2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700                   "/>
    <x v="1"/>
    <x v="2"/>
    <x v="31"/>
  </r>
  <r>
    <x v="7"/>
    <x v="7"/>
    <x v="2125"/>
    <x v="2131"/>
    <n v="0"/>
    <n v="0"/>
    <n v="0"/>
    <n v="0"/>
    <n v="0"/>
    <n v="0"/>
    <n v="0"/>
    <n v="0"/>
    <n v="0"/>
    <n v="0"/>
    <n v="0"/>
    <n v="0"/>
    <n v="479.32"/>
    <n v="1111.8399999999999"/>
    <n v="1400.74"/>
    <n v="1372.79"/>
    <n v="1310.3"/>
    <n v="1480.67"/>
    <n v="1516.15"/>
    <n v="1303.3800000000001"/>
    <n v="1500.62"/>
    <n v="1487.01"/>
    <n v="1409.13"/>
    <n v="1515.24"/>
    <n v="-15887.1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49.35"/>
    <n v="649.35"/>
    <n v="649.35"/>
    <n v="649.35"/>
    <n v="649.35"/>
    <n v="649.35"/>
    <n v="649.35"/>
    <n v="649.35"/>
    <n v="649.35"/>
    <n v="649.35"/>
    <n v="649.35"/>
    <n v="649.35"/>
    <n v="1255.49"/>
    <n v="1255.49"/>
    <n v="1255.49"/>
    <n v="1832.89"/>
    <n v="1255.49"/>
    <n v="1255.49"/>
    <n v="1255.49"/>
    <n v="1255.49"/>
    <n v="1255.49"/>
    <n v="1832.89"/>
    <n v="1255.49"/>
    <n v="1255.49"/>
    <x v="3"/>
    <x v="3"/>
    <s v="71700                   "/>
    <x v="0"/>
    <x v="2"/>
    <x v="57"/>
  </r>
  <r>
    <x v="7"/>
    <x v="7"/>
    <x v="2125"/>
    <x v="2131"/>
    <n v="2415.2600000000002"/>
    <n v="3376.99"/>
    <n v="3598.77"/>
    <n v="2999.01"/>
    <n v="2976.8"/>
    <n v="3423.36"/>
    <n v="3719.11"/>
    <n v="3629.79"/>
    <n v="3551.31"/>
    <n v="3652.02"/>
    <n v="3296.42"/>
    <n v="3666.16"/>
    <n v="2199.4499999999998"/>
    <n v="4713.91"/>
    <n v="5847.54"/>
    <n v="5741.33"/>
    <n v="5447.73"/>
    <n v="6321.99"/>
    <n v="6488.37"/>
    <n v="5641.99"/>
    <n v="6428.44"/>
    <n v="6369.18"/>
    <n v="6062.01"/>
    <n v="6480.9"/>
    <n v="6141.03"/>
    <n v="-470.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197.3999999999996"/>
    <n v="5197.3999999999996"/>
    <n v="5197.3999999999996"/>
    <n v="5197.3999999999996"/>
    <n v="5197.3999999999996"/>
    <n v="5197.3999999999996"/>
    <n v="5197.3999999999996"/>
    <n v="5197.3999999999996"/>
    <n v="5197.3999999999996"/>
    <n v="5197.3999999999996"/>
    <n v="5197.3999999999996"/>
    <n v="5197.3999999999996"/>
    <n v="5417.45"/>
    <n v="5623.1"/>
    <n v="5417.45"/>
    <n v="5045.71"/>
    <n v="5623.1"/>
    <n v="5417.45"/>
    <n v="5623.1"/>
    <n v="5417.45"/>
    <n v="5623.1"/>
    <n v="5045.71"/>
    <n v="5006.16"/>
    <n v="5623.1"/>
    <x v="2"/>
    <x v="3"/>
    <s v="71700                   "/>
    <x v="0"/>
    <x v="2"/>
    <x v="57"/>
  </r>
  <r>
    <x v="7"/>
    <x v="7"/>
    <x v="2126"/>
    <x v="2132"/>
    <n v="0"/>
    <n v="0"/>
    <n v="0"/>
    <n v="0"/>
    <n v="0"/>
    <n v="0"/>
    <n v="0"/>
    <n v="0"/>
    <n v="0"/>
    <n v="0"/>
    <n v="0"/>
    <n v="0"/>
    <n v="3254.5"/>
    <n v="2132.48"/>
    <n v="1261.4000000000001"/>
    <n v="-545.47"/>
    <n v="1076.7"/>
    <n v="948.66"/>
    <n v="3531.84"/>
    <n v="980.72"/>
    <n v="1640.46"/>
    <n v="2873.95"/>
    <n v="2570.14"/>
    <n v="2695.6"/>
    <n v="2496.37"/>
    <n v="-411.4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79.06"/>
    <n v="1017"/>
    <n v="814.05"/>
    <n v="448.03"/>
    <n v="291.61"/>
    <n v="291.61"/>
    <n v="488.37"/>
    <n v="291.61"/>
    <n v="291.61"/>
    <n v="2002.17"/>
    <n v="2002.17"/>
    <n v="2002.17"/>
    <n v="1524.33"/>
    <n v="1574.73"/>
    <n v="1524.33"/>
    <n v="1357.81"/>
    <n v="1006.06"/>
    <n v="800.67"/>
    <n v="672.77"/>
    <n v="651.05999999999995"/>
    <n v="672.77"/>
    <n v="492.46"/>
    <n v="474.75"/>
    <n v="525.62"/>
    <x v="1"/>
    <x v="3"/>
    <s v="71705                   "/>
    <x v="1"/>
    <x v="2"/>
    <x v="31"/>
  </r>
  <r>
    <x v="7"/>
    <x v="7"/>
    <x v="2127"/>
    <x v="2133"/>
    <n v="0"/>
    <n v="0"/>
    <n v="0"/>
    <n v="0"/>
    <n v="0"/>
    <n v="0"/>
    <n v="0"/>
    <n v="0"/>
    <n v="0"/>
    <n v="0"/>
    <n v="0"/>
    <n v="0"/>
    <n v="1465.25"/>
    <n v="1566.57"/>
    <n v="1163.75"/>
    <n v="328.68"/>
    <n v="980.67"/>
    <n v="893.33"/>
    <n v="2677.94"/>
    <n v="1159.78"/>
    <n v="774.59"/>
    <n v="0"/>
    <n v="0"/>
    <n v="803.76"/>
    <n v="1281.5"/>
    <n v="-194.8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89.89"/>
    <n v="789.89"/>
    <n v="707.12"/>
    <n v="653.86"/>
    <n v="653.86"/>
    <n v="653.86"/>
    <n v="759.49"/>
    <n v="759.49"/>
    <n v="759.49"/>
    <n v="0"/>
    <n v="0"/>
    <n v="0"/>
    <n v="1191.24"/>
    <n v="1230.95"/>
    <n v="1191.24"/>
    <n v="1230.95"/>
    <n v="1230.95"/>
    <n v="1191.24"/>
    <n v="1230.95"/>
    <n v="1191.24"/>
    <n v="1230.95"/>
    <n v="1230.95"/>
    <n v="1111.82"/>
    <n v="1230.95"/>
    <x v="1"/>
    <x v="3"/>
    <s v="71710                   "/>
    <x v="1"/>
    <x v="2"/>
    <x v="31"/>
  </r>
  <r>
    <x v="7"/>
    <x v="7"/>
    <x v="2128"/>
    <x v="2134"/>
    <n v="0"/>
    <n v="0"/>
    <n v="0"/>
    <n v="0"/>
    <n v="0"/>
    <n v="0"/>
    <n v="0"/>
    <n v="0"/>
    <n v="0"/>
    <n v="0"/>
    <n v="0"/>
    <n v="0"/>
    <n v="1780.09"/>
    <n v="1133.5999999999999"/>
    <n v="675.31"/>
    <n v="-296.05"/>
    <n v="630.80999999999995"/>
    <n v="504.35"/>
    <n v="1994.02"/>
    <n v="573.54"/>
    <n v="927.13"/>
    <n v="1600.55"/>
    <n v="1430.19"/>
    <n v="1504.34"/>
    <n v="1369.93"/>
    <n v="-225.0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2.35"/>
    <n v="773.91"/>
    <n v="649.77"/>
    <n v="227.04"/>
    <n v="178.08"/>
    <n v="178.08"/>
    <n v="320.64999999999998"/>
    <n v="320.64999999999998"/>
    <n v="320.64999999999998"/>
    <n v="994.18"/>
    <n v="994.18"/>
    <n v="994.18"/>
    <n v="1607.87"/>
    <n v="1661.46"/>
    <n v="1607.87"/>
    <n v="1414.99"/>
    <n v="1106.72"/>
    <n v="835.67"/>
    <n v="715.44"/>
    <n v="692.36"/>
    <n v="664.39"/>
    <n v="558.96"/>
    <n v="504.87"/>
    <n v="558.96"/>
    <x v="1"/>
    <x v="3"/>
    <s v="71715                   "/>
    <x v="1"/>
    <x v="2"/>
    <x v="31"/>
  </r>
  <r>
    <x v="7"/>
    <x v="7"/>
    <x v="2129"/>
    <x v="2135"/>
    <n v="0"/>
    <n v="0"/>
    <n v="0"/>
    <n v="0"/>
    <n v="0"/>
    <n v="0"/>
    <n v="0"/>
    <n v="0"/>
    <n v="0"/>
    <n v="0"/>
    <n v="0"/>
    <n v="0"/>
    <n v="11691.3"/>
    <n v="21111.9"/>
    <n v="-43187.1"/>
    <n v="5770.7"/>
    <n v="2585"/>
    <n v="-2700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720                   "/>
    <x v="1"/>
    <x v="2"/>
    <x v="31"/>
  </r>
  <r>
    <x v="7"/>
    <x v="7"/>
    <x v="2130"/>
    <x v="2136"/>
    <n v="0"/>
    <n v="0"/>
    <n v="0"/>
    <n v="0"/>
    <n v="0"/>
    <n v="0"/>
    <n v="0"/>
    <n v="0"/>
    <n v="0"/>
    <n v="0"/>
    <n v="0"/>
    <n v="0"/>
    <n v="1208.55"/>
    <n v="1323.48"/>
    <n v="965.05"/>
    <n v="397.16"/>
    <n v="1306.78"/>
    <n v="369.24"/>
    <n v="1963.92"/>
    <n v="841.03"/>
    <n v="746.88"/>
    <n v="-982.88"/>
    <n v="31.79"/>
    <n v="-22884.65"/>
    <n v="-2370.7800000000002"/>
    <n v="-94.5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4.79"/>
    <n v="834.79"/>
    <n v="655.88"/>
    <n v="412.78"/>
    <n v="309.75"/>
    <n v="279.77"/>
    <n v="381.6"/>
    <n v="305.18"/>
    <n v="229.04"/>
    <n v="796.61"/>
    <n v="796.61"/>
    <n v="796.61"/>
    <n v="591.34"/>
    <n v="611.04999999999995"/>
    <n v="591.34"/>
    <n v="611.04999999999995"/>
    <n v="611.04999999999995"/>
    <n v="591.34"/>
    <n v="611.04999999999995"/>
    <n v="591.34"/>
    <n v="611.04999999999995"/>
    <n v="611.04999999999995"/>
    <n v="551.91999999999996"/>
    <n v="611.04999999999995"/>
    <x v="1"/>
    <x v="3"/>
    <s v="71725                   "/>
    <x v="1"/>
    <x v="2"/>
    <x v="31"/>
  </r>
  <r>
    <x v="7"/>
    <x v="7"/>
    <x v="2131"/>
    <x v="2137"/>
    <n v="0"/>
    <n v="0"/>
    <n v="0"/>
    <n v="0"/>
    <n v="0"/>
    <n v="0"/>
    <n v="0"/>
    <n v="0"/>
    <n v="0"/>
    <n v="0"/>
    <n v="0"/>
    <n v="0"/>
    <n v="3212.9"/>
    <n v="3053.57"/>
    <n v="2853.57"/>
    <n v="28.21"/>
    <n v="1672.14"/>
    <n v="2165.13"/>
    <n v="6261.75"/>
    <n v="2291.2199999999998"/>
    <n v="2542.0100000000002"/>
    <n v="2599.2399999999998"/>
    <n v="2589.81"/>
    <n v="1246.8399999999999"/>
    <n v="2338.08"/>
    <n v="2088.6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39.24"/>
    <n v="1739.24"/>
    <n v="1642.93"/>
    <n v="1642.93"/>
    <n v="1642.93"/>
    <n v="1642.93"/>
    <n v="1990.41"/>
    <n v="1990.41"/>
    <n v="1990.41"/>
    <n v="1990.41"/>
    <n v="1990.41"/>
    <n v="1990.41"/>
    <n v="2457.2600000000002"/>
    <n v="2457.2600000000002"/>
    <n v="2457.2600000000002"/>
    <n v="2457.2600000000002"/>
    <n v="2457.2600000000002"/>
    <n v="2457.2600000000002"/>
    <n v="2457.2600000000002"/>
    <n v="2330.17"/>
    <n v="2203.0700000000002"/>
    <n v="2203.0700000000002"/>
    <n v="2203.0700000000002"/>
    <n v="2203.0700000000002"/>
    <x v="1"/>
    <x v="3"/>
    <s v="71735                   "/>
    <x v="1"/>
    <x v="2"/>
    <x v="31"/>
  </r>
  <r>
    <x v="7"/>
    <x v="7"/>
    <x v="2131"/>
    <x v="2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735                   "/>
    <x v="1"/>
    <x v="2"/>
    <x v="2"/>
  </r>
  <r>
    <x v="7"/>
    <x v="7"/>
    <x v="2132"/>
    <x v="2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740                   "/>
    <x v="1"/>
    <x v="2"/>
    <x v="31"/>
  </r>
  <r>
    <x v="7"/>
    <x v="7"/>
    <x v="2132"/>
    <x v="2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740                   "/>
    <x v="1"/>
    <x v="2"/>
    <x v="2"/>
  </r>
  <r>
    <x v="7"/>
    <x v="7"/>
    <x v="2133"/>
    <x v="2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34619.65"/>
    <n v="-16423.89"/>
    <n v="-12957.78"/>
    <n v="-11800"/>
    <n v="-12174.63"/>
    <n v="-11873.3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6436.05"/>
    <n v="-16584.47"/>
    <n v="-16436.05"/>
    <n v="-16584.47"/>
    <n v="-16584.47"/>
    <n v="-16419.93"/>
    <n v="-16537.54"/>
    <n v="-16390.64"/>
    <n v="-16537.54"/>
    <n v="-16537.54"/>
    <n v="-16096.83"/>
    <n v="-16537.54"/>
    <x v="1"/>
    <x v="3"/>
    <s v="71745                   "/>
    <x v="1"/>
    <x v="2"/>
    <x v="31"/>
  </r>
  <r>
    <x v="7"/>
    <x v="7"/>
    <x v="2134"/>
    <x v="2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59.84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750                   "/>
    <x v="1"/>
    <x v="2"/>
    <x v="31"/>
  </r>
  <r>
    <x v="7"/>
    <x v="7"/>
    <x v="2135"/>
    <x v="2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5.9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6.66"/>
    <n v="416.66"/>
    <n v="416.66"/>
    <n v="416.66"/>
    <n v="416.66"/>
    <n v="416.66"/>
    <n v="416.66"/>
    <n v="416.66"/>
    <n v="416.66"/>
    <n v="416.66"/>
    <n v="416.66"/>
    <n v="416.66"/>
    <n v="0"/>
    <n v="0"/>
    <n v="0"/>
    <n v="0"/>
    <n v="0"/>
    <n v="0"/>
    <n v="0"/>
    <n v="0"/>
    <n v="0"/>
    <n v="0"/>
    <n v="0"/>
    <n v="0"/>
    <x v="1"/>
    <x v="3"/>
    <s v="71900                   "/>
    <x v="1"/>
    <x v="2"/>
    <x v="31"/>
  </r>
  <r>
    <x v="7"/>
    <x v="7"/>
    <x v="2136"/>
    <x v="2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910                   "/>
    <x v="1"/>
    <x v="2"/>
    <x v="31"/>
  </r>
  <r>
    <x v="7"/>
    <x v="7"/>
    <x v="2137"/>
    <x v="2143"/>
    <n v="0"/>
    <n v="0"/>
    <n v="0"/>
    <n v="0"/>
    <n v="0"/>
    <n v="0"/>
    <n v="0"/>
    <n v="0"/>
    <n v="0"/>
    <n v="0"/>
    <n v="0"/>
    <n v="0"/>
    <n v="13187.5"/>
    <n v="13187.5"/>
    <n v="-5593.75"/>
    <n v="14021"/>
    <n v="13015.18"/>
    <n v="-41842.480000000003"/>
    <n v="7343.75"/>
    <n v="7343.75"/>
    <n v="8843.75"/>
    <n v="6343.75"/>
    <n v="6343.75"/>
    <n v="6343.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593.75"/>
    <n v="6593.75"/>
    <n v="6593.75"/>
    <n v="6593.75"/>
    <n v="6593.75"/>
    <n v="6593.75"/>
    <n v="6593.75"/>
    <n v="6593.75"/>
    <n v="6593.75"/>
    <n v="6593.75"/>
    <n v="6593.75"/>
    <n v="6593.75"/>
    <n v="6885.42"/>
    <n v="6885.42"/>
    <n v="6885.42"/>
    <n v="6885.42"/>
    <n v="6885.42"/>
    <n v="6885.42"/>
    <n v="6885.42"/>
    <n v="6885.42"/>
    <n v="6885.42"/>
    <n v="6885.42"/>
    <n v="6885.42"/>
    <n v="6885.42"/>
    <x v="1"/>
    <x v="3"/>
    <s v="82000                   "/>
    <x v="1"/>
    <x v="2"/>
    <x v="58"/>
  </r>
  <r>
    <x v="7"/>
    <x v="7"/>
    <x v="2137"/>
    <x v="2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82000                   "/>
    <x v="1"/>
    <x v="2"/>
    <x v="2"/>
  </r>
  <r>
    <x v="7"/>
    <x v="7"/>
    <x v="2138"/>
    <x v="2144"/>
    <n v="0"/>
    <n v="0"/>
    <n v="0"/>
    <n v="0"/>
    <n v="0"/>
    <n v="0"/>
    <n v="0"/>
    <n v="0"/>
    <n v="0"/>
    <n v="0"/>
    <n v="0"/>
    <n v="0"/>
    <n v="566.16"/>
    <n v="566.16"/>
    <n v="-413.01"/>
    <n v="0"/>
    <n v="0"/>
    <n v="0"/>
    <n v="0"/>
    <n v="1124.82"/>
    <n v="0"/>
    <n v="902.07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9.77"/>
    <n v="239.77"/>
    <n v="239.77"/>
    <n v="239.77"/>
    <n v="239.77"/>
    <n v="239.77"/>
    <n v="239.77"/>
    <n v="239.77"/>
    <n v="239.77"/>
    <n v="239.77"/>
    <n v="239.77"/>
    <n v="239.77"/>
    <n v="170.41"/>
    <n v="170.41"/>
    <n v="170.41"/>
    <n v="170.41"/>
    <n v="170.41"/>
    <n v="170.41"/>
    <n v="170.41"/>
    <n v="170.41"/>
    <n v="170.41"/>
    <n v="170.41"/>
    <n v="170.41"/>
    <n v="170.41"/>
    <x v="1"/>
    <x v="3"/>
    <s v="82010                   "/>
    <x v="1"/>
    <x v="2"/>
    <x v="58"/>
  </r>
  <r>
    <x v="7"/>
    <x v="7"/>
    <x v="2139"/>
    <x v="2145"/>
    <n v="0"/>
    <n v="0"/>
    <n v="0"/>
    <n v="0"/>
    <n v="0"/>
    <n v="0"/>
    <n v="0"/>
    <n v="0"/>
    <n v="0"/>
    <n v="0"/>
    <n v="0"/>
    <n v="0"/>
    <n v="347.1"/>
    <n v="347.1"/>
    <n v="-173.55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3.55"/>
    <n v="173.55"/>
    <n v="173.55"/>
    <n v="173.55"/>
    <n v="173.55"/>
    <n v="173.55"/>
    <n v="173.55"/>
    <n v="173.55"/>
    <n v="173.55"/>
    <n v="173.55"/>
    <n v="173.55"/>
    <n v="173.55"/>
    <n v="181.22"/>
    <n v="181.22"/>
    <n v="181.22"/>
    <n v="181.22"/>
    <n v="181.22"/>
    <n v="181.22"/>
    <n v="181.22"/>
    <n v="181.22"/>
    <n v="181.22"/>
    <n v="181.22"/>
    <n v="181.22"/>
    <n v="181.22"/>
    <x v="1"/>
    <x v="3"/>
    <s v="82020                   "/>
    <x v="1"/>
    <x v="2"/>
    <x v="58"/>
  </r>
  <r>
    <x v="7"/>
    <x v="7"/>
    <x v="2140"/>
    <x v="2146"/>
    <n v="0"/>
    <n v="0"/>
    <n v="0"/>
    <n v="0"/>
    <n v="0"/>
    <n v="0"/>
    <n v="0"/>
    <n v="0"/>
    <n v="0"/>
    <n v="0"/>
    <n v="0"/>
    <n v="0"/>
    <n v="257.16000000000003"/>
    <n v="257.16000000000003"/>
    <n v="-128.58000000000001"/>
    <n v="0"/>
    <n v="0"/>
    <n v="0"/>
    <n v="0"/>
    <n v="458.8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8.58000000000001"/>
    <n v="128.58000000000001"/>
    <n v="128.58000000000001"/>
    <n v="128.58000000000001"/>
    <n v="128.58000000000001"/>
    <n v="128.58000000000001"/>
    <n v="128.58000000000001"/>
    <n v="128.58000000000001"/>
    <n v="128.58000000000001"/>
    <n v="0"/>
    <n v="0"/>
    <n v="128.58000000000001"/>
    <n v="134.27000000000001"/>
    <n v="134.27000000000001"/>
    <n v="134.27000000000001"/>
    <n v="134.27000000000001"/>
    <n v="134.27000000000001"/>
    <n v="134.27000000000001"/>
    <n v="134.27000000000001"/>
    <n v="134.27000000000001"/>
    <n v="134.27000000000001"/>
    <n v="134.27000000000001"/>
    <n v="134.27000000000001"/>
    <n v="134.27000000000001"/>
    <x v="1"/>
    <x v="3"/>
    <s v="82030                   "/>
    <x v="1"/>
    <x v="2"/>
    <x v="58"/>
  </r>
  <r>
    <x v="7"/>
    <x v="7"/>
    <x v="2140"/>
    <x v="2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82030                   "/>
    <x v="1"/>
    <x v="2"/>
    <x v="2"/>
  </r>
  <r>
    <x v="7"/>
    <x v="7"/>
    <x v="2141"/>
    <x v="2147"/>
    <n v="0"/>
    <n v="0"/>
    <n v="0"/>
    <n v="0"/>
    <n v="117"/>
    <n v="0"/>
    <n v="0"/>
    <n v="0"/>
    <n v="0"/>
    <n v="0"/>
    <n v="0"/>
    <n v="0"/>
    <n v="10227.07"/>
    <n v="13597.4"/>
    <n v="13158.77"/>
    <n v="13763.58"/>
    <n v="13597.4"/>
    <n v="15774.14"/>
    <n v="18273.22"/>
    <n v="18356.560000000001"/>
    <n v="18789.7"/>
    <n v="18877.599999999999"/>
    <n v="17659.7"/>
    <n v="20988.21"/>
    <n v="15947.45"/>
    <n v="-3113.4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304.98"/>
    <n v="13304.98"/>
    <n v="13304.98"/>
    <n v="13304.98"/>
    <n v="13304.98"/>
    <n v="17381.900000000001"/>
    <n v="17381.900000000001"/>
    <n v="17381.900000000001"/>
    <n v="17381.900000000001"/>
    <n v="17381.900000000001"/>
    <n v="17381.900000000001"/>
    <n v="17381.900000000001"/>
    <n v="19214.48"/>
    <n v="19854.96"/>
    <n v="19214.48"/>
    <n v="19854.96"/>
    <n v="19854.96"/>
    <n v="22091.19"/>
    <n v="22827.57"/>
    <n v="22091.19"/>
    <n v="22827.57"/>
    <n v="22827.57"/>
    <n v="20618.45"/>
    <n v="22827.57"/>
    <x v="2"/>
    <x v="4"/>
    <s v="71700                   "/>
    <x v="1"/>
    <x v="2"/>
    <x v="32"/>
  </r>
  <r>
    <x v="7"/>
    <x v="7"/>
    <x v="2142"/>
    <x v="2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700                   "/>
    <x v="20"/>
    <x v="2"/>
    <x v="32"/>
  </r>
  <r>
    <x v="7"/>
    <x v="7"/>
    <x v="2143"/>
    <x v="2149"/>
    <n v="0"/>
    <n v="0"/>
    <n v="0"/>
    <n v="0"/>
    <n v="0"/>
    <n v="0"/>
    <n v="0"/>
    <n v="0"/>
    <n v="0"/>
    <n v="0"/>
    <n v="0"/>
    <n v="0"/>
    <n v="627.49"/>
    <n v="631.5"/>
    <n v="611.04999999999995"/>
    <n v="638.23"/>
    <n v="324.66000000000003"/>
    <n v="392.02"/>
    <n v="502.94"/>
    <n v="524.35"/>
    <n v="655.1"/>
    <n v="880.65"/>
    <n v="823.56"/>
    <n v="878.3"/>
    <n v="839.8"/>
    <n v="-144.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5.28"/>
    <n v="615.28"/>
    <n v="615.28"/>
    <n v="615.28"/>
    <n v="416.96"/>
    <n v="467.87"/>
    <n v="467.87"/>
    <n v="467.87"/>
    <n v="467.87"/>
    <n v="802.65"/>
    <n v="802.65"/>
    <n v="802.65"/>
    <n v="475.56"/>
    <n v="491.41"/>
    <n v="475.56"/>
    <n v="491.41"/>
    <n v="491.41"/>
    <n v="546.76"/>
    <n v="564.98"/>
    <n v="383.17"/>
    <n v="382.57"/>
    <n v="313.91000000000003"/>
    <n v="222.14"/>
    <n v="245.94"/>
    <x v="2"/>
    <x v="4"/>
    <s v="71705                   "/>
    <x v="1"/>
    <x v="2"/>
    <x v="39"/>
  </r>
  <r>
    <x v="7"/>
    <x v="7"/>
    <x v="2144"/>
    <x v="2150"/>
    <n v="0"/>
    <n v="0"/>
    <n v="0"/>
    <n v="0"/>
    <n v="0"/>
    <n v="0"/>
    <n v="0"/>
    <n v="0"/>
    <n v="0"/>
    <n v="0"/>
    <n v="0"/>
    <n v="0"/>
    <n v="152.29"/>
    <n v="266.20999999999998"/>
    <n v="257.58999999999997"/>
    <n v="269.45"/>
    <n v="267.68"/>
    <n v="310.52"/>
    <n v="355.93"/>
    <n v="360"/>
    <n v="243.4"/>
    <n v="0"/>
    <n v="0"/>
    <n v="381.23"/>
    <n v="352.56"/>
    <n v="-60.7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9.45"/>
    <n v="259.45"/>
    <n v="259.45"/>
    <n v="259.45"/>
    <n v="259.45"/>
    <n v="338.95"/>
    <n v="338.95"/>
    <n v="338.95"/>
    <n v="338.95"/>
    <n v="0"/>
    <n v="0"/>
    <n v="0"/>
    <n v="374.68"/>
    <n v="387.17"/>
    <n v="374.68"/>
    <n v="387.17"/>
    <n v="387.17"/>
    <n v="430.78"/>
    <n v="445.14"/>
    <n v="430.78"/>
    <n v="445.14"/>
    <n v="445.14"/>
    <n v="402.06"/>
    <n v="445.14"/>
    <x v="2"/>
    <x v="4"/>
    <s v="71710                   "/>
    <x v="1"/>
    <x v="2"/>
    <x v="39"/>
  </r>
  <r>
    <x v="7"/>
    <x v="7"/>
    <x v="2145"/>
    <x v="2151"/>
    <n v="0"/>
    <n v="0"/>
    <n v="0"/>
    <n v="0"/>
    <n v="0"/>
    <n v="0"/>
    <n v="0"/>
    <n v="0"/>
    <n v="0"/>
    <n v="0"/>
    <n v="0"/>
    <n v="0"/>
    <n v="357.2"/>
    <n v="357.9"/>
    <n v="346.35"/>
    <n v="303.57"/>
    <n v="173.79"/>
    <n v="231.34"/>
    <n v="291.18"/>
    <n v="300.48"/>
    <n v="371.75"/>
    <n v="496.86"/>
    <n v="464.81"/>
    <n v="497.9"/>
    <n v="474.28"/>
    <n v="-81.9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0.19"/>
    <n v="350.19"/>
    <n v="350.19"/>
    <n v="350.19"/>
    <n v="167.53"/>
    <n v="271.8"/>
    <n v="271.8"/>
    <n v="271.8"/>
    <n v="271.8"/>
    <n v="457.49"/>
    <n v="457.49"/>
    <n v="457.49"/>
    <n v="505.73"/>
    <n v="522.58000000000004"/>
    <n v="505.73"/>
    <n v="522.58000000000004"/>
    <n v="522.58000000000004"/>
    <n v="581.44000000000005"/>
    <n v="600.82000000000005"/>
    <n v="391.69"/>
    <n v="406.84"/>
    <n v="250.74"/>
    <n v="236.23"/>
    <n v="261.54000000000002"/>
    <x v="2"/>
    <x v="4"/>
    <s v="71715                   "/>
    <x v="1"/>
    <x v="2"/>
    <x v="39"/>
  </r>
  <r>
    <x v="7"/>
    <x v="7"/>
    <x v="2146"/>
    <x v="2152"/>
    <n v="0"/>
    <n v="0"/>
    <n v="0"/>
    <n v="0"/>
    <n v="0"/>
    <n v="0"/>
    <n v="0"/>
    <n v="0"/>
    <n v="0"/>
    <n v="0"/>
    <n v="0"/>
    <n v="0"/>
    <n v="253.2"/>
    <n v="252.28"/>
    <n v="244.13"/>
    <n v="255.94"/>
    <n v="351.59"/>
    <n v="188.8"/>
    <n v="325.8"/>
    <n v="326.58999999999997"/>
    <n v="333.56"/>
    <n v="335.22"/>
    <n v="313.58999999999997"/>
    <n v="330.33"/>
    <n v="279.29000000000002"/>
    <n v="-48.2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6.23"/>
    <n v="206.23"/>
    <n v="206.23"/>
    <n v="206.23"/>
    <n v="206.23"/>
    <n v="269.42"/>
    <n v="269.42"/>
    <n v="269.42"/>
    <n v="269.42"/>
    <n v="269.42"/>
    <n v="269.42"/>
    <n v="269.42"/>
    <n v="322.8"/>
    <n v="333.56"/>
    <n v="322.8"/>
    <n v="333.56"/>
    <n v="333.56"/>
    <n v="371.13"/>
    <n v="383.5"/>
    <n v="371.13"/>
    <n v="383.5"/>
    <n v="383.5"/>
    <n v="346.39"/>
    <n v="383.5"/>
    <x v="2"/>
    <x v="4"/>
    <s v="71725                   "/>
    <x v="1"/>
    <x v="2"/>
    <x v="39"/>
  </r>
  <r>
    <x v="7"/>
    <x v="7"/>
    <x v="2147"/>
    <x v="2153"/>
    <n v="0"/>
    <n v="0"/>
    <n v="0"/>
    <n v="0"/>
    <n v="0"/>
    <n v="0"/>
    <n v="0"/>
    <n v="0"/>
    <n v="0"/>
    <n v="0"/>
    <n v="0"/>
    <n v="0"/>
    <n v="1206.2"/>
    <n v="1206.2"/>
    <n v="1206.2"/>
    <n v="1206.2"/>
    <n v="894.93"/>
    <n v="886.85"/>
    <n v="890.89"/>
    <n v="890.89"/>
    <n v="890.89"/>
    <n v="899.83"/>
    <n v="892.27"/>
    <n v="892.27"/>
    <n v="892.27"/>
    <n v="892.2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06.2"/>
    <n v="1206.2"/>
    <n v="1206.2"/>
    <n v="1206.2"/>
    <n v="1206.2"/>
    <n v="1206.2"/>
    <n v="1206.2"/>
    <n v="1206.2"/>
    <n v="1206.2"/>
    <n v="1206.2"/>
    <n v="1206.2"/>
    <n v="1206.2"/>
    <n v="890.89"/>
    <n v="890.89"/>
    <n v="890.89"/>
    <n v="890.89"/>
    <n v="890.89"/>
    <n v="1140.1600000000001"/>
    <n v="1140.1600000000001"/>
    <n v="1140.1600000000001"/>
    <n v="1140.1600000000001"/>
    <n v="1140.1600000000001"/>
    <n v="1140.1600000000001"/>
    <n v="1140.1600000000001"/>
    <x v="2"/>
    <x v="4"/>
    <s v="71735                   "/>
    <x v="1"/>
    <x v="2"/>
    <x v="39"/>
  </r>
  <r>
    <x v="7"/>
    <x v="7"/>
    <x v="2148"/>
    <x v="2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740                   "/>
    <x v="1"/>
    <x v="2"/>
    <x v="39"/>
  </r>
  <r>
    <x v="7"/>
    <x v="7"/>
    <x v="2149"/>
    <x v="2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22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0"/>
    <n v="0"/>
    <n v="500"/>
    <n v="0"/>
    <x v="2"/>
    <x v="4"/>
    <s v="71900                   "/>
    <x v="1"/>
    <x v="2"/>
    <x v="39"/>
  </r>
  <r>
    <x v="7"/>
    <x v="7"/>
    <x v="2150"/>
    <x v="2156"/>
    <n v="0"/>
    <n v="953.19"/>
    <n v="852.81"/>
    <n v="1106.18"/>
    <n v="989.89"/>
    <n v="324.63"/>
    <n v="294"/>
    <n v="0"/>
    <n v="0"/>
    <n v="0"/>
    <n v="0"/>
    <n v="0"/>
    <n v="135.38"/>
    <n v="122.5"/>
    <n v="368.38"/>
    <n v="819.82"/>
    <n v="667.19"/>
    <n v="392"/>
    <n v="368.44"/>
    <n v="135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953.19"/>
    <n v="852.81"/>
    <n v="1106.18"/>
    <n v="989.89"/>
    <n v="324.63"/>
    <n v="294"/>
    <n v="0"/>
    <n v="0"/>
    <n v="0"/>
    <n v="0"/>
    <n v="0"/>
    <n v="135.38"/>
    <n v="122.5"/>
    <n v="368.38"/>
    <n v="819.82"/>
    <n v="667.19"/>
    <n v="392"/>
    <n v="368.44"/>
    <n v="135"/>
    <n v="0"/>
    <n v="0"/>
    <n v="0"/>
    <n v="0"/>
    <x v="2"/>
    <x v="2"/>
    <s v="71700                   "/>
    <x v="9"/>
    <x v="2"/>
    <x v="48"/>
  </r>
  <r>
    <x v="7"/>
    <x v="7"/>
    <x v="2151"/>
    <x v="2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1700                   "/>
    <x v="11"/>
    <x v="2"/>
    <x v="2"/>
  </r>
  <r>
    <x v="7"/>
    <x v="7"/>
    <x v="2151"/>
    <x v="2157"/>
    <n v="0"/>
    <n v="0"/>
    <n v="0"/>
    <n v="0"/>
    <n v="0"/>
    <n v="0"/>
    <n v="0"/>
    <n v="0"/>
    <n v="0"/>
    <n v="0"/>
    <n v="0"/>
    <n v="0"/>
    <n v="9065.93"/>
    <n v="9368.14"/>
    <n v="9065.93"/>
    <n v="9368.1299999999992"/>
    <n v="10412.07"/>
    <n v="9278.86"/>
    <n v="9581.06"/>
    <n v="9271.99"/>
    <n v="9581.06"/>
    <n v="9581.06"/>
    <n v="8962.93"/>
    <n v="12428.82"/>
    <n v="6115.16"/>
    <n v="-1545.3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604.17"/>
    <n v="11604.17"/>
    <n v="11604.17"/>
    <n v="11604.17"/>
    <n v="11604.17"/>
    <n v="11604.17"/>
    <n v="11604.17"/>
    <n v="11604.17"/>
    <n v="11604.17"/>
    <n v="11604.17"/>
    <n v="11461.67"/>
    <n v="11461.67"/>
    <n v="12534.26"/>
    <n v="12952.07"/>
    <n v="12534.26"/>
    <n v="12952.07"/>
    <n v="12952.07"/>
    <n v="12534.26"/>
    <n v="12952.07"/>
    <n v="12534.26"/>
    <n v="12952.07"/>
    <n v="12952.07"/>
    <n v="11698.64"/>
    <n v="12952.07"/>
    <x v="2"/>
    <x v="2"/>
    <s v="71700                   "/>
    <x v="11"/>
    <x v="2"/>
    <x v="45"/>
  </r>
  <r>
    <x v="7"/>
    <x v="7"/>
    <x v="2152"/>
    <x v="2158"/>
    <n v="0"/>
    <n v="0"/>
    <n v="0"/>
    <n v="0"/>
    <n v="0"/>
    <n v="0"/>
    <n v="0"/>
    <n v="0"/>
    <n v="0"/>
    <n v="0"/>
    <n v="0"/>
    <n v="0"/>
    <n v="1469.14"/>
    <n v="2562.35"/>
    <n v="3119.35"/>
    <n v="3241.09"/>
    <n v="3105.71"/>
    <n v="3582.21"/>
    <n v="1832.13"/>
    <n v="1967.71"/>
    <n v="1217.4000000000001"/>
    <n v="840.09"/>
    <n v="926.73"/>
    <n v="1087.68"/>
    <n v="-24951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879.68"/>
    <n v="2879.68"/>
    <n v="2786.79"/>
    <n v="1298.68"/>
    <n v="1256.79"/>
    <n v="734.04"/>
    <n v="1298.68"/>
    <n v="663"/>
    <n v="734.04"/>
    <n v="1420.71"/>
    <n v="2879.68"/>
    <n v="2786.79"/>
    <n v="1469.14"/>
    <n v="2562.35"/>
    <n v="3119.35"/>
    <n v="3241.09"/>
    <n v="3105.71"/>
    <n v="3582.21"/>
    <n v="1832.13"/>
    <n v="1967.71"/>
    <n v="985"/>
    <n v="1302"/>
    <n v="898"/>
    <n v="1071"/>
    <x v="3"/>
    <x v="2"/>
    <s v="71700                   "/>
    <x v="20"/>
    <x v="2"/>
    <x v="47"/>
  </r>
  <r>
    <x v="7"/>
    <x v="7"/>
    <x v="2152"/>
    <x v="2158"/>
    <n v="13082.12"/>
    <n v="16130.66"/>
    <n v="18517.21"/>
    <n v="22339.77"/>
    <n v="23167.49"/>
    <n v="22178.58"/>
    <n v="18566.3"/>
    <n v="14802.37"/>
    <n v="15335.2"/>
    <n v="15816.02"/>
    <n v="12637.74"/>
    <n v="14647.07"/>
    <n v="9781.9"/>
    <n v="15902.7"/>
    <n v="14337.94"/>
    <n v="16347.62"/>
    <n v="17196.8"/>
    <n v="14181.08"/>
    <n v="11713.28"/>
    <n v="8508.51"/>
    <n v="8944.61"/>
    <n v="11173.28"/>
    <n v="9314.52"/>
    <n v="9814.32"/>
    <n v="14758.35"/>
    <n v="-2691.8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962.59"/>
    <n v="13602.24"/>
    <n v="13751.84"/>
    <n v="18056.59"/>
    <n v="21462.87"/>
    <n v="13244.71"/>
    <n v="9829.14"/>
    <n v="9593.32"/>
    <n v="7732.97"/>
    <n v="9829.14"/>
    <n v="6220.01"/>
    <n v="7564.77"/>
    <n v="10368.81"/>
    <n v="16406.86"/>
    <n v="15398.22"/>
    <n v="20328.48"/>
    <n v="23478.62"/>
    <n v="18131.95"/>
    <n v="14566.07"/>
    <n v="13019.02"/>
    <n v="11355.1"/>
    <n v="12764.96"/>
    <n v="10046.280000000001"/>
    <n v="10525.82"/>
    <x v="2"/>
    <x v="2"/>
    <s v="71700                   "/>
    <x v="20"/>
    <x v="2"/>
    <x v="47"/>
  </r>
  <r>
    <x v="7"/>
    <x v="7"/>
    <x v="2153"/>
    <x v="2159"/>
    <n v="0"/>
    <n v="0"/>
    <n v="0"/>
    <n v="0"/>
    <n v="0"/>
    <n v="0"/>
    <n v="0"/>
    <n v="0"/>
    <n v="0"/>
    <n v="0"/>
    <n v="0"/>
    <n v="0"/>
    <n v="637.5"/>
    <n v="604.91999999999996"/>
    <n v="639"/>
    <n v="717.29"/>
    <n v="711.99"/>
    <n v="642.1"/>
    <n v="502.12"/>
    <n v="272.43"/>
    <n v="392.09"/>
    <n v="691.96"/>
    <n v="603.6"/>
    <n v="667.84"/>
    <n v="654.66"/>
    <n v="-134.1100000000000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22.28"/>
    <n v="622.28"/>
    <n v="622.28"/>
    <n v="622.28"/>
    <n v="622.28"/>
    <n v="622.28"/>
    <n v="359.11"/>
    <n v="168.67"/>
    <n v="106.22"/>
    <n v="622.28"/>
    <n v="516.05999999999995"/>
    <n v="516.05999999999995"/>
    <n v="529.87"/>
    <n v="589.35"/>
    <n v="606.02"/>
    <n v="569.41999999999996"/>
    <n v="627.34"/>
    <n v="481.33"/>
    <n v="383.74"/>
    <n v="190.85"/>
    <n v="23.38"/>
    <n v="0"/>
    <n v="0"/>
    <n v="0"/>
    <x v="2"/>
    <x v="2"/>
    <s v="71705                   "/>
    <x v="11"/>
    <x v="2"/>
    <x v="45"/>
  </r>
  <r>
    <x v="7"/>
    <x v="7"/>
    <x v="2154"/>
    <x v="2160"/>
    <n v="0"/>
    <n v="0"/>
    <n v="0"/>
    <n v="0"/>
    <n v="0"/>
    <n v="0"/>
    <n v="0"/>
    <n v="0"/>
    <n v="0"/>
    <n v="0"/>
    <n v="0"/>
    <n v="0"/>
    <n v="25.49"/>
    <n v="27.93"/>
    <n v="35.99"/>
    <n v="39.74"/>
    <n v="36.58"/>
    <n v="48.41"/>
    <n v="-0.88"/>
    <n v="44.75"/>
    <n v="-2.96"/>
    <n v="0.8"/>
    <n v="2.27"/>
    <n v="2.93"/>
    <n v="-261.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3.67"/>
    <n v="113.67"/>
    <n v="109.07"/>
    <n v="35.409999999999997"/>
    <n v="33.340000000000003"/>
    <n v="7.46"/>
    <n v="35.409999999999997"/>
    <n v="3.94"/>
    <n v="7.46"/>
    <n v="41.45"/>
    <n v="113.67"/>
    <n v="109.07"/>
    <n v="36.36"/>
    <n v="63.42"/>
    <n v="77.2"/>
    <n v="80.22"/>
    <n v="76.87"/>
    <n v="88.66"/>
    <n v="45.35"/>
    <n v="48.7"/>
    <n v="24.38"/>
    <n v="32.22"/>
    <n v="22.23"/>
    <n v="26.51"/>
    <x v="3"/>
    <x v="2"/>
    <s v="71705                   "/>
    <x v="20"/>
    <x v="2"/>
    <x v="47"/>
  </r>
  <r>
    <x v="7"/>
    <x v="7"/>
    <x v="2154"/>
    <x v="2160"/>
    <n v="550.65"/>
    <n v="757.65"/>
    <n v="824.34"/>
    <n v="984.15"/>
    <n v="1022.3"/>
    <n v="900.81"/>
    <n v="768.81"/>
    <n v="642.76"/>
    <n v="664.34"/>
    <n v="687.55"/>
    <n v="513.20000000000005"/>
    <n v="583.21"/>
    <n v="418.43"/>
    <n v="779.19"/>
    <n v="721.38"/>
    <n v="795.55"/>
    <n v="867.16"/>
    <n v="712.39"/>
    <n v="639.61"/>
    <n v="441.33"/>
    <n v="486.2"/>
    <n v="460.74"/>
    <n v="335.52"/>
    <n v="389.84"/>
    <n v="581.6"/>
    <n v="-117.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6.54"/>
    <n v="406.54"/>
    <n v="406.54"/>
    <n v="406.54"/>
    <n v="406.54"/>
    <n v="406.54"/>
    <n v="406.54"/>
    <n v="406.54"/>
    <n v="406.54"/>
    <n v="406.54"/>
    <n v="406.54"/>
    <n v="406.54"/>
    <n v="256.63"/>
    <n v="406.07"/>
    <n v="381.11"/>
    <n v="503.13"/>
    <n v="581.1"/>
    <n v="448.77"/>
    <n v="360.51"/>
    <n v="322.22000000000003"/>
    <n v="281.04000000000002"/>
    <n v="315.93"/>
    <n v="248.65"/>
    <n v="260.51"/>
    <x v="2"/>
    <x v="2"/>
    <s v="71705                   "/>
    <x v="20"/>
    <x v="2"/>
    <x v="47"/>
  </r>
  <r>
    <x v="7"/>
    <x v="7"/>
    <x v="2155"/>
    <x v="2161"/>
    <n v="0"/>
    <n v="0"/>
    <n v="0"/>
    <n v="0"/>
    <n v="0"/>
    <n v="0"/>
    <n v="0"/>
    <n v="0"/>
    <n v="0"/>
    <n v="0"/>
    <n v="0"/>
    <n v="0"/>
    <n v="263.13"/>
    <n v="249.95"/>
    <n v="262.99"/>
    <n v="294.2"/>
    <n v="292.11"/>
    <n v="264.19"/>
    <n v="281.98"/>
    <n v="330.47"/>
    <n v="232.71"/>
    <n v="0"/>
    <n v="0"/>
    <n v="280.81"/>
    <n v="268.76"/>
    <n v="-54.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4.67"/>
    <n v="214.67"/>
    <n v="214.67"/>
    <n v="214.67"/>
    <n v="214.67"/>
    <n v="214.67"/>
    <n v="214.67"/>
    <n v="214.67"/>
    <n v="214.67"/>
    <n v="0"/>
    <n v="0"/>
    <n v="214.67"/>
    <n v="417.48"/>
    <n v="464.34"/>
    <n v="477.47"/>
    <n v="448.63"/>
    <n v="494.27"/>
    <n v="468.58"/>
    <n v="469.84"/>
    <n v="451.31"/>
    <n v="477.77"/>
    <n v="418.31"/>
    <n v="373.95"/>
    <n v="424.33"/>
    <x v="2"/>
    <x v="2"/>
    <s v="71710                   "/>
    <x v="11"/>
    <x v="2"/>
    <x v="45"/>
  </r>
  <r>
    <x v="7"/>
    <x v="7"/>
    <x v="2156"/>
    <x v="2162"/>
    <n v="0"/>
    <n v="0"/>
    <n v="0"/>
    <n v="0"/>
    <n v="0"/>
    <n v="0"/>
    <n v="0"/>
    <n v="0"/>
    <n v="0"/>
    <n v="0"/>
    <n v="0"/>
    <n v="0"/>
    <n v="35.85"/>
    <n v="48.03"/>
    <n v="58.48"/>
    <n v="60.77"/>
    <n v="58.24"/>
    <n v="67.17"/>
    <n v="34.340000000000003"/>
    <n v="52.5"/>
    <n v="14.81"/>
    <n v="0"/>
    <n v="0"/>
    <n v="21.01"/>
    <n v="-451.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.130000000000003"/>
    <n v="35.130000000000003"/>
    <n v="35.130000000000003"/>
    <n v="35.130000000000003"/>
    <n v="35.130000000000003"/>
    <n v="35.130000000000003"/>
    <n v="0"/>
    <n v="0"/>
    <n v="35.130000000000003"/>
    <n v="35.130000000000003"/>
    <n v="35.130000000000003"/>
    <n v="35.130000000000003"/>
    <n v="28.65"/>
    <n v="49.97"/>
    <n v="60.83"/>
    <n v="63.2"/>
    <n v="60.56"/>
    <n v="69.849999999999994"/>
    <n v="35.729999999999997"/>
    <n v="38.369999999999997"/>
    <n v="19.21"/>
    <n v="25.39"/>
    <n v="17.510000000000002"/>
    <n v="20.88"/>
    <x v="3"/>
    <x v="2"/>
    <s v="71710                   "/>
    <x v="20"/>
    <x v="2"/>
    <x v="47"/>
  </r>
  <r>
    <x v="7"/>
    <x v="7"/>
    <x v="2156"/>
    <x v="2162"/>
    <n v="271.88"/>
    <n v="321.05"/>
    <n v="371.73"/>
    <n v="446.58"/>
    <n v="462.48"/>
    <n v="424.79"/>
    <n v="364.93"/>
    <n v="281.11"/>
    <n v="202.01"/>
    <n v="0"/>
    <n v="0"/>
    <n v="277.51"/>
    <n v="203.09"/>
    <n v="354.37"/>
    <n v="353.5"/>
    <n v="384.72"/>
    <n v="407.6"/>
    <n v="335.54"/>
    <n v="297.43"/>
    <n v="212.19"/>
    <n v="128.44"/>
    <n v="0"/>
    <n v="0"/>
    <n v="200.48"/>
    <n v="259.10000000000002"/>
    <n v="-50.1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0.51"/>
    <n v="230.51"/>
    <n v="230.51"/>
    <n v="230.51"/>
    <n v="230.51"/>
    <n v="230.51"/>
    <n v="230.51"/>
    <n v="230.51"/>
    <n v="230.51"/>
    <n v="0"/>
    <n v="0"/>
    <n v="230.51"/>
    <n v="202.19"/>
    <n v="319.93"/>
    <n v="300.27"/>
    <n v="396.41"/>
    <n v="457.83"/>
    <n v="353.57"/>
    <n v="284.04000000000002"/>
    <n v="253.87"/>
    <n v="221.42"/>
    <n v="248.92"/>
    <n v="195.9"/>
    <n v="205.25"/>
    <x v="2"/>
    <x v="2"/>
    <s v="71710                   "/>
    <x v="20"/>
    <x v="2"/>
    <x v="47"/>
  </r>
  <r>
    <x v="7"/>
    <x v="7"/>
    <x v="2157"/>
    <x v="2163"/>
    <n v="0"/>
    <n v="0"/>
    <n v="0"/>
    <n v="0"/>
    <n v="0"/>
    <n v="0"/>
    <n v="0"/>
    <n v="0"/>
    <n v="0"/>
    <n v="0"/>
    <n v="0"/>
    <n v="0"/>
    <n v="354.96"/>
    <n v="336.41"/>
    <n v="354.1"/>
    <n v="396.18"/>
    <n v="393.34"/>
    <n v="355.12"/>
    <n v="214.66"/>
    <n v="151.87"/>
    <n v="138.55000000000001"/>
    <n v="382.2"/>
    <n v="334.38"/>
    <n v="370.26"/>
    <n v="361.93"/>
    <n v="-73.8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3.91"/>
    <n v="353.91"/>
    <n v="353.91"/>
    <n v="353.91"/>
    <n v="353.91"/>
    <n v="274.94"/>
    <n v="141.03"/>
    <n v="64.16"/>
    <n v="64.16"/>
    <n v="353.91"/>
    <n v="350.16"/>
    <n v="350.16"/>
    <n v="563.48"/>
    <n v="626.73"/>
    <n v="644.47"/>
    <n v="605.54"/>
    <n v="667.14"/>
    <n v="496.07"/>
    <n v="408.08"/>
    <n v="187.17"/>
    <n v="9.07"/>
    <n v="0"/>
    <n v="0"/>
    <n v="0"/>
    <x v="2"/>
    <x v="2"/>
    <s v="71715                   "/>
    <x v="11"/>
    <x v="2"/>
    <x v="45"/>
  </r>
  <r>
    <x v="7"/>
    <x v="7"/>
    <x v="2158"/>
    <x v="2164"/>
    <n v="0"/>
    <n v="0"/>
    <n v="0"/>
    <n v="0"/>
    <n v="0"/>
    <n v="0"/>
    <n v="0"/>
    <n v="0"/>
    <n v="0"/>
    <n v="0"/>
    <n v="0"/>
    <n v="0"/>
    <n v="48.71"/>
    <n v="65.650000000000006"/>
    <n v="78.95"/>
    <n v="82.03"/>
    <n v="78.599999999999994"/>
    <n v="90.65"/>
    <n v="46.38"/>
    <n v="70.86"/>
    <n v="31.91"/>
    <n v="21.54"/>
    <n v="23.45"/>
    <n v="27.52"/>
    <n v="-666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7.42"/>
    <n v="47.42"/>
    <n v="47.42"/>
    <n v="47.42"/>
    <n v="47.42"/>
    <n v="47.42"/>
    <n v="47.42"/>
    <n v="47.42"/>
    <n v="47.42"/>
    <n v="47.42"/>
    <n v="47.42"/>
    <n v="47.42"/>
    <n v="38.67"/>
    <n v="67.44"/>
    <n v="82.1"/>
    <n v="85.31"/>
    <n v="81.739999999999995"/>
    <n v="94.28"/>
    <n v="48.22"/>
    <n v="51.79"/>
    <n v="25.93"/>
    <n v="34.270000000000003"/>
    <n v="23.64"/>
    <n v="28.19"/>
    <x v="3"/>
    <x v="2"/>
    <s v="71715                   "/>
    <x v="20"/>
    <x v="2"/>
    <x v="47"/>
  </r>
  <r>
    <x v="7"/>
    <x v="7"/>
    <x v="2158"/>
    <x v="2164"/>
    <n v="371"/>
    <n v="491.44"/>
    <n v="520.66999999999996"/>
    <n v="624.97"/>
    <n v="648.99"/>
    <n v="588.39"/>
    <n v="502.55"/>
    <n v="417.11"/>
    <n v="435.03"/>
    <n v="440.23"/>
    <n v="340.57"/>
    <n v="386.89"/>
    <n v="291.58"/>
    <n v="515.42999999999995"/>
    <n v="479.46"/>
    <n v="519.29"/>
    <n v="550.16999999999996"/>
    <n v="455.41"/>
    <n v="408.08"/>
    <n v="284.35000000000002"/>
    <n v="313.69"/>
    <n v="306.91000000000003"/>
    <n v="235.44"/>
    <n v="261.91000000000003"/>
    <n v="386.69"/>
    <n v="-77.4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1.12"/>
    <n v="311.12"/>
    <n v="311.12"/>
    <n v="311.12"/>
    <n v="311.12"/>
    <n v="311.12"/>
    <n v="311.12"/>
    <n v="311.12"/>
    <n v="311.12"/>
    <n v="311.12"/>
    <n v="311.12"/>
    <n v="311.12"/>
    <n v="272.91000000000003"/>
    <n v="431.83"/>
    <n v="405.28"/>
    <n v="535.04999999999995"/>
    <n v="617.96"/>
    <n v="477.23"/>
    <n v="383.38"/>
    <n v="342.66"/>
    <n v="298.87"/>
    <n v="335.97"/>
    <n v="264.42"/>
    <n v="277.04000000000002"/>
    <x v="2"/>
    <x v="2"/>
    <s v="71715                   "/>
    <x v="20"/>
    <x v="2"/>
    <x v="47"/>
  </r>
  <r>
    <x v="7"/>
    <x v="7"/>
    <x v="2159"/>
    <x v="2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4.3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720                   "/>
    <x v="11"/>
    <x v="2"/>
    <x v="45"/>
  </r>
  <r>
    <x v="7"/>
    <x v="7"/>
    <x v="2160"/>
    <x v="2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720                   "/>
    <x v="20"/>
    <x v="2"/>
    <x v="47"/>
  </r>
  <r>
    <x v="7"/>
    <x v="7"/>
    <x v="2161"/>
    <x v="2167"/>
    <n v="0"/>
    <n v="0"/>
    <n v="0"/>
    <n v="0"/>
    <n v="0"/>
    <n v="0"/>
    <n v="0"/>
    <n v="0"/>
    <n v="0"/>
    <n v="0"/>
    <n v="0"/>
    <n v="0"/>
    <n v="209.04"/>
    <n v="198.12"/>
    <n v="208.53"/>
    <n v="233.3"/>
    <n v="287.85000000000002"/>
    <n v="152.91999999999999"/>
    <n v="224.29"/>
    <n v="262.13"/>
    <n v="233.65"/>
    <n v="225.07"/>
    <n v="196.91"/>
    <n v="218.21"/>
    <n v="213.14"/>
    <n v="-43.4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74.01"/>
    <n v="276.44"/>
    <n v="409.23"/>
    <n v="274.27"/>
    <n v="276.05"/>
    <n v="403.88"/>
    <n v="271.14"/>
    <n v="260.52"/>
    <n v="408.12"/>
    <n v="177.55"/>
    <n v="183.71"/>
    <n v="177.16"/>
    <n v="359.67"/>
    <n v="400.04"/>
    <n v="411.36"/>
    <n v="386.51"/>
    <n v="425.83"/>
    <n v="403.7"/>
    <n v="404.79"/>
    <n v="388.82"/>
    <n v="411.62"/>
    <n v="360.39"/>
    <n v="322.17"/>
    <n v="365.58"/>
    <x v="2"/>
    <x v="2"/>
    <s v="71725                   "/>
    <x v="11"/>
    <x v="2"/>
    <x v="45"/>
  </r>
  <r>
    <x v="7"/>
    <x v="7"/>
    <x v="2162"/>
    <x v="2168"/>
    <n v="0"/>
    <n v="0"/>
    <n v="0"/>
    <n v="0"/>
    <n v="0"/>
    <n v="0"/>
    <n v="0"/>
    <n v="0"/>
    <n v="0"/>
    <n v="0"/>
    <n v="0"/>
    <n v="0"/>
    <n v="40.72"/>
    <n v="54.89"/>
    <n v="65.97"/>
    <n v="68.56"/>
    <n v="65.7"/>
    <n v="75.77"/>
    <n v="38.76"/>
    <n v="59.22"/>
    <n v="26.66"/>
    <n v="18.03"/>
    <n v="19.61"/>
    <n v="23.01"/>
    <n v="-556.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3.35"/>
    <n v="63.35"/>
    <n v="61.31"/>
    <n v="28.57"/>
    <n v="27.65"/>
    <n v="16.149999999999999"/>
    <n v="28.57"/>
    <n v="14.59"/>
    <n v="16.149999999999999"/>
    <n v="31.26"/>
    <n v="63.35"/>
    <n v="61.31"/>
    <n v="32.32"/>
    <n v="56.37"/>
    <n v="68.63"/>
    <n v="71.3"/>
    <n v="68.33"/>
    <n v="78.81"/>
    <n v="40.31"/>
    <n v="43.29"/>
    <n v="21.67"/>
    <n v="28.64"/>
    <n v="19.760000000000002"/>
    <n v="23.56"/>
    <x v="3"/>
    <x v="2"/>
    <s v="71725                   "/>
    <x v="20"/>
    <x v="2"/>
    <x v="47"/>
  </r>
  <r>
    <x v="7"/>
    <x v="7"/>
    <x v="2162"/>
    <x v="2168"/>
    <n v="309.38"/>
    <n v="410.79"/>
    <n v="435.19"/>
    <n v="347.62"/>
    <n v="717.18"/>
    <n v="491.81"/>
    <n v="420.08"/>
    <n v="348.67"/>
    <n v="363.07"/>
    <n v="367.74"/>
    <n v="284.69"/>
    <n v="323.38"/>
    <n v="243.7"/>
    <n v="430.82"/>
    <n v="400.79"/>
    <n v="434.05"/>
    <n v="625.97"/>
    <n v="214.54"/>
    <n v="341.1"/>
    <n v="237.7"/>
    <n v="262.2"/>
    <n v="134.56"/>
    <n v="196.81"/>
    <n v="218.9"/>
    <n v="323.2"/>
    <n v="-64.70999999999999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41.18"/>
    <n v="299.25"/>
    <n v="302.54000000000002"/>
    <n v="397.25"/>
    <n v="472.18"/>
    <n v="291.38"/>
    <n v="216.24"/>
    <n v="211.05"/>
    <n v="170.13"/>
    <n v="216.24"/>
    <n v="136.84"/>
    <n v="166.42"/>
    <n v="228.11"/>
    <n v="360.95"/>
    <n v="338.76"/>
    <n v="447.23"/>
    <n v="516.53"/>
    <n v="398.9"/>
    <n v="320.45"/>
    <n v="286.42"/>
    <n v="249.81"/>
    <n v="280.83"/>
    <n v="221.02"/>
    <n v="231.57"/>
    <x v="2"/>
    <x v="2"/>
    <s v="71725                   "/>
    <x v="20"/>
    <x v="2"/>
    <x v="47"/>
  </r>
  <r>
    <x v="7"/>
    <x v="7"/>
    <x v="2163"/>
    <x v="2169"/>
    <n v="0"/>
    <n v="0"/>
    <n v="0"/>
    <n v="0"/>
    <n v="0"/>
    <n v="0"/>
    <n v="0"/>
    <n v="0"/>
    <n v="0"/>
    <n v="0"/>
    <n v="0"/>
    <n v="0"/>
    <n v="680.01"/>
    <n v="680.01"/>
    <n v="680.01"/>
    <n v="548.48"/>
    <n v="379.11"/>
    <n v="375.07"/>
    <n v="382.76"/>
    <n v="378.98"/>
    <n v="378.98"/>
    <n v="378.03"/>
    <n v="378.03"/>
    <n v="378.04"/>
    <n v="378.03"/>
    <n v="378.0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80.01"/>
    <n v="680.01"/>
    <n v="680.01"/>
    <n v="680.01"/>
    <n v="680.01"/>
    <n v="680.01"/>
    <n v="680.01"/>
    <n v="680.01"/>
    <n v="680.01"/>
    <n v="680.01"/>
    <n v="680.01"/>
    <n v="680.01"/>
    <n v="678.98"/>
    <n v="678.98"/>
    <n v="678.98"/>
    <n v="678.98"/>
    <n v="678.98"/>
    <n v="678.98"/>
    <n v="678.98"/>
    <n v="678.98"/>
    <n v="678.98"/>
    <n v="678.98"/>
    <n v="678.98"/>
    <n v="678.98"/>
    <x v="2"/>
    <x v="2"/>
    <s v="71735                   "/>
    <x v="11"/>
    <x v="2"/>
    <x v="45"/>
  </r>
  <r>
    <x v="7"/>
    <x v="7"/>
    <x v="2164"/>
    <x v="2170"/>
    <n v="0"/>
    <n v="0"/>
    <n v="0"/>
    <n v="0"/>
    <n v="0"/>
    <n v="0"/>
    <n v="0"/>
    <n v="0"/>
    <n v="0"/>
    <n v="0"/>
    <n v="0"/>
    <n v="0"/>
    <n v="265.52"/>
    <n v="265.52"/>
    <n v="265.52"/>
    <n v="265.52"/>
    <n v="245.47"/>
    <n v="245.46"/>
    <n v="245.47"/>
    <n v="245.47"/>
    <n v="245.47"/>
    <n v="223.13"/>
    <n v="223.14"/>
    <n v="223.13"/>
    <n v="223.14"/>
    <n v="223.1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65.52"/>
    <n v="265.52"/>
    <n v="265.52"/>
    <n v="265.52"/>
    <n v="265.52"/>
    <n v="265.52"/>
    <n v="265.52"/>
    <n v="265.52"/>
    <n v="265.52"/>
    <n v="265.52"/>
    <n v="265.52"/>
    <n v="265.52"/>
    <n v="245.47"/>
    <n v="245.47"/>
    <n v="245.47"/>
    <n v="245.47"/>
    <n v="245.47"/>
    <n v="245.47"/>
    <n v="245.47"/>
    <n v="245.47"/>
    <n v="245.47"/>
    <n v="245.47"/>
    <n v="245.47"/>
    <n v="245.47"/>
    <x v="2"/>
    <x v="2"/>
    <s v="71735                   "/>
    <x v="15"/>
    <x v="2"/>
    <x v="50"/>
  </r>
  <r>
    <x v="7"/>
    <x v="7"/>
    <x v="2165"/>
    <x v="2171"/>
    <n v="0"/>
    <n v="0"/>
    <n v="0"/>
    <n v="0"/>
    <n v="0"/>
    <n v="0"/>
    <n v="0"/>
    <n v="0"/>
    <n v="0"/>
    <n v="0"/>
    <n v="0"/>
    <n v="0"/>
    <n v="15.57"/>
    <n v="15.57"/>
    <n v="15.57"/>
    <n v="15.57"/>
    <n v="11.08"/>
    <n v="32.869999999999997"/>
    <n v="21.97"/>
    <n v="21.97"/>
    <n v="21.97"/>
    <n v="21.97"/>
    <n v="21.97"/>
    <n v="21.97"/>
    <n v="-238.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735                   "/>
    <x v="20"/>
    <x v="2"/>
    <x v="47"/>
  </r>
  <r>
    <x v="7"/>
    <x v="7"/>
    <x v="2165"/>
    <x v="2171"/>
    <n v="673.85"/>
    <n v="673.85"/>
    <n v="336.92"/>
    <n v="294.83"/>
    <n v="291.02"/>
    <n v="291.02"/>
    <n v="856"/>
    <n v="715.89"/>
    <n v="715.89"/>
    <n v="745.54"/>
    <n v="721.82"/>
    <n v="721.82"/>
    <n v="140.11000000000001"/>
    <n v="140.11000000000001"/>
    <n v="140.11000000000001"/>
    <n v="140.11000000000001"/>
    <n v="99.73"/>
    <n v="295.79000000000002"/>
    <n v="197.76"/>
    <n v="197.76"/>
    <n v="197.76"/>
    <n v="197.75"/>
    <n v="197.75"/>
    <n v="197.75"/>
    <n v="197.75"/>
    <n v="197.7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5.68"/>
    <n v="155.68"/>
    <n v="155.68"/>
    <n v="155.68"/>
    <n v="155.68"/>
    <n v="155.68"/>
    <n v="155.68"/>
    <n v="155.68"/>
    <n v="155.68"/>
    <n v="155.68"/>
    <n v="155.68"/>
    <n v="155.68"/>
    <n v="471.78"/>
    <n v="471.78"/>
    <n v="471.78"/>
    <n v="471.78"/>
    <n v="471.78"/>
    <n v="471.78"/>
    <n v="471.78"/>
    <n v="471.78"/>
    <n v="471.78"/>
    <n v="471.78"/>
    <n v="471.78"/>
    <n v="471.78"/>
    <x v="2"/>
    <x v="2"/>
    <s v="71735                   "/>
    <x v="20"/>
    <x v="2"/>
    <x v="47"/>
  </r>
  <r>
    <x v="7"/>
    <x v="7"/>
    <x v="2166"/>
    <x v="2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4564.91"/>
    <n v="0"/>
    <n v="0"/>
    <n v="4568.83"/>
    <n v="0"/>
    <n v="0"/>
    <n v="5347.04"/>
    <n v="0"/>
    <n v="0"/>
    <n v="6397"/>
    <n v="0"/>
    <n v="0"/>
    <n v="0"/>
    <n v="0"/>
    <n v="0"/>
    <n v="0"/>
    <n v="0"/>
    <n v="0"/>
    <n v="0"/>
    <n v="0"/>
    <n v="0"/>
    <n v="0"/>
    <x v="2"/>
    <x v="2"/>
    <s v="71740                   "/>
    <x v="11"/>
    <x v="2"/>
    <x v="45"/>
  </r>
  <r>
    <x v="7"/>
    <x v="7"/>
    <x v="2167"/>
    <x v="2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740                   "/>
    <x v="20"/>
    <x v="2"/>
    <x v="47"/>
  </r>
  <r>
    <x v="7"/>
    <x v="7"/>
    <x v="2167"/>
    <x v="2173"/>
    <n v="0"/>
    <n v="0"/>
    <n v="0"/>
    <n v="0"/>
    <n v="0"/>
    <n v="15.93"/>
    <n v="0"/>
    <n v="0"/>
    <n v="0"/>
    <n v="0"/>
    <n v="0"/>
    <n v="0"/>
    <n v="0"/>
    <n v="0"/>
    <n v="0"/>
    <n v="0"/>
    <n v="49.9"/>
    <n v="0"/>
    <n v="0"/>
    <n v="0"/>
    <n v="75.59"/>
    <n v="21.09"/>
    <n v="-146.58000000000001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740                   "/>
    <x v="20"/>
    <x v="2"/>
    <x v="47"/>
  </r>
  <r>
    <x v="7"/>
    <x v="7"/>
    <x v="2168"/>
    <x v="2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900                   "/>
    <x v="11"/>
    <x v="2"/>
    <x v="45"/>
  </r>
  <r>
    <x v="7"/>
    <x v="7"/>
    <x v="2169"/>
    <x v="2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-9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71900                   "/>
    <x v="20"/>
    <x v="2"/>
    <x v="47"/>
  </r>
  <r>
    <x v="7"/>
    <x v="7"/>
    <x v="2169"/>
    <x v="2175"/>
    <n v="0"/>
    <n v="0"/>
    <n v="0"/>
    <n v="0"/>
    <n v="630"/>
    <n v="0"/>
    <n v="0"/>
    <n v="40"/>
    <n v="400"/>
    <n v="0"/>
    <n v="0"/>
    <n v="0"/>
    <n v="0"/>
    <n v="0"/>
    <n v="0"/>
    <n v="0"/>
    <n v="0"/>
    <n v="0"/>
    <n v="0"/>
    <n v="0"/>
    <n v="0"/>
    <n v="0"/>
    <n v="87.61"/>
    <n v="0"/>
    <n v="5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724.5"/>
    <n v="0"/>
    <n v="0"/>
    <n v="46"/>
    <n v="460"/>
    <n v="0"/>
    <n v="0"/>
    <n v="0"/>
    <n v="0"/>
    <n v="0"/>
    <n v="0"/>
    <n v="0"/>
    <n v="0"/>
    <n v="0"/>
    <n v="0"/>
    <n v="0"/>
    <n v="520"/>
    <n v="0"/>
    <n v="0"/>
    <n v="0"/>
    <x v="2"/>
    <x v="2"/>
    <s v="71900                   "/>
    <x v="20"/>
    <x v="2"/>
    <x v="47"/>
  </r>
  <r>
    <x v="7"/>
    <x v="7"/>
    <x v="2170"/>
    <x v="2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910                   "/>
    <x v="11"/>
    <x v="2"/>
    <x v="45"/>
  </r>
  <r>
    <x v="7"/>
    <x v="7"/>
    <x v="2171"/>
    <x v="2177"/>
    <n v="0"/>
    <n v="0"/>
    <n v="316.3"/>
    <n v="0"/>
    <n v="0"/>
    <n v="0"/>
    <n v="0"/>
    <n v="0"/>
    <n v="0"/>
    <n v="0"/>
    <n v="0"/>
    <n v="0"/>
    <n v="0"/>
    <n v="0"/>
    <n v="836.75"/>
    <n v="0"/>
    <n v="0"/>
    <n v="0"/>
    <n v="0"/>
    <n v="0"/>
    <n v="0"/>
    <n v="0"/>
    <n v="0"/>
    <n v="0"/>
    <n v="122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22.63"/>
    <n v="0"/>
    <n v="0"/>
    <n v="0"/>
    <n v="0"/>
    <n v="0"/>
    <n v="0"/>
    <n v="0"/>
    <n v="0"/>
    <n v="0"/>
    <n v="0"/>
    <n v="0"/>
    <n v="1087.78"/>
    <n v="0"/>
    <n v="0"/>
    <n v="0"/>
    <n v="0"/>
    <n v="0"/>
    <n v="0"/>
    <n v="0"/>
    <n v="0"/>
    <n v="0"/>
    <x v="2"/>
    <x v="2"/>
    <s v="71910                   "/>
    <x v="20"/>
    <x v="2"/>
    <x v="47"/>
  </r>
  <r>
    <x v="7"/>
    <x v="7"/>
    <x v="2172"/>
    <x v="2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2150                   "/>
    <x v="11"/>
    <x v="2"/>
    <x v="2"/>
  </r>
  <r>
    <x v="7"/>
    <x v="7"/>
    <x v="2172"/>
    <x v="2178"/>
    <n v="0"/>
    <n v="0"/>
    <n v="0"/>
    <n v="0"/>
    <n v="0"/>
    <n v="0"/>
    <n v="0"/>
    <n v="0"/>
    <n v="0"/>
    <n v="0"/>
    <n v="0"/>
    <n v="0"/>
    <n v="250"/>
    <n v="500"/>
    <n v="750"/>
    <n v="780"/>
    <n v="832.99"/>
    <n v="680"/>
    <n v="1000"/>
    <n v="855"/>
    <n v="920"/>
    <n v="855"/>
    <n v="720"/>
    <n v="760"/>
    <n v="92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500"/>
    <n v="750"/>
    <n v="780"/>
    <n v="832.99"/>
    <n v="680"/>
    <n v="1000"/>
    <n v="855"/>
    <n v="705"/>
    <n v="705"/>
    <n v="705"/>
    <n v="705"/>
    <x v="2"/>
    <x v="2"/>
    <s v="72150                   "/>
    <x v="11"/>
    <x v="2"/>
    <x v="45"/>
  </r>
  <r>
    <x v="7"/>
    <x v="7"/>
    <x v="2173"/>
    <x v="2179"/>
    <n v="0"/>
    <n v="0"/>
    <n v="0"/>
    <n v="0"/>
    <n v="0"/>
    <n v="0"/>
    <n v="0"/>
    <n v="0"/>
    <n v="0"/>
    <n v="0"/>
    <n v="0"/>
    <n v="0"/>
    <n v="3750"/>
    <n v="3750"/>
    <n v="3750"/>
    <n v="3750"/>
    <n v="3750"/>
    <n v="3750"/>
    <n v="3750"/>
    <n v="3750"/>
    <n v="3750"/>
    <n v="3750"/>
    <n v="3750"/>
    <n v="3750"/>
    <n v="375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750"/>
    <n v="3750"/>
    <n v="3750"/>
    <n v="3750"/>
    <n v="3750"/>
    <n v="3750"/>
    <n v="3750"/>
    <n v="3750"/>
    <n v="3750"/>
    <n v="3750"/>
    <n v="3750"/>
    <n v="3750"/>
    <n v="3750"/>
    <n v="3750"/>
    <n v="3750"/>
    <n v="1111.1099999999999"/>
    <n v="1111.1099999999999"/>
    <n v="1111.1099999999999"/>
    <n v="1111.1099999999999"/>
    <n v="1111.1099999999999"/>
    <n v="1111.1099999999999"/>
    <n v="1111.1099999999999"/>
    <n v="1111.1099999999999"/>
    <n v="1111.1099999999999"/>
    <x v="2"/>
    <x v="2"/>
    <s v="72150                   "/>
    <x v="15"/>
    <x v="2"/>
    <x v="50"/>
  </r>
  <r>
    <x v="8"/>
    <x v="8"/>
    <x v="2174"/>
    <x v="2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150                   "/>
    <x v="1"/>
    <x v="2"/>
    <x v="58"/>
  </r>
  <r>
    <x v="8"/>
    <x v="8"/>
    <x v="2175"/>
    <x v="2180"/>
    <n v="0"/>
    <n v="0"/>
    <n v="0"/>
    <n v="0"/>
    <n v="0"/>
    <n v="0"/>
    <n v="0"/>
    <n v="0"/>
    <n v="0"/>
    <n v="0"/>
    <n v="0"/>
    <n v="0"/>
    <n v="0"/>
    <n v="0"/>
    <n v="0"/>
    <n v="0"/>
    <n v="293.55"/>
    <n v="58.71"/>
    <n v="58.71"/>
    <n v="58.71"/>
    <n v="58.71"/>
    <n v="58.71"/>
    <n v="58.71"/>
    <n v="58.71"/>
    <n v="58.7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71"/>
    <n v="58.71"/>
    <n v="58.71"/>
    <n v="58.71"/>
    <n v="58.71"/>
    <n v="58.71"/>
    <n v="58.71"/>
    <n v="58.71"/>
    <n v="58.71"/>
    <n v="58.71"/>
    <n v="58.71"/>
    <n v="58.71"/>
    <x v="1"/>
    <x v="3"/>
    <s v="71165                   "/>
    <x v="1"/>
    <x v="2"/>
    <x v="58"/>
  </r>
  <r>
    <x v="8"/>
    <x v="8"/>
    <x v="2176"/>
    <x v="2181"/>
    <n v="0"/>
    <n v="0"/>
    <n v="0"/>
    <n v="0"/>
    <n v="0"/>
    <n v="0"/>
    <n v="0"/>
    <n v="0"/>
    <n v="0"/>
    <n v="0"/>
    <n v="0"/>
    <n v="0"/>
    <n v="34.43"/>
    <n v="34.43"/>
    <n v="34.43"/>
    <n v="34.43"/>
    <n v="34.43"/>
    <n v="0"/>
    <n v="0"/>
    <n v="0"/>
    <n v="72.88"/>
    <n v="72.88"/>
    <n v="0"/>
    <n v="36.44"/>
    <n v="-354.3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4"/>
    <n v="34"/>
    <n v="34"/>
    <n v="34"/>
    <n v="34"/>
    <n v="34"/>
    <n v="34"/>
    <n v="34"/>
    <n v="34"/>
    <n v="34"/>
    <n v="34"/>
    <n v="34"/>
    <n v="36.44"/>
    <n v="36.44"/>
    <n v="36.44"/>
    <n v="36.44"/>
    <n v="36.44"/>
    <n v="36.44"/>
    <n v="36.44"/>
    <n v="36.44"/>
    <n v="36.44"/>
    <n v="36.44"/>
    <n v="36.44"/>
    <n v="36.44"/>
    <x v="3"/>
    <x v="3"/>
    <s v="71360                   "/>
    <x v="1"/>
    <x v="2"/>
    <x v="58"/>
  </r>
  <r>
    <x v="8"/>
    <x v="8"/>
    <x v="2176"/>
    <x v="2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360                   "/>
    <x v="1"/>
    <x v="2"/>
    <x v="58"/>
  </r>
  <r>
    <x v="8"/>
    <x v="8"/>
    <x v="2176"/>
    <x v="2181"/>
    <n v="345.06"/>
    <n v="345.06"/>
    <n v="345.06"/>
    <n v="345.06"/>
    <n v="345.06"/>
    <n v="345.06"/>
    <n v="345.06"/>
    <n v="345.06"/>
    <n v="345.06"/>
    <n v="345.06"/>
    <n v="345.06"/>
    <n v="345.06"/>
    <n v="345.06"/>
    <n v="345.06"/>
    <n v="-690.12"/>
    <n v="0"/>
    <n v="0"/>
    <n v="0"/>
    <n v="0"/>
    <n v="1731"/>
    <n v="1731"/>
    <n v="1731"/>
    <n v="1731"/>
    <n v="1731"/>
    <n v="173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45"/>
    <n v="345"/>
    <n v="345"/>
    <n v="345"/>
    <n v="345"/>
    <n v="345"/>
    <n v="345"/>
    <n v="345"/>
    <n v="345"/>
    <n v="345"/>
    <n v="345"/>
    <n v="345"/>
    <n v="1731"/>
    <n v="1731"/>
    <n v="1731"/>
    <n v="1731"/>
    <n v="1731"/>
    <n v="1731"/>
    <n v="1731"/>
    <n v="1731"/>
    <n v="1731"/>
    <n v="1731"/>
    <n v="1731"/>
    <n v="1731"/>
    <x v="2"/>
    <x v="3"/>
    <s v="71360                   "/>
    <x v="1"/>
    <x v="2"/>
    <x v="58"/>
  </r>
  <r>
    <x v="8"/>
    <x v="8"/>
    <x v="2177"/>
    <x v="2182"/>
    <n v="0"/>
    <n v="0"/>
    <n v="0"/>
    <n v="0"/>
    <n v="0"/>
    <n v="0"/>
    <n v="0"/>
    <n v="0"/>
    <n v="0"/>
    <n v="0"/>
    <n v="0"/>
    <n v="0"/>
    <n v="2834.61"/>
    <n v="2834.61"/>
    <n v="2834.61"/>
    <n v="2834.61"/>
    <n v="-1494.54"/>
    <n v="1968.74"/>
    <n v="1885.86"/>
    <n v="1555.26"/>
    <n v="2234.17"/>
    <n v="2234.17"/>
    <n v="2234.17"/>
    <n v="2234.1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66"/>
    <n v="1666"/>
    <n v="1666"/>
    <n v="1666"/>
    <n v="1666"/>
    <n v="1666"/>
    <n v="1666"/>
    <n v="1666"/>
    <n v="1666"/>
    <n v="1666"/>
    <n v="1666"/>
    <n v="1666"/>
    <n v="1257.23"/>
    <n v="1257.23"/>
    <n v="1257.23"/>
    <n v="1257.23"/>
    <n v="1257.23"/>
    <n v="1257.23"/>
    <n v="1257.23"/>
    <n v="1257.23"/>
    <n v="1257.23"/>
    <n v="1257.23"/>
    <n v="1257.23"/>
    <n v="1257.23"/>
    <x v="1"/>
    <x v="3"/>
    <s v="82050                   "/>
    <x v="1"/>
    <x v="2"/>
    <x v="58"/>
  </r>
  <r>
    <x v="9"/>
    <x v="9"/>
    <x v="2178"/>
    <x v="2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3"/>
    <s v="71330                   "/>
    <x v="1"/>
    <x v="2"/>
    <x v="59"/>
  </r>
  <r>
    <x v="9"/>
    <x v="9"/>
    <x v="2178"/>
    <x v="2183"/>
    <n v="0"/>
    <n v="0"/>
    <n v="0"/>
    <n v="0"/>
    <n v="297264"/>
    <n v="67019"/>
    <n v="77666"/>
    <n v="60784"/>
    <n v="66117"/>
    <n v="53966"/>
    <n v="59291"/>
    <n v="6845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30                   "/>
    <x v="1"/>
    <x v="2"/>
    <x v="59"/>
  </r>
  <r>
    <x v="10"/>
    <x v="10"/>
    <x v="2179"/>
    <x v="2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430                   "/>
    <x v="1"/>
    <x v="2"/>
    <x v="57"/>
  </r>
  <r>
    <x v="10"/>
    <x v="10"/>
    <x v="2180"/>
    <x v="2185"/>
    <n v="0"/>
    <n v="0"/>
    <n v="0"/>
    <n v="0"/>
    <n v="0"/>
    <n v="0"/>
    <n v="0"/>
    <n v="0"/>
    <n v="0"/>
    <n v="0"/>
    <n v="0"/>
    <n v="0"/>
    <n v="5753.4"/>
    <n v="5753.4"/>
    <n v="5753.4"/>
    <n v="5753.4"/>
    <n v="5753.4"/>
    <n v="5753.4"/>
    <n v="5753.4"/>
    <n v="5753.4"/>
    <n v="5753.4"/>
    <n v="10993.2"/>
    <n v="7500"/>
    <n v="7500"/>
    <n v="-77773.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370"/>
    <n v="5370"/>
    <n v="5370"/>
    <n v="5370"/>
    <n v="5370"/>
    <n v="5370"/>
    <n v="5370"/>
    <n v="7398"/>
    <n v="7644"/>
    <n v="7397"/>
    <n v="6904"/>
    <n v="7644"/>
    <n v="7500"/>
    <n v="7500"/>
    <n v="7500"/>
    <n v="7500"/>
    <n v="7500"/>
    <n v="7500"/>
    <n v="7500"/>
    <n v="8333.33"/>
    <n v="8333.33"/>
    <n v="8333.33"/>
    <n v="8333.33"/>
    <n v="8333.33"/>
    <x v="3"/>
    <x v="3"/>
    <s v="71470                   "/>
    <x v="1"/>
    <x v="2"/>
    <x v="57"/>
  </r>
  <r>
    <x v="10"/>
    <x v="10"/>
    <x v="2181"/>
    <x v="2186"/>
    <n v="0"/>
    <n v="0"/>
    <n v="0"/>
    <n v="0"/>
    <n v="0"/>
    <n v="0"/>
    <n v="0"/>
    <n v="0"/>
    <n v="0"/>
    <n v="0"/>
    <n v="0"/>
    <n v="0"/>
    <n v="533.95000000000005"/>
    <n v="500"/>
    <n v="157"/>
    <n v="0"/>
    <n v="0"/>
    <n v="0"/>
    <n v="0"/>
    <n v="0"/>
    <n v="0"/>
    <n v="0"/>
    <n v="0"/>
    <n v="0"/>
    <n v="-278.0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490                   "/>
    <x v="1"/>
    <x v="2"/>
    <x v="31"/>
  </r>
  <r>
    <x v="11"/>
    <x v="11"/>
    <x v="2182"/>
    <x v="2187"/>
    <n v="0"/>
    <n v="0"/>
    <n v="0"/>
    <n v="0"/>
    <n v="0"/>
    <n v="0"/>
    <n v="0"/>
    <n v="0"/>
    <n v="0"/>
    <n v="0"/>
    <n v="0"/>
    <n v="0"/>
    <n v="0"/>
    <n v="0"/>
    <n v="0"/>
    <n v="0"/>
    <n v="7800"/>
    <n v="1750"/>
    <n v="1600"/>
    <n v="1600"/>
    <n v="2079.31"/>
    <n v="1600"/>
    <n v="1600"/>
    <n v="1600"/>
    <n v="1600"/>
    <n v="160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00"/>
    <n v="1400"/>
    <n v="1400"/>
    <n v="1400"/>
    <n v="1400"/>
    <n v="1400"/>
    <n v="1400"/>
    <n v="1400"/>
    <n v="1400"/>
    <n v="1400"/>
    <n v="1400"/>
    <n v="1400"/>
    <n v="1600"/>
    <n v="1600"/>
    <n v="1600"/>
    <n v="1600"/>
    <n v="1600"/>
    <n v="1600"/>
    <n v="1600"/>
    <n v="1600"/>
    <n v="1600"/>
    <n v="1600"/>
    <n v="1600"/>
    <n v="1600"/>
    <x v="1"/>
    <x v="3"/>
    <s v="71260                   "/>
    <x v="1"/>
    <x v="2"/>
    <x v="59"/>
  </r>
  <r>
    <x v="11"/>
    <x v="11"/>
    <x v="2182"/>
    <x v="2187"/>
    <n v="-82.85"/>
    <n v="1172.1099999999999"/>
    <n v="587.87"/>
    <n v="123.72"/>
    <n v="710.99"/>
    <n v="556.72"/>
    <n v="1969.6"/>
    <n v="1753.95"/>
    <n v="-1888.14"/>
    <n v="395.83"/>
    <n v="53.72"/>
    <n v="514.53"/>
    <n v="1885.76"/>
    <n v="2692.02"/>
    <n v="2099.4"/>
    <n v="1825.14"/>
    <n v="-6200"/>
    <n v="256.29000000000002"/>
    <n v="0"/>
    <n v="0"/>
    <n v="203.05"/>
    <n v="131.99"/>
    <n v="0"/>
    <n v="592.91"/>
    <n v="123.0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89"/>
    <n v="489"/>
    <n v="489"/>
    <n v="489"/>
    <n v="489"/>
    <n v="489"/>
    <n v="489"/>
    <n v="489"/>
    <n v="489"/>
    <n v="489"/>
    <n v="489"/>
    <n v="489"/>
    <n v="1885.76"/>
    <n v="2692.02"/>
    <n v="2099.4"/>
    <n v="1825.14"/>
    <n v="-6200"/>
    <n v="256.29000000000002"/>
    <n v="0"/>
    <n v="0"/>
    <n v="-1888"/>
    <n v="396"/>
    <n v="54"/>
    <n v="515"/>
    <x v="2"/>
    <x v="3"/>
    <s v="71260                   "/>
    <x v="1"/>
    <x v="2"/>
    <x v="59"/>
  </r>
  <r>
    <x v="11"/>
    <x v="11"/>
    <x v="2183"/>
    <x v="2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00"/>
    <n v="0"/>
    <n v="0"/>
    <n v="300"/>
    <n v="0"/>
    <n v="0"/>
    <n v="300"/>
    <n v="0"/>
    <n v="0"/>
    <n v="300"/>
    <n v="50"/>
    <n v="50"/>
    <n v="50"/>
    <n v="50"/>
    <n v="50"/>
    <n v="50"/>
    <n v="50"/>
    <n v="50"/>
    <n v="50"/>
    <n v="50"/>
    <n v="50"/>
    <n v="50"/>
    <x v="1"/>
    <x v="3"/>
    <s v="71270                   "/>
    <x v="1"/>
    <x v="2"/>
    <x v="59"/>
  </r>
  <r>
    <x v="11"/>
    <x v="11"/>
    <x v="2183"/>
    <x v="2188"/>
    <n v="0"/>
    <n v="0"/>
    <n v="0"/>
    <n v="0"/>
    <n v="0"/>
    <n v="0"/>
    <n v="0"/>
    <n v="0"/>
    <n v="0"/>
    <n v="0"/>
    <n v="0"/>
    <n v="0"/>
    <n v="0"/>
    <n v="82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0"/>
    <n v="0"/>
    <n v="0"/>
    <n v="0"/>
    <n v="0"/>
    <n v="0"/>
    <n v="0"/>
    <n v="0"/>
    <n v="0"/>
    <n v="0"/>
    <x v="2"/>
    <x v="3"/>
    <s v="71270                   "/>
    <x v="1"/>
    <x v="2"/>
    <x v="59"/>
  </r>
  <r>
    <x v="11"/>
    <x v="11"/>
    <x v="2184"/>
    <x v="2189"/>
    <n v="0"/>
    <n v="0"/>
    <n v="0"/>
    <n v="0"/>
    <n v="0"/>
    <n v="0"/>
    <n v="0"/>
    <n v="0"/>
    <n v="0"/>
    <n v="0"/>
    <n v="0"/>
    <n v="0"/>
    <n v="157"/>
    <n v="0"/>
    <n v="314"/>
    <n v="157"/>
    <n v="0"/>
    <n v="157"/>
    <n v="157"/>
    <n v="157"/>
    <n v="157"/>
    <n v="157"/>
    <n v="157"/>
    <n v="157"/>
    <n v="-172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42"/>
    <n v="142"/>
    <n v="142"/>
    <n v="142"/>
    <n v="142"/>
    <n v="142"/>
    <n v="142"/>
    <n v="142"/>
    <n v="142"/>
    <n v="142"/>
    <n v="142"/>
    <n v="142"/>
    <n v="157"/>
    <n v="157"/>
    <n v="157"/>
    <n v="157"/>
    <n v="157"/>
    <n v="157"/>
    <n v="157"/>
    <n v="157"/>
    <n v="157"/>
    <n v="157"/>
    <n v="157"/>
    <n v="157"/>
    <x v="3"/>
    <x v="3"/>
    <s v="71280                   "/>
    <x v="1"/>
    <x v="2"/>
    <x v="59"/>
  </r>
  <r>
    <x v="11"/>
    <x v="11"/>
    <x v="2184"/>
    <x v="2189"/>
    <n v="0"/>
    <n v="0"/>
    <n v="0"/>
    <n v="0"/>
    <n v="0"/>
    <n v="0"/>
    <n v="0"/>
    <n v="0"/>
    <n v="0"/>
    <n v="0"/>
    <n v="0"/>
    <n v="0"/>
    <n v="2398.4"/>
    <n v="2202.4"/>
    <n v="2230.4"/>
    <n v="2174.4"/>
    <n v="2188.4"/>
    <n v="2188.4"/>
    <n v="2202.4"/>
    <n v="2216.4"/>
    <n v="2216.4"/>
    <n v="2244.4"/>
    <n v="2258.4"/>
    <n v="2286.4"/>
    <n v="2286.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00"/>
    <n v="2500"/>
    <n v="2500"/>
    <n v="2500"/>
    <n v="2500"/>
    <n v="2500"/>
    <n v="2500"/>
    <n v="2500"/>
    <n v="2500"/>
    <n v="2500"/>
    <n v="2500"/>
    <n v="2500"/>
    <n v="2400"/>
    <n v="2400"/>
    <n v="2400"/>
    <n v="2400"/>
    <n v="2400"/>
    <n v="2400"/>
    <n v="2400"/>
    <n v="2400"/>
    <n v="2400"/>
    <n v="2400"/>
    <n v="2400"/>
    <n v="2400"/>
    <x v="1"/>
    <x v="3"/>
    <s v="71280                   "/>
    <x v="1"/>
    <x v="2"/>
    <x v="59"/>
  </r>
  <r>
    <x v="11"/>
    <x v="11"/>
    <x v="2184"/>
    <x v="2189"/>
    <n v="1734"/>
    <n v="1734"/>
    <n v="1734"/>
    <n v="1734"/>
    <n v="1734"/>
    <n v="1734"/>
    <n v="1734"/>
    <n v="1734"/>
    <n v="1734"/>
    <n v="1734"/>
    <n v="2348"/>
    <n v="2348"/>
    <n v="2348"/>
    <n v="2348"/>
    <n v="2348"/>
    <n v="2348"/>
    <n v="2348"/>
    <n v="2348"/>
    <n v="2348"/>
    <n v="2348"/>
    <n v="2348"/>
    <n v="2348"/>
    <n v="2348"/>
    <n v="2348"/>
    <n v="234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37"/>
    <n v="1837"/>
    <n v="1837"/>
    <n v="1837"/>
    <n v="1837"/>
    <n v="1837"/>
    <n v="1837"/>
    <n v="1837"/>
    <n v="1837"/>
    <n v="1837"/>
    <n v="1837"/>
    <n v="1837"/>
    <n v="1734"/>
    <n v="1734"/>
    <n v="1734"/>
    <n v="1734"/>
    <n v="1734"/>
    <n v="1734"/>
    <n v="1734"/>
    <n v="1734"/>
    <n v="1734"/>
    <n v="1734"/>
    <n v="1734"/>
    <n v="1734"/>
    <x v="2"/>
    <x v="3"/>
    <s v="71280                   "/>
    <x v="1"/>
    <x v="2"/>
    <x v="59"/>
  </r>
  <r>
    <x v="11"/>
    <x v="11"/>
    <x v="2185"/>
    <x v="2190"/>
    <n v="0"/>
    <n v="0"/>
    <n v="0"/>
    <n v="0"/>
    <n v="0"/>
    <n v="0"/>
    <n v="0"/>
    <n v="0"/>
    <n v="0"/>
    <n v="0"/>
    <n v="0"/>
    <n v="0"/>
    <n v="0"/>
    <n v="0"/>
    <n v="0"/>
    <n v="0"/>
    <n v="157"/>
    <n v="0"/>
    <n v="0"/>
    <n v="0"/>
    <n v="0"/>
    <n v="0"/>
    <n v="0"/>
    <n v="0"/>
    <n v="-1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"/>
    <n v="0"/>
    <n v="0"/>
    <n v="0"/>
    <n v="0"/>
    <n v="0"/>
    <n v="0"/>
    <n v="0"/>
    <x v="3"/>
    <x v="3"/>
    <s v="71290                   "/>
    <x v="1"/>
    <x v="2"/>
    <x v="59"/>
  </r>
  <r>
    <x v="11"/>
    <x v="11"/>
    <x v="2185"/>
    <x v="2190"/>
    <n v="0"/>
    <n v="0"/>
    <n v="0"/>
    <n v="0"/>
    <n v="0"/>
    <n v="0"/>
    <n v="0"/>
    <n v="0"/>
    <n v="0"/>
    <n v="0"/>
    <n v="0"/>
    <n v="0"/>
    <n v="0"/>
    <n v="0"/>
    <n v="1116.82"/>
    <n v="558.94000000000005"/>
    <n v="768.94"/>
    <n v="438.93"/>
    <n v="320"/>
    <n v="980"/>
    <n v="1980"/>
    <n v="200"/>
    <n v="80"/>
    <n v="1938.17"/>
    <n v="134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x v="1"/>
    <x v="3"/>
    <s v="71290                   "/>
    <x v="1"/>
    <x v="2"/>
    <x v="59"/>
  </r>
  <r>
    <x v="11"/>
    <x v="11"/>
    <x v="2185"/>
    <x v="2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90                   "/>
    <x v="1"/>
    <x v="2"/>
    <x v="59"/>
  </r>
  <r>
    <x v="11"/>
    <x v="11"/>
    <x v="2186"/>
    <x v="2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42.5"/>
    <n v="-216.45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4000"/>
    <n v="0"/>
    <n v="0"/>
    <x v="1"/>
    <x v="3"/>
    <s v="71310                   "/>
    <x v="1"/>
    <x v="2"/>
    <x v="59"/>
  </r>
  <r>
    <x v="11"/>
    <x v="11"/>
    <x v="2186"/>
    <x v="2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10                   "/>
    <x v="1"/>
    <x v="2"/>
    <x v="59"/>
  </r>
  <r>
    <x v="11"/>
    <x v="11"/>
    <x v="2187"/>
    <x v="2192"/>
    <n v="0"/>
    <n v="0"/>
    <n v="0"/>
    <n v="0"/>
    <n v="0"/>
    <n v="0"/>
    <n v="0"/>
    <n v="0"/>
    <n v="0"/>
    <n v="0"/>
    <n v="0"/>
    <n v="0"/>
    <n v="243.67"/>
    <n v="243.67"/>
    <n v="0"/>
    <n v="0"/>
    <n v="1397.01"/>
    <n v="243.67"/>
    <n v="909.67"/>
    <n v="243.67"/>
    <n v="243.67"/>
    <n v="909.67"/>
    <n v="243.67"/>
    <n v="243.67"/>
    <n v="909.6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33.33000000000004"/>
    <n v="633.33000000000004"/>
    <n v="633.33000000000004"/>
    <n v="633.33000000000004"/>
    <n v="633.33000000000004"/>
    <n v="633.33000000000004"/>
    <n v="633.33000000000004"/>
    <n v="633.33000000000004"/>
    <n v="633.33000000000004"/>
    <n v="633.33000000000004"/>
    <n v="633.33000000000004"/>
    <n v="633.33000000000004"/>
    <n v="909.67"/>
    <n v="243.67"/>
    <n v="243.67"/>
    <n v="909.67"/>
    <n v="243.67"/>
    <n v="243.67"/>
    <n v="909.67"/>
    <n v="243.67"/>
    <n v="243.67"/>
    <n v="909.67"/>
    <n v="243.67"/>
    <n v="243.67"/>
    <x v="1"/>
    <x v="3"/>
    <s v="71410                   "/>
    <x v="1"/>
    <x v="2"/>
    <x v="59"/>
  </r>
  <r>
    <x v="11"/>
    <x v="11"/>
    <x v="2187"/>
    <x v="2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410                   "/>
    <x v="1"/>
    <x v="2"/>
    <x v="59"/>
  </r>
  <r>
    <x v="11"/>
    <x v="11"/>
    <x v="2188"/>
    <x v="2193"/>
    <n v="0"/>
    <n v="0"/>
    <n v="0"/>
    <n v="0"/>
    <n v="0"/>
    <n v="0"/>
    <n v="0"/>
    <n v="0"/>
    <n v="0"/>
    <n v="0"/>
    <n v="0"/>
    <n v="0"/>
    <n v="360.24"/>
    <n v="703.12"/>
    <n v="85.65"/>
    <n v="501.07"/>
    <n v="350.25"/>
    <n v="357.21"/>
    <n v="454.81"/>
    <n v="372.66"/>
    <n v="356.91"/>
    <n v="185.27"/>
    <n v="666.51"/>
    <n v="103.26"/>
    <n v="147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83.33"/>
    <n v="483.33"/>
    <n v="483.33"/>
    <n v="483.33"/>
    <n v="483.33"/>
    <n v="483.33"/>
    <n v="483.33"/>
    <n v="483.33"/>
    <n v="483.33"/>
    <n v="483.33"/>
    <n v="483.33"/>
    <n v="483.33"/>
    <n v="324.22000000000003"/>
    <n v="632.80999999999995"/>
    <n v="77.09"/>
    <n v="450.96"/>
    <n v="315.23"/>
    <n v="321.49"/>
    <n v="409.33"/>
    <n v="335.39"/>
    <n v="380.7"/>
    <n v="1016.1"/>
    <n v="171"/>
    <n v="506.7"/>
    <x v="1"/>
    <x v="3"/>
    <s v="71420                   "/>
    <x v="1"/>
    <x v="2"/>
    <x v="59"/>
  </r>
  <r>
    <x v="11"/>
    <x v="11"/>
    <x v="2188"/>
    <x v="2193"/>
    <n v="0"/>
    <n v="0"/>
    <n v="0"/>
    <n v="0"/>
    <n v="0"/>
    <n v="0"/>
    <n v="0"/>
    <n v="0"/>
    <n v="0"/>
    <n v="0"/>
    <n v="0"/>
    <n v="0"/>
    <n v="850"/>
    <n v="0"/>
    <n v="0"/>
    <n v="0"/>
    <n v="0"/>
    <n v="83.39"/>
    <n v="0"/>
    <n v="1685.21"/>
    <n v="543.76"/>
    <n v="164.28"/>
    <n v="99.78"/>
    <n v="154.94999999999999"/>
    <n v="496.1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x v="2"/>
    <x v="3"/>
    <s v="71420                   "/>
    <x v="1"/>
    <x v="2"/>
    <x v="59"/>
  </r>
  <r>
    <x v="11"/>
    <x v="11"/>
    <x v="2189"/>
    <x v="2194"/>
    <n v="0"/>
    <n v="0"/>
    <n v="0"/>
    <n v="0"/>
    <n v="0"/>
    <n v="0"/>
    <n v="0"/>
    <n v="0"/>
    <n v="0"/>
    <n v="0"/>
    <n v="0"/>
    <n v="0"/>
    <n v="611.70000000000005"/>
    <n v="627.42999999999995"/>
    <n v="414.64"/>
    <n v="513.88"/>
    <n v="-2327.7199999999998"/>
    <n v="621.79999999999995"/>
    <n v="28.8"/>
    <n v="-204.65"/>
    <n v="1021.55"/>
    <n v="198.64"/>
    <n v="247.47"/>
    <n v="277.49"/>
    <n v="1430.2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250"/>
    <n v="250"/>
    <n v="250"/>
    <n v="250"/>
    <n v="250"/>
    <n v="250"/>
    <n v="250"/>
    <n v="250"/>
    <n v="250"/>
    <n v="250"/>
    <n v="250"/>
    <n v="250"/>
    <x v="1"/>
    <x v="3"/>
    <s v="71450                   "/>
    <x v="1"/>
    <x v="2"/>
    <x v="59"/>
  </r>
  <r>
    <x v="11"/>
    <x v="11"/>
    <x v="2189"/>
    <x v="2194"/>
    <n v="20"/>
    <n v="59.33"/>
    <n v="149.97999999999999"/>
    <n v="165.65"/>
    <n v="84.61"/>
    <n v="163.04"/>
    <n v="40.950000000000003"/>
    <n v="32.590000000000003"/>
    <n v="323.79000000000002"/>
    <n v="35"/>
    <n v="0"/>
    <n v="0"/>
    <n v="0"/>
    <n v="0"/>
    <n v="0"/>
    <n v="0"/>
    <n v="0"/>
    <n v="184.32"/>
    <n v="0"/>
    <n v="105"/>
    <n v="0"/>
    <n v="0"/>
    <n v="0"/>
    <n v="16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50"/>
    <n v="50"/>
    <n v="50"/>
    <n v="50"/>
    <n v="50"/>
    <n v="50"/>
    <n v="50"/>
    <n v="50"/>
    <n v="50"/>
    <n v="50"/>
    <n v="50"/>
    <n v="50"/>
    <x v="2"/>
    <x v="3"/>
    <s v="71450                   "/>
    <x v="1"/>
    <x v="2"/>
    <x v="59"/>
  </r>
  <r>
    <x v="11"/>
    <x v="11"/>
    <x v="2190"/>
    <x v="2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485                   "/>
    <x v="1"/>
    <x v="2"/>
    <x v="2"/>
  </r>
  <r>
    <x v="11"/>
    <x v="11"/>
    <x v="2191"/>
    <x v="2196"/>
    <n v="0"/>
    <n v="0"/>
    <n v="0"/>
    <n v="0"/>
    <n v="0"/>
    <n v="0"/>
    <n v="0"/>
    <n v="0"/>
    <n v="0"/>
    <n v="0"/>
    <n v="0"/>
    <n v="0"/>
    <n v="0"/>
    <n v="0"/>
    <n v="0"/>
    <n v="0"/>
    <n v="508.79"/>
    <n v="198.64"/>
    <n v="186.18"/>
    <n v="177.92"/>
    <n v="286.75"/>
    <n v="168.29"/>
    <n v="193.44"/>
    <n v="135.6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50"/>
    <n v="350"/>
    <n v="350"/>
    <n v="350"/>
    <n v="350"/>
    <n v="350"/>
    <n v="350"/>
    <n v="350"/>
    <n v="350"/>
    <n v="350"/>
    <n v="350"/>
    <n v="350"/>
    <n v="390"/>
    <n v="390"/>
    <n v="390"/>
    <n v="390"/>
    <n v="390"/>
    <n v="390"/>
    <n v="390"/>
    <n v="390"/>
    <n v="390"/>
    <n v="390"/>
    <n v="390"/>
    <n v="390"/>
    <x v="1"/>
    <x v="3"/>
    <s v="71500                   "/>
    <x v="1"/>
    <x v="2"/>
    <x v="31"/>
  </r>
  <r>
    <x v="11"/>
    <x v="11"/>
    <x v="2192"/>
    <x v="2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1.84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8.24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82040                   "/>
    <x v="1"/>
    <x v="2"/>
    <x v="58"/>
  </r>
  <r>
    <x v="11"/>
    <x v="11"/>
    <x v="2193"/>
    <x v="2198"/>
    <n v="0"/>
    <n v="0"/>
    <n v="0"/>
    <n v="0"/>
    <n v="0"/>
    <n v="0"/>
    <n v="0"/>
    <n v="0"/>
    <n v="0"/>
    <n v="0"/>
    <n v="0"/>
    <n v="0"/>
    <n v="1149"/>
    <n v="1332.08"/>
    <n v="3936.91"/>
    <n v="1300.8499999999999"/>
    <n v="2640.89"/>
    <n v="7139.85"/>
    <n v="1096.83"/>
    <n v="4052.08"/>
    <n v="376.08"/>
    <n v="0"/>
    <n v="0"/>
    <n v="5620.3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7611.09"/>
    <n v="6769.23"/>
    <n v="2371.54"/>
    <n v="1485"/>
    <n v="8030.25"/>
    <n v="2905"/>
    <n v="84.39"/>
    <n v="-1130"/>
    <n v="2500"/>
    <n v="6548"/>
    <n v="1149"/>
    <n v="1332.08"/>
    <n v="3936.91"/>
    <n v="1300.8499999999999"/>
    <n v="2640.89"/>
    <n v="7139.85"/>
    <n v="1096.83"/>
    <n v="4052.08"/>
    <n v="84"/>
    <n v="18"/>
    <n v="3150"/>
    <n v="10360"/>
    <x v="1"/>
    <x v="7"/>
    <s v="87810                   "/>
    <x v="1"/>
    <x v="2"/>
    <x v="58"/>
  </r>
  <r>
    <x v="11"/>
    <x v="11"/>
    <x v="2194"/>
    <x v="2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2.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87820                   "/>
    <x v="1"/>
    <x v="2"/>
    <x v="58"/>
  </r>
  <r>
    <x v="11"/>
    <x v="11"/>
    <x v="2195"/>
    <x v="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377.06"/>
    <n v="1695.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87825                   "/>
    <x v="1"/>
    <x v="2"/>
    <x v="58"/>
  </r>
  <r>
    <x v="11"/>
    <x v="11"/>
    <x v="2196"/>
    <x v="2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87830                   "/>
    <x v="1"/>
    <x v="2"/>
    <x v="58"/>
  </r>
  <r>
    <x v="11"/>
    <x v="11"/>
    <x v="2197"/>
    <x v="2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87835                   "/>
    <x v="1"/>
    <x v="2"/>
    <x v="58"/>
  </r>
  <r>
    <x v="11"/>
    <x v="11"/>
    <x v="2198"/>
    <x v="2203"/>
    <n v="0"/>
    <n v="0"/>
    <n v="0"/>
    <n v="0"/>
    <n v="0"/>
    <n v="0"/>
    <n v="0"/>
    <n v="0"/>
    <n v="0"/>
    <n v="0"/>
    <n v="0"/>
    <n v="0"/>
    <n v="0"/>
    <n v="65.3"/>
    <n v="327.3"/>
    <n v="39.03"/>
    <n v="426.25"/>
    <n v="143.85"/>
    <n v="112.17"/>
    <n v="264.10000000000002"/>
    <n v="19.350000000000001"/>
    <n v="261.82"/>
    <n v="121.56"/>
    <n v="326.73"/>
    <n v="21.4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.67"/>
    <n v="1.67"/>
    <n v="1.67"/>
    <n v="1.67"/>
    <n v="1.67"/>
    <n v="1.67"/>
    <n v="1.67"/>
    <n v="1.67"/>
    <n v="1.67"/>
    <n v="1.67"/>
    <n v="1.67"/>
    <n v="1.67"/>
    <n v="125"/>
    <n v="125"/>
    <n v="125"/>
    <n v="125"/>
    <n v="125"/>
    <n v="125"/>
    <n v="125"/>
    <n v="125"/>
    <n v="125"/>
    <n v="125"/>
    <n v="125"/>
    <n v="125"/>
    <x v="2"/>
    <x v="4"/>
    <s v="71420                   "/>
    <x v="1"/>
    <x v="2"/>
    <x v="42"/>
  </r>
  <r>
    <x v="11"/>
    <x v="11"/>
    <x v="2199"/>
    <x v="2204"/>
    <n v="0"/>
    <n v="0"/>
    <n v="0"/>
    <n v="0"/>
    <n v="0"/>
    <n v="0"/>
    <n v="0"/>
    <n v="0"/>
    <n v="0"/>
    <n v="0"/>
    <n v="0"/>
    <n v="0"/>
    <n v="321.36"/>
    <n v="274.29000000000002"/>
    <n v="44.25"/>
    <n v="3.96"/>
    <n v="731.01"/>
    <n v="343.25"/>
    <n v="278.67"/>
    <n v="266.02"/>
    <n v="375.75"/>
    <n v="243.67"/>
    <n v="1091.24"/>
    <n v="397.35"/>
    <n v="560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7.84"/>
    <n v="157.84"/>
    <n v="157.84"/>
    <n v="157.84"/>
    <n v="157.84"/>
    <n v="177.84"/>
    <n v="177.84"/>
    <n v="177.84"/>
    <n v="177.84"/>
    <n v="177.84"/>
    <n v="177.84"/>
    <n v="177.84"/>
    <n v="280"/>
    <n v="280"/>
    <n v="280"/>
    <n v="280"/>
    <n v="280"/>
    <n v="280"/>
    <n v="315"/>
    <n v="280"/>
    <n v="280"/>
    <n v="280"/>
    <n v="280"/>
    <n v="280"/>
    <x v="2"/>
    <x v="4"/>
    <s v="71450                   "/>
    <x v="1"/>
    <x v="2"/>
    <x v="42"/>
  </r>
  <r>
    <x v="11"/>
    <x v="11"/>
    <x v="2200"/>
    <x v="2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500                   "/>
    <x v="1"/>
    <x v="2"/>
    <x v="39"/>
  </r>
  <r>
    <x v="11"/>
    <x v="11"/>
    <x v="2201"/>
    <x v="2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71950                   "/>
    <x v="1"/>
    <x v="2"/>
    <x v="39"/>
  </r>
  <r>
    <x v="11"/>
    <x v="11"/>
    <x v="2202"/>
    <x v="2207"/>
    <n v="0"/>
    <n v="0"/>
    <n v="0"/>
    <n v="0"/>
    <n v="0"/>
    <n v="0"/>
    <n v="0"/>
    <n v="0"/>
    <n v="0"/>
    <n v="0"/>
    <n v="0"/>
    <n v="0"/>
    <n v="942.5"/>
    <n v="319.74"/>
    <n v="0"/>
    <n v="0"/>
    <n v="0"/>
    <n v="0"/>
    <n v="0"/>
    <n v="48.49"/>
    <n v="0"/>
    <n v="0"/>
    <n v="0"/>
    <n v="1549.1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6.75"/>
    <n v="351.71"/>
    <n v="0"/>
    <n v="0"/>
    <n v="0"/>
    <n v="0"/>
    <n v="0"/>
    <n v="53.34"/>
    <n v="0"/>
    <n v="0"/>
    <n v="0"/>
    <n v="0"/>
    <x v="2"/>
    <x v="2"/>
    <s v="61390                   "/>
    <x v="20"/>
    <x v="2"/>
    <x v="56"/>
  </r>
  <r>
    <x v="11"/>
    <x v="11"/>
    <x v="2203"/>
    <x v="2208"/>
    <n v="0"/>
    <n v="0"/>
    <n v="0"/>
    <n v="0"/>
    <n v="0"/>
    <n v="0"/>
    <n v="0"/>
    <n v="0"/>
    <n v="0"/>
    <n v="0"/>
    <n v="0"/>
    <n v="0"/>
    <n v="0"/>
    <n v="49.36"/>
    <n v="23.34"/>
    <n v="0"/>
    <n v="0"/>
    <n v="8.5399999999999991"/>
    <n v="11.46"/>
    <n v="69.34"/>
    <n v="31.26"/>
    <n v="65.9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20"/>
    <n v="0"/>
    <n v="0"/>
    <n v="0"/>
    <n v="21"/>
    <n v="70.36"/>
    <n v="31.34"/>
    <n v="21"/>
    <n v="34"/>
    <n v="16.54"/>
    <n v="32.46"/>
    <n v="77.34"/>
    <n v="51"/>
    <n v="21"/>
    <n v="21"/>
    <n v="21"/>
    <x v="2"/>
    <x v="2"/>
    <s v="71420                   "/>
    <x v="11"/>
    <x v="2"/>
    <x v="45"/>
  </r>
  <r>
    <x v="11"/>
    <x v="11"/>
    <x v="2204"/>
    <x v="2209"/>
    <n v="0"/>
    <n v="0"/>
    <n v="0"/>
    <n v="0"/>
    <n v="0"/>
    <n v="0"/>
    <n v="0"/>
    <n v="0"/>
    <n v="0"/>
    <n v="0"/>
    <n v="0"/>
    <n v="0"/>
    <n v="0"/>
    <n v="0"/>
    <n v="0"/>
    <n v="6.93"/>
    <n v="0"/>
    <n v="1054.18"/>
    <n v="0"/>
    <n v="0"/>
    <n v="0"/>
    <n v="0"/>
    <n v="0"/>
    <n v="0"/>
    <n v="-1061.10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70.38"/>
    <n v="0"/>
    <n v="77.989999999999995"/>
    <n v="191.55"/>
    <n v="0"/>
    <n v="0"/>
    <n v="0"/>
    <n v="0"/>
    <n v="0"/>
    <n v="0"/>
    <n v="0"/>
    <n v="0"/>
    <n v="7.07"/>
    <n v="0"/>
    <n v="1075.26"/>
    <n v="0"/>
    <n v="0"/>
    <n v="0"/>
    <n v="0"/>
    <n v="0"/>
    <n v="0"/>
    <x v="3"/>
    <x v="2"/>
    <s v="71450                   "/>
    <x v="1"/>
    <x v="2"/>
    <x v="56"/>
  </r>
  <r>
    <x v="11"/>
    <x v="11"/>
    <x v="2204"/>
    <x v="2209"/>
    <n v="1149.72"/>
    <n v="3535.56"/>
    <n v="3049.11"/>
    <n v="1737.95"/>
    <n v="-692.41"/>
    <n v="1159.6400000000001"/>
    <n v="898.71"/>
    <n v="-156.88"/>
    <n v="836.77"/>
    <n v="1031.25"/>
    <n v="916.83"/>
    <n v="968.27"/>
    <n v="1063.31"/>
    <n v="2776.6"/>
    <n v="1021.56"/>
    <n v="842.32"/>
    <n v="1792.91"/>
    <n v="1118.22"/>
    <n v="1219.19"/>
    <n v="1041.26"/>
    <n v="1102.53"/>
    <n v="743.2"/>
    <n v="1099.5999999999999"/>
    <n v="843.2"/>
    <n v="2737.7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49.72"/>
    <n v="3535.56"/>
    <n v="3049.11"/>
    <n v="1737.95"/>
    <n v="-692.41"/>
    <n v="1159.6400000000001"/>
    <n v="898.71"/>
    <n v="-156.88"/>
    <n v="836.77"/>
    <n v="1031.25"/>
    <n v="916.83"/>
    <n v="968.27"/>
    <n v="1084.58"/>
    <n v="2832.13"/>
    <n v="1041.99"/>
    <n v="859.17"/>
    <n v="1828.77"/>
    <n v="1140.58"/>
    <n v="1243.57"/>
    <n v="1062.0899999999999"/>
    <n v="853.74"/>
    <n v="1051.6199999999999"/>
    <n v="935.34"/>
    <n v="987.36"/>
    <x v="2"/>
    <x v="2"/>
    <s v="71450                   "/>
    <x v="1"/>
    <x v="2"/>
    <x v="56"/>
  </r>
  <r>
    <x v="11"/>
    <x v="11"/>
    <x v="2205"/>
    <x v="2210"/>
    <n v="0"/>
    <n v="0"/>
    <n v="0"/>
    <n v="0"/>
    <n v="0"/>
    <n v="0"/>
    <n v="0"/>
    <n v="0"/>
    <n v="0"/>
    <n v="0"/>
    <n v="0"/>
    <n v="0"/>
    <n v="0"/>
    <n v="219.29"/>
    <n v="11.75"/>
    <n v="44.74"/>
    <n v="10"/>
    <n v="45.42"/>
    <n v="0"/>
    <n v="15.08"/>
    <n v="23.52"/>
    <n v="71.17"/>
    <n v="202.11"/>
    <n v="29.5"/>
    <n v="139.2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"/>
    <n v="40"/>
    <n v="40"/>
    <n v="40"/>
    <n v="40"/>
    <n v="40"/>
    <n v="40"/>
    <n v="40"/>
    <n v="40"/>
    <n v="40"/>
    <n v="40"/>
    <n v="40"/>
    <n v="58"/>
    <n v="85"/>
    <n v="58"/>
    <n v="64.739999999999995"/>
    <n v="30"/>
    <n v="65.42"/>
    <n v="50"/>
    <n v="35.08"/>
    <n v="50"/>
    <n v="90"/>
    <n v="20"/>
    <n v="70"/>
    <x v="2"/>
    <x v="2"/>
    <s v="71450                   "/>
    <x v="11"/>
    <x v="2"/>
    <x v="45"/>
  </r>
  <r>
    <x v="11"/>
    <x v="11"/>
    <x v="2206"/>
    <x v="2211"/>
    <n v="0"/>
    <n v="0"/>
    <n v="0"/>
    <n v="0"/>
    <n v="0"/>
    <n v="0"/>
    <n v="0"/>
    <n v="0"/>
    <n v="0"/>
    <n v="0"/>
    <n v="0"/>
    <n v="0"/>
    <n v="0"/>
    <n v="0"/>
    <n v="0"/>
    <n v="283.68"/>
    <n v="-283.68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1500                   "/>
    <x v="1"/>
    <x v="2"/>
    <x v="31"/>
  </r>
  <r>
    <x v="11"/>
    <x v="11"/>
    <x v="2207"/>
    <x v="2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500                   "/>
    <x v="11"/>
    <x v="2"/>
    <x v="45"/>
  </r>
  <r>
    <x v="11"/>
    <x v="11"/>
    <x v="2208"/>
    <x v="2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71590                   "/>
    <x v="28"/>
    <x v="2"/>
    <x v="43"/>
  </r>
  <r>
    <x v="11"/>
    <x v="11"/>
    <x v="2208"/>
    <x v="2213"/>
    <n v="0"/>
    <n v="2597.09"/>
    <n v="374.86"/>
    <n v="2295.0300000000002"/>
    <n v="853.83"/>
    <n v="270.39999999999998"/>
    <n v="263.20999999999998"/>
    <n v="1397.63"/>
    <n v="293.51"/>
    <n v="4026.52"/>
    <n v="1032.2"/>
    <n v="1579.97"/>
    <n v="4274.22"/>
    <n v="533.89"/>
    <n v="2756.06"/>
    <n v="573.63"/>
    <n v="141.71"/>
    <n v="18.75"/>
    <n v="0"/>
    <n v="373.25"/>
    <n v="353.41"/>
    <n v="306.95"/>
    <n v="179.98"/>
    <n v="40"/>
    <n v="380.9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0"/>
    <n v="830"/>
    <n v="830"/>
    <n v="830"/>
    <n v="830"/>
    <n v="830"/>
    <n v="830"/>
    <n v="830"/>
    <n v="830"/>
    <n v="830"/>
    <n v="830"/>
    <n v="830"/>
    <n v="4274.22"/>
    <n v="533.89"/>
    <n v="2756.06"/>
    <n v="573.63"/>
    <n v="141.71"/>
    <n v="18.75"/>
    <n v="0"/>
    <n v="373.25"/>
    <n v="294"/>
    <n v="4027"/>
    <n v="1032"/>
    <n v="1580"/>
    <x v="2"/>
    <x v="2"/>
    <s v="71590                   "/>
    <x v="28"/>
    <x v="2"/>
    <x v="43"/>
  </r>
  <r>
    <x v="11"/>
    <x v="11"/>
    <x v="2209"/>
    <x v="2214"/>
    <n v="0"/>
    <n v="232.95"/>
    <n v="0"/>
    <n v="0"/>
    <n v="0"/>
    <n v="0"/>
    <n v="30.93"/>
    <n v="0"/>
    <n v="0"/>
    <n v="0"/>
    <n v="0"/>
    <n v="30.94"/>
    <n v="61.88"/>
    <n v="30.94"/>
    <n v="61.88"/>
    <n v="30.94"/>
    <n v="30.94"/>
    <n v="61.88"/>
    <n v="61.88"/>
    <n v="0"/>
    <n v="30.94"/>
    <n v="48.56"/>
    <n v="0"/>
    <n v="0"/>
    <n v="31.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32.95"/>
    <n v="0"/>
    <n v="0"/>
    <n v="0"/>
    <n v="0"/>
    <n v="30.93"/>
    <n v="0"/>
    <n v="0"/>
    <n v="0"/>
    <n v="0"/>
    <n v="30.94"/>
    <n v="63.12"/>
    <n v="31.56"/>
    <n v="63.12"/>
    <n v="31.56"/>
    <n v="31.56"/>
    <n v="63.12"/>
    <n v="63.12"/>
    <n v="0"/>
    <n v="0"/>
    <n v="0"/>
    <n v="0"/>
    <n v="31.62"/>
    <x v="2"/>
    <x v="2"/>
    <s v="71820                   "/>
    <x v="20"/>
    <x v="2"/>
    <x v="56"/>
  </r>
  <r>
    <x v="11"/>
    <x v="11"/>
    <x v="2210"/>
    <x v="2215"/>
    <n v="0"/>
    <n v="0"/>
    <n v="0"/>
    <n v="0"/>
    <n v="0"/>
    <n v="0"/>
    <n v="0"/>
    <n v="0"/>
    <n v="0"/>
    <n v="0"/>
    <n v="0"/>
    <n v="0"/>
    <n v="0"/>
    <n v="28.56"/>
    <n v="0"/>
    <n v="0"/>
    <n v="0"/>
    <n v="0"/>
    <n v="0"/>
    <n v="159.97999999999999"/>
    <n v="29.85"/>
    <n v="0"/>
    <n v="0"/>
    <n v="0"/>
    <n v="-218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4.28"/>
    <n v="0"/>
    <n v="0"/>
    <n v="0"/>
    <n v="0"/>
    <n v="0"/>
    <n v="0"/>
    <n v="0"/>
    <n v="0"/>
    <n v="29.13"/>
    <n v="0"/>
    <n v="0"/>
    <n v="0"/>
    <n v="0"/>
    <n v="0"/>
    <n v="163.18"/>
    <n v="0"/>
    <n v="0"/>
    <n v="0"/>
    <n v="0"/>
    <x v="3"/>
    <x v="2"/>
    <s v="71830                   "/>
    <x v="1"/>
    <x v="2"/>
    <x v="56"/>
  </r>
  <r>
    <x v="11"/>
    <x v="11"/>
    <x v="2210"/>
    <x v="2215"/>
    <n v="950"/>
    <n v="68.260000000000005"/>
    <n v="195.07"/>
    <n v="887.5"/>
    <n v="1182.01"/>
    <n v="474.76"/>
    <n v="0"/>
    <n v="1290.22"/>
    <n v="38.56"/>
    <n v="910.03"/>
    <n v="0"/>
    <n v="0"/>
    <n v="173.98"/>
    <n v="3310.42"/>
    <n v="0"/>
    <n v="267.12"/>
    <n v="936.81"/>
    <n v="0"/>
    <n v="0"/>
    <n v="561.95000000000005"/>
    <n v="464.48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50"/>
    <n v="68.260000000000005"/>
    <n v="195.07"/>
    <n v="887.5"/>
    <n v="1182.01"/>
    <n v="474.76"/>
    <n v="0"/>
    <n v="1290.22"/>
    <n v="38.56"/>
    <n v="910.03"/>
    <n v="0"/>
    <n v="0"/>
    <n v="177.46"/>
    <n v="3376.63"/>
    <n v="0"/>
    <n v="272.45999999999998"/>
    <n v="955.55"/>
    <n v="0"/>
    <n v="0"/>
    <n v="573.19000000000005"/>
    <n v="39.78"/>
    <n v="928.2"/>
    <n v="0"/>
    <n v="0"/>
    <x v="2"/>
    <x v="2"/>
    <s v="71830                   "/>
    <x v="1"/>
    <x v="2"/>
    <x v="56"/>
  </r>
  <r>
    <x v="11"/>
    <x v="11"/>
    <x v="2211"/>
    <x v="2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950                   "/>
    <x v="11"/>
    <x v="2"/>
    <x v="45"/>
  </r>
  <r>
    <x v="11"/>
    <x v="11"/>
    <x v="2212"/>
    <x v="2217"/>
    <n v="0"/>
    <n v="0"/>
    <n v="0"/>
    <n v="0"/>
    <n v="0"/>
    <n v="0"/>
    <n v="0"/>
    <n v="0"/>
    <n v="0"/>
    <n v="0"/>
    <n v="0"/>
    <n v="0"/>
    <n v="208"/>
    <n v="151.32"/>
    <n v="129.47"/>
    <n v="110"/>
    <n v="140.99"/>
    <n v="116.64"/>
    <n v="75"/>
    <n v="75"/>
    <n v="75"/>
    <n v="190.56"/>
    <n v="104.95"/>
    <n v="75"/>
    <n v="11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5"/>
    <n v="45"/>
    <n v="45"/>
    <n v="45"/>
    <n v="45"/>
    <n v="45"/>
    <n v="45"/>
    <n v="45"/>
    <n v="45"/>
    <n v="45"/>
    <n v="45"/>
    <n v="45"/>
    <n v="133"/>
    <n v="76.319999999999993"/>
    <n v="54.47"/>
    <n v="65.989999999999995"/>
    <n v="41.64"/>
    <n v="0"/>
    <n v="0"/>
    <n v="35"/>
    <n v="0"/>
    <n v="25"/>
    <n v="0"/>
    <n v="0"/>
    <x v="2"/>
    <x v="2"/>
    <s v="72100                   "/>
    <x v="11"/>
    <x v="2"/>
    <x v="45"/>
  </r>
  <r>
    <x v="11"/>
    <x v="11"/>
    <x v="2213"/>
    <x v="2218"/>
    <n v="0"/>
    <n v="0"/>
    <n v="0"/>
    <n v="0"/>
    <n v="0"/>
    <n v="0"/>
    <n v="0"/>
    <n v="0"/>
    <n v="0"/>
    <n v="0"/>
    <n v="0"/>
    <n v="0"/>
    <n v="146.16999999999999"/>
    <n v="63.77"/>
    <n v="74.56"/>
    <n v="260.8"/>
    <n v="143.02000000000001"/>
    <n v="50"/>
    <n v="50"/>
    <n v="85"/>
    <n v="50"/>
    <n v="50"/>
    <n v="112.89"/>
    <n v="50"/>
    <n v="5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0"/>
    <n v="150"/>
    <n v="150"/>
    <n v="150"/>
    <n v="150"/>
    <n v="150"/>
    <n v="150"/>
    <n v="150"/>
    <n v="150"/>
    <n v="150"/>
    <n v="150"/>
    <n v="150"/>
    <n v="75"/>
    <n v="75"/>
    <n v="75"/>
    <n v="75"/>
    <n v="75"/>
    <n v="75"/>
    <n v="75"/>
    <n v="75"/>
    <n v="75"/>
    <n v="75"/>
    <n v="75"/>
    <n v="75"/>
    <x v="2"/>
    <x v="2"/>
    <s v="72100                   "/>
    <x v="15"/>
    <x v="2"/>
    <x v="50"/>
  </r>
  <r>
    <x v="11"/>
    <x v="11"/>
    <x v="2214"/>
    <x v="2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"/>
    <n v="0"/>
    <n v="0"/>
    <n v="0"/>
    <n v="0"/>
    <x v="2"/>
    <x v="2"/>
    <s v="72110                   "/>
    <x v="11"/>
    <x v="2"/>
    <x v="45"/>
  </r>
  <r>
    <x v="11"/>
    <x v="11"/>
    <x v="2215"/>
    <x v="2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2110                   "/>
    <x v="15"/>
    <x v="2"/>
    <x v="50"/>
  </r>
  <r>
    <x v="11"/>
    <x v="11"/>
    <x v="2216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9998                   "/>
    <x v="1"/>
    <x v="2"/>
    <x v="2"/>
  </r>
  <r>
    <x v="11"/>
    <x v="11"/>
    <x v="2216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89998                   "/>
    <x v="1"/>
    <x v="2"/>
    <x v="2"/>
  </r>
  <r>
    <x v="11"/>
    <x v="11"/>
    <x v="2216"/>
    <x v="2221"/>
    <n v="0"/>
    <n v="0"/>
    <n v="0"/>
    <n v="0"/>
    <n v="0"/>
    <n v="0"/>
    <n v="0"/>
    <n v="0"/>
    <n v="0"/>
    <n v="0"/>
    <n v="0"/>
    <n v="1071.47"/>
    <n v="0"/>
    <n v="0"/>
    <n v="0"/>
    <n v="82.25"/>
    <n v="-12.23"/>
    <n v="17"/>
    <n v="-3.76"/>
    <n v="-124.65"/>
    <n v="41.39"/>
    <n v="0"/>
    <n v="0"/>
    <n v="2.1"/>
    <n v="2.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9998                   "/>
    <x v="1"/>
    <x v="2"/>
    <x v="2"/>
  </r>
  <r>
    <x v="11"/>
    <x v="11"/>
    <x v="2216"/>
    <x v="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9998                   "/>
    <x v="1"/>
    <x v="2"/>
    <x v="2"/>
  </r>
  <r>
    <x v="11"/>
    <x v="11"/>
    <x v="2217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2"/>
    <s v="89999                   "/>
    <x v="1"/>
    <x v="2"/>
    <x v="2"/>
  </r>
  <r>
    <x v="11"/>
    <x v="11"/>
    <x v="2217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2"/>
    <s v="89999                   "/>
    <x v="1"/>
    <x v="2"/>
    <x v="2"/>
  </r>
  <r>
    <x v="11"/>
    <x v="11"/>
    <x v="2217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89999                   "/>
    <x v="1"/>
    <x v="2"/>
    <x v="2"/>
  </r>
  <r>
    <x v="12"/>
    <x v="12"/>
    <x v="2218"/>
    <x v="2223"/>
    <n v="0"/>
    <n v="0"/>
    <n v="0"/>
    <n v="0"/>
    <n v="0"/>
    <n v="0"/>
    <n v="0"/>
    <n v="0"/>
    <n v="0"/>
    <n v="0"/>
    <n v="0"/>
    <n v="0"/>
    <n v="0"/>
    <n v="0"/>
    <n v="27500.01"/>
    <n v="6390"/>
    <n v="6390"/>
    <n v="6390"/>
    <n v="6390"/>
    <n v="6390"/>
    <n v="6390"/>
    <n v="6390"/>
    <n v="6390"/>
    <n v="-9457.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166.66"/>
    <n v="9166.66"/>
    <n v="9166.66"/>
    <n v="9166.66"/>
    <n v="9166.66"/>
    <n v="9166.66"/>
    <n v="9166.66"/>
    <n v="9166.66"/>
    <n v="9166.66"/>
    <n v="9166.66"/>
    <n v="9166.66"/>
    <n v="9166.66"/>
    <n v="6390"/>
    <n v="6390"/>
    <n v="6390"/>
    <n v="6390"/>
    <n v="6390"/>
    <n v="6390"/>
    <n v="6390"/>
    <n v="6390"/>
    <n v="6390"/>
    <n v="6390"/>
    <n v="6390"/>
    <n v="6390"/>
    <x v="1"/>
    <x v="3"/>
    <s v="71000                   "/>
    <x v="1"/>
    <x v="2"/>
    <x v="60"/>
  </r>
  <r>
    <x v="12"/>
    <x v="12"/>
    <x v="2218"/>
    <x v="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000                   "/>
    <x v="1"/>
    <x v="2"/>
    <x v="60"/>
  </r>
  <r>
    <x v="12"/>
    <x v="12"/>
    <x v="2219"/>
    <x v="2224"/>
    <n v="0"/>
    <n v="0"/>
    <n v="0"/>
    <n v="0"/>
    <n v="0"/>
    <n v="0"/>
    <n v="0"/>
    <n v="0"/>
    <n v="0"/>
    <n v="0"/>
    <n v="0"/>
    <n v="0"/>
    <n v="0"/>
    <n v="8000"/>
    <n v="31817.64"/>
    <n v="12048.25"/>
    <n v="15500"/>
    <n v="13411.97"/>
    <n v="10500"/>
    <n v="8000"/>
    <n v="18378.29"/>
    <n v="8000"/>
    <n v="8000"/>
    <n v="11643.62"/>
    <n v="5045"/>
    <n v="500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500"/>
    <n v="7500"/>
    <n v="19500"/>
    <n v="7500"/>
    <n v="15500"/>
    <n v="7500"/>
    <n v="7500"/>
    <n v="13500"/>
    <n v="7500"/>
    <n v="0"/>
    <n v="4000"/>
    <n v="0"/>
    <n v="7666.67"/>
    <n v="7666.67"/>
    <n v="7666.67"/>
    <n v="7666.67"/>
    <n v="7666.67"/>
    <n v="11666.67"/>
    <n v="7666.67"/>
    <n v="7666.67"/>
    <n v="7666.67"/>
    <n v="6000"/>
    <n v="6000"/>
    <n v="6000"/>
    <x v="1"/>
    <x v="3"/>
    <s v="71300                   "/>
    <x v="1"/>
    <x v="2"/>
    <x v="60"/>
  </r>
  <r>
    <x v="12"/>
    <x v="12"/>
    <x v="2219"/>
    <x v="2224"/>
    <n v="0"/>
    <n v="0"/>
    <n v="0"/>
    <n v="0"/>
    <n v="0"/>
    <n v="0"/>
    <n v="0"/>
    <n v="0"/>
    <n v="0"/>
    <n v="0"/>
    <n v="13000"/>
    <n v="-13000"/>
    <n v="0"/>
    <n v="0"/>
    <n v="0"/>
    <n v="0"/>
    <n v="0"/>
    <n v="0"/>
    <n v="0"/>
    <n v="0"/>
    <n v="0"/>
    <n v="0"/>
    <n v="0"/>
    <n v="51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00                   "/>
    <x v="1"/>
    <x v="2"/>
    <x v="60"/>
  </r>
  <r>
    <x v="12"/>
    <x v="12"/>
    <x v="2220"/>
    <x v="2225"/>
    <n v="0"/>
    <n v="0"/>
    <n v="0"/>
    <n v="0"/>
    <n v="0"/>
    <n v="0"/>
    <n v="0"/>
    <n v="0"/>
    <n v="0"/>
    <n v="0"/>
    <n v="0"/>
    <n v="0"/>
    <n v="0"/>
    <n v="1472.96"/>
    <n v="779.56"/>
    <n v="1031.4000000000001"/>
    <n v="984.9"/>
    <n v="16835.02"/>
    <n v="1656.43"/>
    <n v="2950"/>
    <n v="1638.77"/>
    <n v="871.5"/>
    <n v="6612.1"/>
    <n v="6177.6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940.46"/>
    <n v="11177.67"/>
    <n v="575"/>
    <n v="3213.29"/>
    <n v="0"/>
    <n v="21158.58"/>
    <n v="6130.53"/>
    <n v="17659.990000000002"/>
    <n v="466.11"/>
    <n v="3268.82"/>
    <n v="4581.1000000000004"/>
    <n v="5000"/>
    <n v="5000"/>
    <n v="5000"/>
    <n v="5000"/>
    <n v="5000"/>
    <n v="5000"/>
    <n v="5000"/>
    <n v="5000"/>
    <n v="5000"/>
    <n v="5000"/>
    <n v="5000"/>
    <n v="5000"/>
    <x v="1"/>
    <x v="3"/>
    <s v="71380                   "/>
    <x v="1"/>
    <x v="2"/>
    <x v="60"/>
  </r>
  <r>
    <x v="12"/>
    <x v="12"/>
    <x v="2220"/>
    <x v="2225"/>
    <n v="0"/>
    <n v="0"/>
    <n v="0"/>
    <n v="0"/>
    <n v="0"/>
    <n v="0"/>
    <n v="0"/>
    <n v="0"/>
    <n v="0"/>
    <n v="0"/>
    <n v="0"/>
    <n v="0"/>
    <n v="0"/>
    <n v="0"/>
    <n v="18149.04"/>
    <n v="-18149.04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80                   "/>
    <x v="1"/>
    <x v="2"/>
    <x v="60"/>
  </r>
  <r>
    <x v="12"/>
    <x v="12"/>
    <x v="2220"/>
    <x v="2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80                   "/>
    <x v="1"/>
    <x v="2"/>
    <x v="60"/>
  </r>
  <r>
    <x v="12"/>
    <x v="12"/>
    <x v="2221"/>
    <x v="2227"/>
    <n v="0"/>
    <n v="0"/>
    <n v="0"/>
    <n v="0"/>
    <n v="0"/>
    <n v="0"/>
    <n v="0"/>
    <n v="0"/>
    <n v="0"/>
    <n v="0"/>
    <n v="0"/>
    <n v="0"/>
    <n v="0"/>
    <n v="0"/>
    <n v="0"/>
    <n v="18149.04"/>
    <n v="0"/>
    <n v="0"/>
    <n v="0"/>
    <n v="0"/>
    <n v="0"/>
    <n v="0"/>
    <n v="0"/>
    <n v="7856.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250"/>
    <n v="250"/>
    <n v="250"/>
    <n v="250"/>
    <n v="250"/>
    <n v="250"/>
    <n v="250"/>
    <n v="250"/>
    <n v="250"/>
    <n v="250"/>
    <n v="250"/>
    <x v="1"/>
    <x v="3"/>
    <s v="71385                   "/>
    <x v="1"/>
    <x v="2"/>
    <x v="60"/>
  </r>
  <r>
    <x v="12"/>
    <x v="12"/>
    <x v="2222"/>
    <x v="2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19.75"/>
    <n v="544.69000000000005"/>
    <n v="296.95999999999998"/>
    <n v="-2561.4"/>
    <n v="-2561.4"/>
    <n v="0"/>
    <n v="1419.47"/>
    <n v="1059.99"/>
    <n v="0"/>
    <n v="1147.58"/>
    <n v="649.6"/>
    <n v="545.85"/>
    <n v="0"/>
    <n v="0"/>
    <n v="0"/>
    <n v="0"/>
    <n v="0"/>
    <n v="0"/>
    <n v="0"/>
    <n v="0"/>
    <n v="0"/>
    <n v="0"/>
    <n v="0"/>
    <n v="0"/>
    <x v="1"/>
    <x v="3"/>
    <s v="71390                   "/>
    <x v="1"/>
    <x v="2"/>
    <x v="60"/>
  </r>
  <r>
    <x v="12"/>
    <x v="12"/>
    <x v="2222"/>
    <x v="2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90                   "/>
    <x v="1"/>
    <x v="2"/>
    <x v="60"/>
  </r>
  <r>
    <x v="13"/>
    <x v="13"/>
    <x v="2223"/>
    <x v="2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0"/>
    <n v="0"/>
    <n v="0"/>
    <n v="0"/>
    <n v="215"/>
    <n v="-3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0"/>
    <n v="0"/>
    <n v="350"/>
    <n v="0"/>
    <n v="655"/>
    <x v="3"/>
    <x v="3"/>
    <s v="71370                   "/>
    <x v="1"/>
    <x v="2"/>
    <x v="57"/>
  </r>
  <r>
    <x v="13"/>
    <x v="13"/>
    <x v="2223"/>
    <x v="2229"/>
    <n v="1200"/>
    <n v="0"/>
    <n v="2375"/>
    <n v="2930.17"/>
    <n v="0"/>
    <n v="2850"/>
    <n v="1669.42"/>
    <n v="1264.3"/>
    <n v="1200"/>
    <n v="1460.68"/>
    <n v="1200"/>
    <n v="1200"/>
    <n v="0"/>
    <n v="3770"/>
    <n v="1425"/>
    <n v="1665.05"/>
    <n v="1425"/>
    <n v="1425"/>
    <n v="0"/>
    <n v="1705"/>
    <n v="2056.25"/>
    <n v="0"/>
    <n v="0"/>
    <n v="0"/>
    <n v="394.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00"/>
    <n v="1200"/>
    <n v="1200"/>
    <n v="1200"/>
    <n v="1200"/>
    <n v="1200"/>
    <n v="2000"/>
    <n v="1200"/>
    <n v="2000"/>
    <n v="2000"/>
    <n v="1300"/>
    <n v="1200"/>
    <n v="0"/>
    <n v="3770"/>
    <n v="1425"/>
    <n v="1665.05"/>
    <n v="1425"/>
    <n v="1425"/>
    <n v="0"/>
    <n v="1705"/>
    <n v="1200"/>
    <n v="1461"/>
    <n v="1200"/>
    <n v="1200"/>
    <x v="2"/>
    <x v="3"/>
    <s v="71370                   "/>
    <x v="1"/>
    <x v="2"/>
    <x v="57"/>
  </r>
  <r>
    <x v="13"/>
    <x v="13"/>
    <x v="2224"/>
    <x v="2230"/>
    <n v="0"/>
    <n v="0"/>
    <n v="0"/>
    <n v="0"/>
    <n v="0"/>
    <n v="0"/>
    <n v="0"/>
    <n v="0"/>
    <n v="0"/>
    <n v="0"/>
    <n v="0"/>
    <n v="0"/>
    <n v="447.58"/>
    <n v="0"/>
    <n v="701.06"/>
    <n v="781.59"/>
    <n v="50"/>
    <n v="2523.77"/>
    <n v="-792.68"/>
    <n v="0"/>
    <n v="255.54"/>
    <n v="4589.0200000000004"/>
    <n v="50"/>
    <n v="524.67999999999995"/>
    <n v="-9130.5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5"/>
    <n v="104"/>
    <n v="105"/>
    <n v="104"/>
    <n v="105"/>
    <n v="104"/>
    <n v="105"/>
    <n v="104"/>
    <n v="105"/>
    <n v="104"/>
    <n v="105"/>
    <n v="104"/>
    <n v="447.58"/>
    <n v="0"/>
    <n v="701.06"/>
    <n v="781.59"/>
    <n v="50"/>
    <n v="2523.77"/>
    <n v="-792.68"/>
    <n v="0"/>
    <n v="80"/>
    <n v="50"/>
    <n v="50"/>
    <n v="310"/>
    <x v="3"/>
    <x v="3"/>
    <s v="71440                   "/>
    <x v="1"/>
    <x v="2"/>
    <x v="57"/>
  </r>
  <r>
    <x v="13"/>
    <x v="13"/>
    <x v="2224"/>
    <x v="2230"/>
    <n v="2198.67"/>
    <n v="2430.0700000000002"/>
    <n v="1765.5"/>
    <n v="2117.1999999999998"/>
    <n v="4311.63"/>
    <n v="10419.91"/>
    <n v="505.79"/>
    <n v="15078.76"/>
    <n v="2219.98"/>
    <n v="3586.19"/>
    <n v="1929.98"/>
    <n v="1761.81"/>
    <n v="9852.82"/>
    <n v="4467.57"/>
    <n v="3891.18"/>
    <n v="6290.49"/>
    <n v="7818.24"/>
    <n v="2905.73"/>
    <n v="2901.5"/>
    <n v="3192.55"/>
    <n v="1008.11"/>
    <n v="8558.57"/>
    <n v="2339.9299999999998"/>
    <n v="4899.1099999999997"/>
    <n v="4078.0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333.33"/>
    <n v="3333.33"/>
    <n v="3333.33"/>
    <n v="3333.33"/>
    <n v="3333.33"/>
    <n v="3333.33"/>
    <n v="3333.33"/>
    <n v="3333.33"/>
    <n v="3333.33"/>
    <n v="3333.33"/>
    <n v="3333.33"/>
    <n v="3333.33"/>
    <n v="10345.459999999999"/>
    <n v="4690.95"/>
    <n v="4085.74"/>
    <n v="6605.01"/>
    <n v="8209.15"/>
    <n v="3051.02"/>
    <n v="3046.58"/>
    <n v="3352.18"/>
    <n v="2331"/>
    <n v="3765.3"/>
    <n v="2026.5"/>
    <n v="1850.1"/>
    <x v="2"/>
    <x v="3"/>
    <s v="71440                   "/>
    <x v="1"/>
    <x v="2"/>
    <x v="57"/>
  </r>
  <r>
    <x v="13"/>
    <x v="13"/>
    <x v="2225"/>
    <x v="2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480                   "/>
    <x v="1"/>
    <x v="2"/>
    <x v="57"/>
  </r>
  <r>
    <x v="13"/>
    <x v="13"/>
    <x v="2225"/>
    <x v="2231"/>
    <n v="323.35000000000002"/>
    <n v="280.56"/>
    <n v="688.86"/>
    <n v="280.56"/>
    <n v="324.86"/>
    <n v="280.56"/>
    <n v="281.81"/>
    <n v="3421.29"/>
    <n v="2022.74"/>
    <n v="1413.05"/>
    <n v="610.24"/>
    <n v="396.48"/>
    <n v="351.79"/>
    <n v="381.17"/>
    <n v="351.79"/>
    <n v="602.30999999999995"/>
    <n v="351.79"/>
    <n v="301.67"/>
    <n v="345.57"/>
    <n v="3781.55"/>
    <n v="1215.54"/>
    <n v="1215.54"/>
    <n v="360.7"/>
    <n v="316.8"/>
    <n v="361.4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23.35000000000002"/>
    <n v="280.56"/>
    <n v="688.86"/>
    <n v="280.56"/>
    <n v="324.86"/>
    <n v="280.56"/>
    <n v="281.81"/>
    <n v="3421.29"/>
    <n v="2022.74"/>
    <n v="1413.05"/>
    <n v="610.24"/>
    <n v="396.48"/>
    <n v="358.83"/>
    <n v="388.79"/>
    <n v="358.83"/>
    <n v="614.36"/>
    <n v="358.83"/>
    <n v="307.7"/>
    <n v="352.48"/>
    <n v="3857.18"/>
    <n v="2063.46"/>
    <n v="1441.26"/>
    <n v="622.20000000000005"/>
    <n v="403.92"/>
    <x v="2"/>
    <x v="3"/>
    <s v="71480                   "/>
    <x v="1"/>
    <x v="2"/>
    <x v="57"/>
  </r>
  <r>
    <x v="14"/>
    <x v="14"/>
    <x v="2226"/>
    <x v="2232"/>
    <n v="0"/>
    <n v="0"/>
    <n v="0"/>
    <n v="0"/>
    <n v="0"/>
    <n v="0"/>
    <n v="0"/>
    <n v="0"/>
    <n v="0"/>
    <n v="0"/>
    <n v="0"/>
    <n v="0"/>
    <n v="110.05"/>
    <n v="279.89999999999998"/>
    <n v="206.73"/>
    <n v="198"/>
    <n v="202.63"/>
    <n v="112"/>
    <n v="284.55"/>
    <n v="198.45"/>
    <n v="201.5"/>
    <n v="170"/>
    <n v="171"/>
    <n v="103.65"/>
    <n v="287.290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207"/>
    <n v="207"/>
    <n v="207"/>
    <n v="207"/>
    <n v="207"/>
    <n v="207"/>
    <n v="207"/>
    <n v="207"/>
    <n v="207"/>
    <n v="207"/>
    <n v="207"/>
    <n v="207"/>
    <x v="1"/>
    <x v="3"/>
    <s v="71250                   "/>
    <x v="1"/>
    <x v="2"/>
    <x v="57"/>
  </r>
  <r>
    <x v="14"/>
    <x v="14"/>
    <x v="2226"/>
    <x v="2232"/>
    <n v="0"/>
    <n v="0"/>
    <n v="0"/>
    <n v="0"/>
    <n v="0"/>
    <n v="0"/>
    <n v="18.4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9.81"/>
    <n v="39.799999999999997"/>
    <n v="39.799999999999997"/>
    <n v="39.799999999999997"/>
    <n v="39.799999999999997"/>
    <n v="39.799999999999997"/>
    <n v="39.81"/>
    <n v="39.799999999999997"/>
    <n v="39.799999999999997"/>
    <n v="39.799999999999997"/>
    <n v="39.83"/>
    <n v="39.799999999999997"/>
    <n v="0"/>
    <n v="0"/>
    <n v="0"/>
    <n v="0"/>
    <n v="0"/>
    <n v="0"/>
    <n v="0"/>
    <n v="0"/>
    <n v="0"/>
    <n v="0"/>
    <n v="0"/>
    <n v="0"/>
    <x v="2"/>
    <x v="3"/>
    <s v="71250                   "/>
    <x v="1"/>
    <x v="2"/>
    <x v="57"/>
  </r>
  <r>
    <x v="14"/>
    <x v="14"/>
    <x v="2227"/>
    <x v="2233"/>
    <n v="0"/>
    <n v="0"/>
    <n v="0"/>
    <n v="0"/>
    <n v="0"/>
    <n v="0"/>
    <n v="0"/>
    <n v="0"/>
    <n v="0"/>
    <n v="0"/>
    <n v="0"/>
    <n v="0"/>
    <n v="198.56"/>
    <n v="198.27"/>
    <n v="204.18"/>
    <n v="192.17"/>
    <n v="200.87"/>
    <n v="202.94"/>
    <n v="225.75"/>
    <n v="199.97"/>
    <n v="349.6"/>
    <n v="203.05"/>
    <n v="198.6"/>
    <n v="132.34"/>
    <n v="-2506.30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198.56"/>
    <n v="198.27"/>
    <n v="204.18"/>
    <n v="192.17"/>
    <n v="200.87"/>
    <n v="202.94"/>
    <n v="225.75"/>
    <n v="199.97"/>
    <n v="199"/>
    <n v="199"/>
    <n v="198"/>
    <n v="199"/>
    <x v="3"/>
    <x v="3"/>
    <s v="71460                   "/>
    <x v="1"/>
    <x v="2"/>
    <x v="57"/>
  </r>
  <r>
    <x v="14"/>
    <x v="14"/>
    <x v="2227"/>
    <x v="2233"/>
    <n v="0"/>
    <n v="0"/>
    <n v="0"/>
    <n v="0"/>
    <n v="0"/>
    <n v="0"/>
    <n v="0"/>
    <n v="0"/>
    <n v="0"/>
    <n v="0"/>
    <n v="0"/>
    <n v="0"/>
    <n v="708.48"/>
    <n v="731.29"/>
    <n v="731.04"/>
    <n v="650"/>
    <n v="650"/>
    <n v="650"/>
    <n v="650"/>
    <n v="650"/>
    <n v="650"/>
    <n v="650"/>
    <n v="650"/>
    <n v="650"/>
    <n v="650"/>
    <n v="65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74.68"/>
    <n v="598.67999999999995"/>
    <n v="598.66999999999996"/>
    <n v="598.67999999999995"/>
    <n v="598.67999999999995"/>
    <n v="598.66999999999996"/>
    <n v="598.66999999999996"/>
    <n v="598.66999999999996"/>
    <n v="598.67999999999995"/>
    <n v="598.66999999999996"/>
    <n v="598.67999999999995"/>
    <n v="579.34"/>
    <n v="650"/>
    <n v="650"/>
    <n v="650"/>
    <n v="650"/>
    <n v="650"/>
    <n v="650"/>
    <n v="650"/>
    <n v="650"/>
    <n v="650"/>
    <n v="650"/>
    <n v="650"/>
    <n v="650"/>
    <x v="1"/>
    <x v="3"/>
    <s v="71460                   "/>
    <x v="1"/>
    <x v="2"/>
    <x v="57"/>
  </r>
  <r>
    <x v="14"/>
    <x v="14"/>
    <x v="2227"/>
    <x v="2233"/>
    <n v="889.69"/>
    <n v="819.42"/>
    <n v="969.57"/>
    <n v="798.25"/>
    <n v="964.45"/>
    <n v="1019.42"/>
    <n v="908.91"/>
    <n v="1090.98"/>
    <n v="929.14"/>
    <n v="959.58"/>
    <n v="1162.8499999999999"/>
    <n v="946.38"/>
    <n v="882.73"/>
    <n v="1044.3499999999999"/>
    <n v="981.65"/>
    <n v="1382.77"/>
    <n v="1149.03"/>
    <n v="1054.9100000000001"/>
    <n v="1178.8699999999999"/>
    <n v="3027.11"/>
    <n v="1165.99"/>
    <n v="642.84"/>
    <n v="1472.96"/>
    <n v="463.18"/>
    <n v="354.23"/>
    <n v="9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70.97"/>
    <n v="923.52"/>
    <n v="959.63"/>
    <n v="910.07"/>
    <n v="980.78"/>
    <n v="968.65"/>
    <n v="759.32"/>
    <n v="913.52"/>
    <n v="974.58"/>
    <n v="1062.98"/>
    <n v="684.86"/>
    <n v="969.47"/>
    <n v="882.73"/>
    <n v="1044.3499999999999"/>
    <n v="981.65"/>
    <n v="1382.77"/>
    <n v="1149.03"/>
    <n v="1054.9100000000001"/>
    <n v="1178.8699999999999"/>
    <n v="3027.11"/>
    <n v="929"/>
    <n v="960"/>
    <n v="1163"/>
    <n v="946"/>
    <x v="2"/>
    <x v="3"/>
    <s v="71460                   "/>
    <x v="1"/>
    <x v="2"/>
    <x v="57"/>
  </r>
  <r>
    <x v="14"/>
    <x v="14"/>
    <x v="2228"/>
    <x v="2234"/>
    <n v="0"/>
    <n v="0"/>
    <n v="0"/>
    <n v="0"/>
    <n v="0"/>
    <n v="0"/>
    <n v="0"/>
    <n v="0"/>
    <n v="0"/>
    <n v="0"/>
    <n v="0"/>
    <n v="0"/>
    <n v="0"/>
    <n v="132.74"/>
    <n v="76.45"/>
    <n v="66.37"/>
    <n v="66.37"/>
    <n v="132.74"/>
    <n v="162.74"/>
    <n v="136.18"/>
    <n v="132.74"/>
    <n v="157.18"/>
    <n v="159.27000000000001"/>
    <n v="394.82"/>
    <n v="232.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6.37"/>
    <n v="66.37"/>
    <n v="66.37"/>
    <n v="66.37"/>
    <n v="66.37"/>
    <n v="136.37"/>
    <n v="136.37"/>
    <n v="136.37"/>
    <n v="136.37"/>
    <n v="136.37"/>
    <n v="136.37"/>
    <n v="136.37"/>
    <n v="250"/>
    <n v="250"/>
    <n v="250"/>
    <n v="250"/>
    <n v="250"/>
    <n v="250"/>
    <n v="250"/>
    <n v="250"/>
    <n v="250"/>
    <n v="250"/>
    <n v="250"/>
    <n v="250"/>
    <x v="2"/>
    <x v="4"/>
    <s v="71250                   "/>
    <x v="1"/>
    <x v="2"/>
    <x v="42"/>
  </r>
  <r>
    <x v="14"/>
    <x v="14"/>
    <x v="2229"/>
    <x v="2235"/>
    <n v="0"/>
    <n v="2200"/>
    <n v="0"/>
    <n v="14900"/>
    <n v="0"/>
    <n v="0"/>
    <n v="0"/>
    <n v="0"/>
    <n v="0"/>
    <n v="900"/>
    <n v="0"/>
    <n v="7500"/>
    <n v="7500"/>
    <n v="7500"/>
    <n v="-15000"/>
    <n v="0"/>
    <n v="0"/>
    <n v="0"/>
    <n v="0"/>
    <n v="0"/>
    <n v="0"/>
    <n v="0"/>
    <n v="0"/>
    <n v="3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4"/>
    <s v="81410                   "/>
    <x v="17"/>
    <x v="2"/>
    <x v="38"/>
  </r>
  <r>
    <x v="14"/>
    <x v="14"/>
    <x v="2230"/>
    <x v="2236"/>
    <n v="0"/>
    <n v="0"/>
    <n v="0"/>
    <n v="0"/>
    <n v="0"/>
    <n v="0"/>
    <n v="0"/>
    <n v="0"/>
    <n v="0"/>
    <n v="0"/>
    <n v="0"/>
    <n v="0"/>
    <n v="88.5"/>
    <n v="88.5"/>
    <n v="88.5"/>
    <n v="88.5"/>
    <n v="88.5"/>
    <n v="88.5"/>
    <n v="88.5"/>
    <n v="88.5"/>
    <n v="88.5"/>
    <n v="88.5"/>
    <n v="88.5"/>
    <n v="88.5"/>
    <n v="95.5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"/>
    <n v="177"/>
    <n v="177"/>
    <n v="177"/>
    <n v="177"/>
    <n v="177"/>
    <n v="177"/>
    <n v="177"/>
    <n v="177"/>
    <n v="177"/>
    <n v="177"/>
    <n v="177"/>
    <x v="2"/>
    <x v="2"/>
    <s v="71250                   "/>
    <x v="11"/>
    <x v="2"/>
    <x v="45"/>
  </r>
  <r>
    <x v="14"/>
    <x v="14"/>
    <x v="2231"/>
    <x v="2237"/>
    <n v="0"/>
    <n v="1023.68"/>
    <n v="176.81"/>
    <n v="281.95"/>
    <n v="141.06"/>
    <n v="403.95"/>
    <n v="105.14"/>
    <n v="334.51"/>
    <n v="348.85"/>
    <n v="486.25"/>
    <n v="443.52"/>
    <n v="568.57000000000005"/>
    <n v="340.47"/>
    <n v="284.33999999999997"/>
    <n v="551.78"/>
    <n v="246.97"/>
    <n v="342.54"/>
    <n v="629.69000000000005"/>
    <n v="194.4"/>
    <n v="441.73"/>
    <n v="500.25"/>
    <n v="342.76"/>
    <n v="342.54"/>
    <n v="245.51"/>
    <n v="333.2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60"/>
    <n v="360"/>
    <n v="360"/>
    <n v="360"/>
    <n v="360"/>
    <n v="360"/>
    <n v="360"/>
    <n v="360"/>
    <n v="360"/>
    <n v="360"/>
    <n v="360"/>
    <n v="360"/>
    <n v="340.47"/>
    <n v="284.33999999999997"/>
    <n v="551.78"/>
    <n v="246.97"/>
    <n v="342.54"/>
    <n v="629.69000000000005"/>
    <n v="194.4"/>
    <n v="441.73"/>
    <n v="349"/>
    <n v="486"/>
    <n v="444"/>
    <n v="569"/>
    <x v="2"/>
    <x v="2"/>
    <s v="71250                   "/>
    <x v="28"/>
    <x v="2"/>
    <x v="43"/>
  </r>
  <r>
    <x v="14"/>
    <x v="14"/>
    <x v="2232"/>
    <x v="2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5"/>
    <n v="185"/>
    <n v="185"/>
    <n v="185"/>
    <n v="185"/>
    <n v="185"/>
    <n v="185"/>
    <n v="185"/>
    <n v="185"/>
    <n v="185"/>
    <n v="185"/>
    <n v="185"/>
    <n v="0"/>
    <n v="0"/>
    <n v="0"/>
    <n v="0"/>
    <n v="0"/>
    <n v="0"/>
    <n v="0"/>
    <n v="0"/>
    <n v="0"/>
    <n v="0"/>
    <n v="0"/>
    <n v="0"/>
    <x v="2"/>
    <x v="2"/>
    <s v="71460                   "/>
    <x v="11"/>
    <x v="2"/>
    <x v="45"/>
  </r>
  <r>
    <x v="14"/>
    <x v="14"/>
    <x v="2233"/>
    <x v="2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75"/>
    <n v="175"/>
    <n v="175"/>
    <n v="175"/>
    <n v="175"/>
    <n v="175"/>
    <n v="175"/>
    <n v="175"/>
    <n v="175"/>
    <n v="175"/>
    <n v="175"/>
    <n v="175"/>
    <n v="0"/>
    <n v="0"/>
    <n v="0"/>
    <n v="0"/>
    <n v="0"/>
    <n v="0"/>
    <n v="0"/>
    <n v="0"/>
    <n v="0"/>
    <n v="0"/>
    <n v="0"/>
    <n v="0"/>
    <x v="2"/>
    <x v="2"/>
    <s v="72280                   "/>
    <x v="11"/>
    <x v="2"/>
    <x v="45"/>
  </r>
  <r>
    <x v="14"/>
    <x v="14"/>
    <x v="2234"/>
    <x v="2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"/>
    <x v="2"/>
    <x v="2"/>
    <s v="72280                   "/>
    <x v="15"/>
    <x v="2"/>
    <x v="45"/>
  </r>
  <r>
    <x v="14"/>
    <x v="14"/>
    <x v="2235"/>
    <x v="2241"/>
    <n v="0"/>
    <n v="0"/>
    <n v="0"/>
    <n v="0"/>
    <n v="0"/>
    <n v="0"/>
    <n v="0"/>
    <n v="0"/>
    <n v="0"/>
    <n v="0"/>
    <n v="0"/>
    <n v="0"/>
    <n v="238.41"/>
    <n v="237.03"/>
    <n v="267.99"/>
    <n v="-5.94"/>
    <n v="62.83"/>
    <n v="44.25"/>
    <n v="44.25"/>
    <n v="44.25"/>
    <n v="44.25"/>
    <n v="44.25"/>
    <n v="44.25"/>
    <n v="44.25"/>
    <n v="47.7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25"/>
    <n v="44.25"/>
    <n v="44.25"/>
    <n v="44.25"/>
    <n v="62.83"/>
    <n v="44.25"/>
    <n v="44.25"/>
    <n v="44.25"/>
    <n v="50"/>
    <n v="50"/>
    <n v="50"/>
    <n v="50"/>
    <x v="2"/>
    <x v="2"/>
    <s v="72290                   "/>
    <x v="11"/>
    <x v="2"/>
    <x v="45"/>
  </r>
  <r>
    <x v="14"/>
    <x v="14"/>
    <x v="2236"/>
    <x v="2242"/>
    <n v="0"/>
    <n v="0"/>
    <n v="0"/>
    <n v="0"/>
    <n v="0"/>
    <n v="0"/>
    <n v="0"/>
    <n v="0"/>
    <n v="0"/>
    <n v="0"/>
    <n v="0"/>
    <n v="0"/>
    <n v="86.96"/>
    <n v="86.96"/>
    <n v="86.96"/>
    <n v="86.96"/>
    <n v="86.96"/>
    <n v="86.96"/>
    <n v="86.96"/>
    <n v="0"/>
    <n v="86.96"/>
    <n v="86.96"/>
    <n v="86.96"/>
    <n v="86.96"/>
    <n v="86.9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90"/>
    <n v="90"/>
    <n v="90"/>
    <n v="90"/>
    <n v="90"/>
    <n v="90"/>
    <n v="90"/>
    <n v="90"/>
    <n v="90"/>
    <n v="90"/>
    <n v="90"/>
    <x v="2"/>
    <x v="2"/>
    <s v="72290                   "/>
    <x v="15"/>
    <x v="2"/>
    <x v="50"/>
  </r>
  <r>
    <x v="15"/>
    <x v="15"/>
    <x v="2237"/>
    <x v="2243"/>
    <n v="0"/>
    <n v="0"/>
    <n v="0"/>
    <n v="0"/>
    <n v="0"/>
    <n v="0"/>
    <n v="0"/>
    <n v="0"/>
    <n v="0"/>
    <n v="0"/>
    <n v="0"/>
    <n v="0"/>
    <n v="725.17"/>
    <n v="301.33999999999997"/>
    <n v="258.20999999999998"/>
    <n v="102.01"/>
    <n v="176.36"/>
    <n v="172.15"/>
    <n v="245.98"/>
    <n v="73.569999999999993"/>
    <n v="629.87"/>
    <n v="845.81"/>
    <n v="975.14"/>
    <n v="856.21"/>
    <n v="-5714.8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1000"/>
    <n v="200"/>
    <n v="200"/>
    <n v="200"/>
    <n v="200"/>
    <n v="200"/>
    <n v="400"/>
    <n v="900"/>
    <n v="1200"/>
    <n v="500"/>
    <n v="2500"/>
    <n v="725.17"/>
    <n v="301.33999999999997"/>
    <n v="258.20999999999998"/>
    <n v="102.01"/>
    <n v="176.36"/>
    <n v="172.15"/>
    <n v="245.98"/>
    <n v="73.569999999999993"/>
    <n v="894"/>
    <n v="1131"/>
    <n v="430"/>
    <n v="2593"/>
    <x v="3"/>
    <x v="3"/>
    <s v="71340                   "/>
    <x v="1"/>
    <x v="2"/>
    <x v="57"/>
  </r>
  <r>
    <x v="15"/>
    <x v="15"/>
    <x v="2237"/>
    <x v="2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40                   "/>
    <x v="1"/>
    <x v="2"/>
    <x v="57"/>
  </r>
  <r>
    <x v="15"/>
    <x v="15"/>
    <x v="2238"/>
    <x v="2244"/>
    <n v="0"/>
    <n v="0"/>
    <n v="0"/>
    <n v="0"/>
    <n v="0"/>
    <n v="0"/>
    <n v="0"/>
    <n v="0"/>
    <n v="0"/>
    <n v="0"/>
    <n v="0"/>
    <n v="0"/>
    <n v="0"/>
    <n v="0"/>
    <n v="0"/>
    <n v="0"/>
    <n v="0"/>
    <n v="2671.74"/>
    <n v="0"/>
    <n v="-579.03"/>
    <n v="0"/>
    <n v="380"/>
    <n v="-380"/>
    <n v="0"/>
    <n v="-2671.7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0"/>
    <n v="380"/>
    <n v="380"/>
    <n v="380"/>
    <n v="380"/>
    <n v="380"/>
    <n v="380"/>
    <n v="380"/>
    <n v="380"/>
    <n v="380"/>
    <n v="380"/>
    <n v="380"/>
    <n v="0"/>
    <n v="0"/>
    <n v="0"/>
    <n v="0"/>
    <n v="0"/>
    <n v="0"/>
    <n v="0"/>
    <n v="0"/>
    <n v="0"/>
    <n v="0"/>
    <n v="0"/>
    <n v="0"/>
    <x v="3"/>
    <x v="3"/>
    <s v="71350                   "/>
    <x v="1"/>
    <x v="2"/>
    <x v="57"/>
  </r>
  <r>
    <x v="15"/>
    <x v="15"/>
    <x v="2238"/>
    <x v="2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350                   "/>
    <x v="1"/>
    <x v="2"/>
    <x v="57"/>
  </r>
  <r>
    <x v="15"/>
    <x v="15"/>
    <x v="2239"/>
    <x v="2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940                   "/>
    <x v="1"/>
    <x v="2"/>
    <x v="57"/>
  </r>
  <r>
    <x v="15"/>
    <x v="15"/>
    <x v="2240"/>
    <x v="2246"/>
    <n v="0"/>
    <n v="0"/>
    <n v="34.54"/>
    <n v="60.49"/>
    <n v="33.22"/>
    <n v="47.21"/>
    <n v="40.75"/>
    <n v="41.23"/>
    <n v="24.6"/>
    <n v="35.369999999999997"/>
    <n v="21.14"/>
    <n v="38.340000000000003"/>
    <n v="34.76"/>
    <n v="40.630000000000003"/>
    <n v="400.19"/>
    <n v="45.9"/>
    <n v="51.76"/>
    <n v="46.49"/>
    <n v="0"/>
    <n v="57.86"/>
    <n v="54.37"/>
    <n v="32.74"/>
    <n v="34.79"/>
    <n v="33.3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4.54"/>
    <n v="60.49"/>
    <n v="33.22"/>
    <n v="47.21"/>
    <n v="40.75"/>
    <n v="41.23"/>
    <n v="24.6"/>
    <n v="35.369999999999997"/>
    <n v="21.14"/>
    <n v="38.340000000000003"/>
    <n v="34.76"/>
    <n v="40.630000000000003"/>
    <n v="400.19"/>
    <n v="45.9"/>
    <n v="51.76"/>
    <n v="46.49"/>
    <n v="0"/>
    <n v="57.86"/>
    <n v="25"/>
    <n v="35"/>
    <n v="21"/>
    <n v="38"/>
    <x v="2"/>
    <x v="2"/>
    <s v="71940                   "/>
    <x v="20"/>
    <x v="2"/>
    <x v="56"/>
  </r>
  <r>
    <x v="15"/>
    <x v="15"/>
    <x v="2241"/>
    <x v="2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6"/>
    <s v="71340                   "/>
    <x v="1"/>
    <x v="2"/>
    <x v="56"/>
  </r>
  <r>
    <x v="15"/>
    <x v="15"/>
    <x v="2242"/>
    <x v="2248"/>
    <n v="0"/>
    <n v="0"/>
    <n v="0"/>
    <n v="0"/>
    <n v="0"/>
    <n v="0"/>
    <n v="0"/>
    <n v="0"/>
    <n v="0"/>
    <n v="0"/>
    <n v="0"/>
    <n v="0"/>
    <n v="385.09"/>
    <n v="478.98"/>
    <n v="492.42"/>
    <n v="647.63"/>
    <n v="0"/>
    <n v="-2004.12"/>
    <n v="1358.28"/>
    <n v="460.78"/>
    <n v="350.09"/>
    <n v="386.1"/>
    <n v="418.02"/>
    <n v="425.74"/>
    <n v="-3399.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4.52"/>
    <n v="358.71"/>
    <n v="296.52999999999997"/>
    <n v="270.87"/>
    <n v="385.09"/>
    <n v="478.98"/>
    <n v="492.42"/>
    <n v="647.63"/>
    <n v="0"/>
    <n v="667.62"/>
    <n v="1358.28"/>
    <n v="-118.25"/>
    <n v="435"/>
    <n v="359"/>
    <n v="297"/>
    <n v="271"/>
    <x v="3"/>
    <x v="6"/>
    <s v="71350                   "/>
    <x v="1"/>
    <x v="2"/>
    <x v="56"/>
  </r>
  <r>
    <x v="15"/>
    <x v="15"/>
    <x v="2242"/>
    <x v="2248"/>
    <n v="0"/>
    <n v="0"/>
    <n v="354.26"/>
    <n v="472.67"/>
    <n v="392.85"/>
    <n v="-2154.0300000000002"/>
    <n v="376.79"/>
    <n v="558.05999999999995"/>
    <n v="758.15"/>
    <n v="841.54"/>
    <n v="1050.54"/>
    <n v="-2178.4499999999998"/>
    <n v="604.98"/>
    <n v="416.58"/>
    <n v="48.41"/>
    <n v="442.42"/>
    <n v="496.09"/>
    <n v="462.05"/>
    <n v="0"/>
    <n v="374.52"/>
    <n v="501.67"/>
    <n v="683.88"/>
    <n v="1047.57"/>
    <n v="970.2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54.26"/>
    <n v="472.67"/>
    <n v="392.85"/>
    <n v="-2154.0300000000002"/>
    <n v="376.79"/>
    <n v="558.05999999999995"/>
    <n v="758.15"/>
    <n v="841.54"/>
    <n v="1050.54"/>
    <n v="-2178.4499999999998"/>
    <n v="617.08000000000004"/>
    <n v="424.91"/>
    <n v="49.38"/>
    <n v="451.27"/>
    <n v="506.01"/>
    <n v="471.29"/>
    <n v="0"/>
    <n v="382.01"/>
    <n v="773.16"/>
    <n v="858.84"/>
    <n v="1072.02"/>
    <n v="-2221.56"/>
    <x v="2"/>
    <x v="6"/>
    <s v="71350                   "/>
    <x v="1"/>
    <x v="2"/>
    <x v="56"/>
  </r>
  <r>
    <x v="16"/>
    <x v="16"/>
    <x v="2243"/>
    <x v="2249"/>
    <n v="243.93"/>
    <n v="226.51"/>
    <n v="191.67"/>
    <n v="261.36"/>
    <n v="209.09"/>
    <n v="522.72"/>
    <n v="191.66"/>
    <n v="200"/>
    <n v="165.91"/>
    <n v="245.87"/>
    <n v="245.87"/>
    <n v="1677.55"/>
    <n v="0"/>
    <n v="0"/>
    <n v="177.12"/>
    <n v="0.9"/>
    <n v="0"/>
    <n v="294.3"/>
    <n v="0"/>
    <n v="0"/>
    <n v="-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95"/>
    <n v="147.5"/>
    <n v="147.5"/>
    <n v="236"/>
    <n v="147.5"/>
    <n v="295"/>
    <n v="265.5"/>
    <n v="206.5"/>
    <n v="147.5"/>
    <n v="59"/>
    <n v="76.7"/>
    <n v="76.7"/>
    <n v="0"/>
    <n v="0"/>
    <n v="0"/>
    <n v="0"/>
    <n v="0"/>
    <n v="0"/>
    <n v="0"/>
    <n v="0"/>
    <n v="0"/>
    <n v="0"/>
    <n v="0"/>
    <n v="0"/>
    <x v="2"/>
    <x v="1"/>
    <s v="61270                   "/>
    <x v="2"/>
    <x v="1"/>
    <x v="18"/>
  </r>
  <r>
    <x v="16"/>
    <x v="16"/>
    <x v="2244"/>
    <x v="2250"/>
    <n v="48"/>
    <n v="60"/>
    <n v="48"/>
    <n v="0"/>
    <n v="0"/>
    <n v="114"/>
    <n v="378"/>
    <n v="378"/>
    <n v="-393"/>
    <n v="70.33"/>
    <n v="70.33"/>
    <n v="1131.3399999999999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"/>
    <x v="10"/>
    <x v="18"/>
  </r>
  <r>
    <x v="16"/>
    <x v="16"/>
    <x v="2245"/>
    <x v="2251"/>
    <n v="0"/>
    <n v="0"/>
    <n v="0"/>
    <n v="0"/>
    <n v="0"/>
    <n v="20"/>
    <n v="140"/>
    <n v="140"/>
    <n v="325"/>
    <n v="69.44"/>
    <n v="69.44"/>
    <n v="1171.1199999999999"/>
    <n v="0"/>
    <n v="0"/>
    <n v="0"/>
    <n v="900"/>
    <n v="0"/>
    <n v="-852.0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0.25"/>
    <n v="110.25"/>
    <n v="110.25"/>
    <n v="110.25"/>
    <n v="147"/>
    <n v="220.5"/>
    <n v="367.5"/>
    <n v="257.25"/>
    <n v="110.25"/>
    <n v="73.5"/>
    <n v="110.25"/>
    <n v="110.25"/>
    <n v="0"/>
    <n v="0"/>
    <n v="0"/>
    <n v="0"/>
    <n v="0"/>
    <n v="0"/>
    <n v="0"/>
    <n v="0"/>
    <n v="0"/>
    <n v="0"/>
    <n v="0"/>
    <n v="0"/>
    <x v="2"/>
    <x v="1"/>
    <s v="61270                   "/>
    <x v="2"/>
    <x v="11"/>
    <x v="18"/>
  </r>
  <r>
    <x v="16"/>
    <x v="16"/>
    <x v="2246"/>
    <x v="2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"/>
    <x v="13"/>
    <x v="18"/>
  </r>
  <r>
    <x v="16"/>
    <x v="16"/>
    <x v="2247"/>
    <x v="2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"/>
    <x v="18"/>
    <x v="18"/>
  </r>
  <r>
    <x v="16"/>
    <x v="16"/>
    <x v="2248"/>
    <x v="2254"/>
    <n v="75.94"/>
    <n v="0"/>
    <n v="14.31"/>
    <n v="0"/>
    <n v="26.28"/>
    <n v="112.72"/>
    <n v="23.56"/>
    <n v="24"/>
    <n v="195.56"/>
    <n v="52.49"/>
    <n v="52.49"/>
    <n v="-32.549999999999997"/>
    <n v="0"/>
    <n v="50"/>
    <n v="106.5"/>
    <n v="0"/>
    <n v="6.66"/>
    <n v="87.7"/>
    <n v="28.63"/>
    <n v="0"/>
    <n v="215.46"/>
    <n v="28.63"/>
    <n v="13.32"/>
    <n v="41.44"/>
    <n v="15.51"/>
    <n v="0"/>
    <x v="2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.33"/>
    <n v="0"/>
    <n v="4.78"/>
    <n v="0"/>
    <n v="8.5399999999999991"/>
    <n v="35.61"/>
    <n v="7.36"/>
    <n v="12.83"/>
    <n v="58.06"/>
    <n v="7.93"/>
    <n v="4.51"/>
    <n v="10.52"/>
    <n v="38.450000000000003"/>
    <n v="66.86"/>
    <n v="48.14"/>
    <n v="40.17"/>
    <n v="0"/>
    <n v="59.55"/>
    <n v="55.08"/>
    <n v="58.67"/>
    <n v="167.05"/>
    <n v="14.03"/>
    <n v="23.65"/>
    <n v="21.56"/>
    <x v="2"/>
    <x v="1"/>
    <s v="61270                   "/>
    <x v="3"/>
    <x v="1"/>
    <x v="19"/>
  </r>
  <r>
    <x v="16"/>
    <x v="16"/>
    <x v="2249"/>
    <x v="2255"/>
    <n v="30"/>
    <n v="0"/>
    <n v="0"/>
    <n v="0"/>
    <n v="2"/>
    <n v="0"/>
    <n v="22"/>
    <n v="22"/>
    <n v="-7"/>
    <n v="7.67"/>
    <n v="7.67"/>
    <n v="-15.3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3"/>
    <x v="10"/>
    <x v="19"/>
  </r>
  <r>
    <x v="16"/>
    <x v="16"/>
    <x v="2250"/>
    <x v="2256"/>
    <n v="0"/>
    <n v="0"/>
    <n v="0"/>
    <n v="0"/>
    <n v="19.16"/>
    <n v="10.01"/>
    <n v="25"/>
    <n v="25"/>
    <n v="-15"/>
    <n v="7.13"/>
    <n v="7.13"/>
    <n v="30.74"/>
    <n v="0"/>
    <n v="30"/>
    <n v="25"/>
    <n v="50"/>
    <n v="37.5"/>
    <n v="-87.5"/>
    <n v="52"/>
    <n v="88"/>
    <n v="58"/>
    <n v="22"/>
    <n v="23"/>
    <n v="109"/>
    <n v="44"/>
    <n v="0"/>
    <x v="3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3.49"/>
    <n v="18.73"/>
    <n v="11.18"/>
    <n v="18.02"/>
    <n v="27.15"/>
    <n v="72.099999999999994"/>
    <n v="0"/>
    <n v="9.36"/>
    <n v="25.6"/>
    <n v="44.8"/>
    <n v="133.26"/>
    <n v="128"/>
    <n v="111.91"/>
    <n v="115.2"/>
    <n v="103.47"/>
    <n v="49.68"/>
    <n v="63.76"/>
    <n v="121.91"/>
    <n v="38.4"/>
    <n v="50.44"/>
    <x v="2"/>
    <x v="1"/>
    <s v="61270                   "/>
    <x v="3"/>
    <x v="11"/>
    <x v="19"/>
  </r>
  <r>
    <x v="16"/>
    <x v="16"/>
    <x v="2251"/>
    <x v="22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3"/>
    <x v="13"/>
    <x v="19"/>
  </r>
  <r>
    <x v="16"/>
    <x v="16"/>
    <x v="2252"/>
    <x v="2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3"/>
    <x v="18"/>
    <x v="19"/>
  </r>
  <r>
    <x v="16"/>
    <x v="16"/>
    <x v="2253"/>
    <x v="2259"/>
    <n v="0"/>
    <n v="0"/>
    <n v="0"/>
    <n v="0"/>
    <n v="0"/>
    <n v="0"/>
    <n v="0"/>
    <n v="0"/>
    <n v="0"/>
    <n v="0"/>
    <n v="0"/>
    <n v="0"/>
    <n v="0"/>
    <n v="0"/>
    <n v="0"/>
    <n v="0"/>
    <n v="64.8"/>
    <n v="1717.2"/>
    <n v="162"/>
    <n v="648"/>
    <n v="972"/>
    <n v="108"/>
    <n v="306"/>
    <n v="1062"/>
    <n v="1071"/>
    <n v="0"/>
    <x v="4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0.28"/>
    <n v="590.28"/>
    <n v="590.28"/>
    <n v="590.28"/>
    <n v="0"/>
    <n v="0"/>
    <n v="0"/>
    <n v="0"/>
    <n v="0"/>
    <n v="0"/>
    <n v="0"/>
    <n v="0"/>
    <x v="2"/>
    <x v="1"/>
    <s v="61270                   "/>
    <x v="4"/>
    <x v="1"/>
    <x v="20"/>
  </r>
  <r>
    <x v="16"/>
    <x v="16"/>
    <x v="2254"/>
    <x v="2260"/>
    <n v="0"/>
    <n v="0"/>
    <n v="0"/>
    <n v="0"/>
    <n v="0"/>
    <n v="0"/>
    <n v="0"/>
    <n v="0"/>
    <n v="0"/>
    <n v="0"/>
    <n v="0"/>
    <n v="0"/>
    <n v="0"/>
    <n v="0"/>
    <n v="0"/>
    <n v="0"/>
    <n v="600"/>
    <n v="1050"/>
    <n v="150"/>
    <n v="600"/>
    <n v="1350"/>
    <n v="300"/>
    <n v="450"/>
    <n v="1050"/>
    <n v="900"/>
    <n v="0"/>
    <x v="5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.33000000000004"/>
    <n v="583.33000000000004"/>
    <n v="583.33000000000004"/>
    <n v="583.33000000000004"/>
    <n v="0"/>
    <n v="0"/>
    <n v="0"/>
    <n v="0"/>
    <n v="0"/>
    <n v="0"/>
    <n v="0"/>
    <n v="0"/>
    <x v="2"/>
    <x v="1"/>
    <s v="61270                   "/>
    <x v="4"/>
    <x v="11"/>
    <x v="20"/>
  </r>
  <r>
    <x v="16"/>
    <x v="16"/>
    <x v="2255"/>
    <x v="2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4"/>
    <x v="13"/>
    <x v="20"/>
  </r>
  <r>
    <x v="16"/>
    <x v="16"/>
    <x v="2256"/>
    <x v="2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4"/>
    <x v="18"/>
    <x v="20"/>
  </r>
  <r>
    <x v="16"/>
    <x v="16"/>
    <x v="2257"/>
    <x v="2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5"/>
    <x v="1"/>
    <x v="18"/>
  </r>
  <r>
    <x v="16"/>
    <x v="16"/>
    <x v="2258"/>
    <x v="2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5"/>
    <x v="10"/>
    <x v="18"/>
  </r>
  <r>
    <x v="16"/>
    <x v="16"/>
    <x v="2259"/>
    <x v="2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5"/>
    <x v="11"/>
    <x v="18"/>
  </r>
  <r>
    <x v="16"/>
    <x v="16"/>
    <x v="2260"/>
    <x v="2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5"/>
    <x v="13"/>
    <x v="18"/>
  </r>
  <r>
    <x v="16"/>
    <x v="16"/>
    <x v="2261"/>
    <x v="2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5"/>
    <x v="18"/>
    <x v="18"/>
  </r>
  <r>
    <x v="16"/>
    <x v="16"/>
    <x v="2262"/>
    <x v="2268"/>
    <n v="16.82"/>
    <n v="8.41"/>
    <n v="32.32"/>
    <n v="8.41"/>
    <n v="25.24"/>
    <n v="0"/>
    <n v="23.9"/>
    <n v="24"/>
    <n v="-7.17"/>
    <n v="14.66"/>
    <n v="14.66"/>
    <n v="-29.32"/>
    <n v="0"/>
    <n v="0"/>
    <n v="124.96"/>
    <n v="40.01"/>
    <n v="76.42"/>
    <n v="127.41"/>
    <n v="15.44"/>
    <n v="0"/>
    <n v="41.49"/>
    <n v="23.84"/>
    <n v="54.66"/>
    <n v="-9.1199999999999992"/>
    <n v="74.3"/>
    <n v="0"/>
    <x v="6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.41"/>
    <n v="13.41"/>
    <n v="13.41"/>
    <n v="13.41"/>
    <n v="13.41"/>
    <n v="13.41"/>
    <n v="13.41"/>
    <n v="13.41"/>
    <n v="13.41"/>
    <n v="13.41"/>
    <n v="13.41"/>
    <n v="13.41"/>
    <n v="29.48"/>
    <n v="68.98"/>
    <n v="53.5"/>
    <n v="40.01"/>
    <n v="130.80000000000001"/>
    <n v="69.099999999999994"/>
    <n v="7.08"/>
    <n v="0"/>
    <n v="0"/>
    <n v="0"/>
    <n v="0"/>
    <n v="0"/>
    <x v="2"/>
    <x v="1"/>
    <s v="61270                   "/>
    <x v="7"/>
    <x v="1"/>
    <x v="22"/>
  </r>
  <r>
    <x v="16"/>
    <x v="16"/>
    <x v="2263"/>
    <x v="2269"/>
    <n v="42"/>
    <n v="12"/>
    <n v="12"/>
    <n v="6"/>
    <n v="0"/>
    <n v="0"/>
    <n v="12"/>
    <n v="12"/>
    <n v="0"/>
    <n v="10.67"/>
    <n v="10.67"/>
    <n v="-21.3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7"/>
    <x v="10"/>
    <x v="22"/>
  </r>
  <r>
    <x v="16"/>
    <x v="16"/>
    <x v="2264"/>
    <x v="227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7"/>
    <x v="11"/>
    <x v="22"/>
  </r>
  <r>
    <x v="16"/>
    <x v="16"/>
    <x v="2265"/>
    <x v="2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7"/>
    <x v="13"/>
    <x v="22"/>
  </r>
  <r>
    <x v="16"/>
    <x v="16"/>
    <x v="2266"/>
    <x v="2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7"/>
    <x v="18"/>
    <x v="22"/>
  </r>
  <r>
    <x v="16"/>
    <x v="16"/>
    <x v="2267"/>
    <x v="2273"/>
    <n v="3.75"/>
    <n v="14.78"/>
    <n v="0"/>
    <n v="124.85"/>
    <n v="544.5"/>
    <n v="441.98"/>
    <n v="0"/>
    <n v="0"/>
    <n v="15"/>
    <n v="0"/>
    <n v="0"/>
    <n v="17.559999999999999"/>
    <n v="0"/>
    <n v="1200"/>
    <n v="177.28"/>
    <n v="49.9"/>
    <n v="0"/>
    <n v="15.6"/>
    <n v="4126.42"/>
    <n v="28.72"/>
    <n v="13.29"/>
    <n v="55.09"/>
    <n v="0"/>
    <n v="0.6"/>
    <n v="25.37"/>
    <n v="0"/>
    <x v="7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8.67"/>
    <n v="746.76"/>
    <n v="11.61"/>
    <n v="212.61"/>
    <n v="11.61"/>
    <n v="895.56"/>
    <n v="349.4"/>
    <n v="11.61"/>
    <n v="11.61"/>
    <n v="11.61"/>
    <n v="11.61"/>
    <n v="328.88"/>
    <n v="4855.2"/>
    <n v="1440"/>
    <n v="0"/>
    <n v="0"/>
    <n v="0"/>
    <n v="0"/>
    <n v="3276"/>
    <n v="34398"/>
    <n v="1927.8"/>
    <n v="0"/>
    <n v="0"/>
    <n v="1579.2"/>
    <x v="2"/>
    <x v="1"/>
    <s v="61270                   "/>
    <x v="8"/>
    <x v="1"/>
    <x v="23"/>
  </r>
  <r>
    <x v="16"/>
    <x v="16"/>
    <x v="2268"/>
    <x v="2274"/>
    <n v="0"/>
    <n v="0"/>
    <n v="0"/>
    <n v="36"/>
    <n v="60"/>
    <n v="-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8"/>
    <x v="10"/>
    <x v="23"/>
  </r>
  <r>
    <x v="16"/>
    <x v="16"/>
    <x v="2269"/>
    <x v="2275"/>
    <n v="0"/>
    <n v="0"/>
    <n v="0"/>
    <n v="0"/>
    <n v="0"/>
    <n v="0"/>
    <n v="330"/>
    <n v="0"/>
    <n v="0"/>
    <n v="0"/>
    <n v="0"/>
    <n v="2.08"/>
    <n v="0"/>
    <n v="0"/>
    <n v="0"/>
    <n v="0.83"/>
    <n v="1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8"/>
    <x v="11"/>
    <x v="23"/>
  </r>
  <r>
    <x v="16"/>
    <x v="16"/>
    <x v="2270"/>
    <x v="2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8"/>
    <x v="13"/>
    <x v="23"/>
  </r>
  <r>
    <x v="16"/>
    <x v="16"/>
    <x v="2271"/>
    <x v="2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8"/>
    <x v="18"/>
    <x v="23"/>
  </r>
  <r>
    <x v="16"/>
    <x v="16"/>
    <x v="2272"/>
    <x v="2278"/>
    <n v="0"/>
    <n v="0"/>
    <n v="0"/>
    <n v="2.39"/>
    <n v="0"/>
    <n v="3"/>
    <n v="0"/>
    <n v="0"/>
    <n v="0"/>
    <n v="0"/>
    <n v="0"/>
    <n v="0"/>
    <n v="0"/>
    <n v="0"/>
    <n v="39.369999999999997"/>
    <n v="0"/>
    <n v="10.93"/>
    <n v="18.63"/>
    <n v="4.3899999999999997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10.78"/>
    <n v="2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9"/>
    <x v="1"/>
    <x v="24"/>
  </r>
  <r>
    <x v="16"/>
    <x v="16"/>
    <x v="2273"/>
    <x v="2279"/>
    <n v="0"/>
    <n v="0"/>
    <n v="0"/>
    <n v="3"/>
    <n v="0"/>
    <n v="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9"/>
    <x v="10"/>
    <x v="24"/>
  </r>
  <r>
    <x v="16"/>
    <x v="16"/>
    <x v="2274"/>
    <x v="2280"/>
    <n v="0"/>
    <n v="0"/>
    <n v="0"/>
    <n v="0"/>
    <n v="4.58"/>
    <n v="4.17"/>
    <n v="0"/>
    <n v="0"/>
    <n v="0"/>
    <n v="0"/>
    <n v="0"/>
    <n v="0"/>
    <n v="0"/>
    <n v="0"/>
    <n v="3.75"/>
    <n v="0.42"/>
    <n v="2.5"/>
    <n v="2.91"/>
    <n v="0.92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2.26"/>
    <n v="11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9"/>
    <x v="11"/>
    <x v="24"/>
  </r>
  <r>
    <x v="16"/>
    <x v="16"/>
    <x v="2275"/>
    <x v="2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9"/>
    <x v="13"/>
    <x v="24"/>
  </r>
  <r>
    <x v="16"/>
    <x v="16"/>
    <x v="2276"/>
    <x v="2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9"/>
    <x v="18"/>
    <x v="24"/>
  </r>
  <r>
    <x v="16"/>
    <x v="16"/>
    <x v="2277"/>
    <x v="2283"/>
    <n v="80.38"/>
    <n v="114.92"/>
    <n v="241"/>
    <n v="261.43"/>
    <n v="54.54"/>
    <n v="545.61"/>
    <n v="40.99"/>
    <n v="40"/>
    <n v="102.04"/>
    <n v="164.55"/>
    <n v="164.55"/>
    <n v="-213.73"/>
    <n v="0"/>
    <n v="80"/>
    <n v="103.09"/>
    <n v="20.81"/>
    <n v="28.66"/>
    <n v="182.05"/>
    <n v="340.72"/>
    <n v="35.520000000000003"/>
    <n v="127.12"/>
    <n v="64.73"/>
    <n v="17.25"/>
    <n v="22.74"/>
    <n v="63.27"/>
    <n v="0"/>
    <x v="8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0.53"/>
    <n v="85.81"/>
    <n v="80.08"/>
    <n v="254.16"/>
    <n v="40.909999999999997"/>
    <n v="559.84"/>
    <n v="34.79"/>
    <n v="70.14"/>
    <n v="41.99"/>
    <n v="59.34"/>
    <n v="7.53"/>
    <n v="8.4"/>
    <n v="127.87"/>
    <n v="53.59"/>
    <n v="58.38"/>
    <n v="232.94"/>
    <n v="793.33"/>
    <n v="971.56"/>
    <n v="11.51"/>
    <n v="255.84"/>
    <n v="70"/>
    <n v="154.44999999999999"/>
    <n v="140.87"/>
    <n v="179.52"/>
    <x v="2"/>
    <x v="1"/>
    <s v="61270                   "/>
    <x v="10"/>
    <x v="1"/>
    <x v="19"/>
  </r>
  <r>
    <x v="16"/>
    <x v="16"/>
    <x v="2278"/>
    <x v="2284"/>
    <n v="32"/>
    <n v="19"/>
    <n v="271"/>
    <n v="12"/>
    <n v="28.5"/>
    <n v="166.5"/>
    <n v="28.5"/>
    <n v="29"/>
    <n v="40"/>
    <n v="69.61"/>
    <n v="69.61"/>
    <n v="-35.2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1.47"/>
    <n v="37.32"/>
    <n v="416.82"/>
    <n v="22.62"/>
    <n v="57.45"/>
    <n v="324.52999999999997"/>
    <n v="56.26"/>
    <n v="42.83"/>
    <n v="29.76"/>
    <n v="125.37"/>
    <n v="51.93"/>
    <n v="0"/>
    <n v="0"/>
    <n v="0"/>
    <n v="0"/>
    <n v="0"/>
    <n v="0"/>
    <n v="0"/>
    <n v="0"/>
    <n v="0"/>
    <n v="0"/>
    <n v="0"/>
    <n v="0"/>
    <n v="0"/>
    <x v="2"/>
    <x v="1"/>
    <s v="61270                   "/>
    <x v="10"/>
    <x v="10"/>
    <x v="19"/>
  </r>
  <r>
    <x v="16"/>
    <x v="16"/>
    <x v="2279"/>
    <x v="2285"/>
    <n v="0"/>
    <n v="0"/>
    <n v="0"/>
    <n v="0"/>
    <n v="38.340000000000003"/>
    <n v="21.24"/>
    <n v="60"/>
    <n v="60"/>
    <n v="-105.41"/>
    <n v="8.24"/>
    <n v="8.24"/>
    <n v="438.94"/>
    <n v="0"/>
    <n v="300"/>
    <n v="-2.5"/>
    <n v="115.84"/>
    <n v="122.08"/>
    <n v="92.49"/>
    <n v="407"/>
    <n v="145.75"/>
    <n v="200.84"/>
    <n v="228.25"/>
    <n v="223.67"/>
    <n v="184.25"/>
    <n v="91.67"/>
    <n v="0"/>
    <x v="9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3.61"/>
    <n v="53.18"/>
    <n v="13.03"/>
    <n v="80.099999999999994"/>
    <n v="209.72"/>
    <n v="32.03"/>
    <n v="204.11"/>
    <n v="95.21"/>
    <n v="121.86"/>
    <n v="22.5"/>
    <n v="-0.42"/>
    <n v="-4.17"/>
    <n v="15.42"/>
    <n v="13.75"/>
    <n v="30.42"/>
    <n v="264.58"/>
    <n v="253.75"/>
    <n v="31.25"/>
    <n v="30.42"/>
    <n v="7.08"/>
    <n v="42.5"/>
    <x v="2"/>
    <x v="1"/>
    <s v="61270                   "/>
    <x v="10"/>
    <x v="11"/>
    <x v="19"/>
  </r>
  <r>
    <x v="16"/>
    <x v="16"/>
    <x v="2280"/>
    <x v="2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0"/>
    <x v="13"/>
    <x v="19"/>
  </r>
  <r>
    <x v="16"/>
    <x v="16"/>
    <x v="2281"/>
    <x v="22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47.05"/>
    <n v="0"/>
    <n v="633.85"/>
    <n v="2688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0"/>
    <x v="18"/>
    <x v="19"/>
  </r>
  <r>
    <x v="16"/>
    <x v="16"/>
    <x v="2282"/>
    <x v="2288"/>
    <n v="375.53"/>
    <n v="421.61"/>
    <n v="255.33"/>
    <n v="326.86"/>
    <n v="1139.3800000000001"/>
    <n v="897.33"/>
    <n v="446.11"/>
    <n v="440"/>
    <n v="368.14"/>
    <n v="518.91999999999996"/>
    <n v="518.91999999999996"/>
    <n v="115.3"/>
    <n v="0"/>
    <n v="750"/>
    <n v="311.73"/>
    <n v="215.65"/>
    <n v="1028.1199999999999"/>
    <n v="537.53"/>
    <n v="207.55"/>
    <n v="264.82"/>
    <n v="241.1"/>
    <n v="716.68"/>
    <n v="780.35"/>
    <n v="241.26"/>
    <n v="366.07"/>
    <n v="0"/>
    <x v="1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7.44"/>
    <n v="714.23"/>
    <n v="610.21"/>
    <n v="708.38"/>
    <n v="712.18"/>
    <n v="1305.23"/>
    <n v="860.36"/>
    <n v="1061.83"/>
    <n v="1072.27"/>
    <n v="763.81"/>
    <n v="839.43"/>
    <n v="745.42"/>
    <n v="540.49"/>
    <n v="467.25"/>
    <n v="427.53"/>
    <n v="265.33999999999997"/>
    <n v="1303.74"/>
    <n v="634.73"/>
    <n v="862.99"/>
    <n v="256.76"/>
    <n v="583.17999999999995"/>
    <n v="494.15"/>
    <n v="250.36"/>
    <n v="309.64"/>
    <x v="2"/>
    <x v="1"/>
    <s v="61270                   "/>
    <x v="11"/>
    <x v="1"/>
    <x v="25"/>
  </r>
  <r>
    <x v="16"/>
    <x v="16"/>
    <x v="2283"/>
    <x v="2289"/>
    <n v="108"/>
    <n v="114"/>
    <n v="54"/>
    <n v="12"/>
    <n v="30"/>
    <n v="12"/>
    <n v="54"/>
    <n v="54"/>
    <n v="-9"/>
    <n v="47.67"/>
    <n v="47.67"/>
    <n v="-47.3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1"/>
    <x v="10"/>
    <x v="25"/>
  </r>
  <r>
    <x v="16"/>
    <x v="16"/>
    <x v="2284"/>
    <x v="2290"/>
    <n v="0"/>
    <n v="0"/>
    <n v="40"/>
    <n v="120"/>
    <n v="260"/>
    <n v="275"/>
    <n v="380"/>
    <n v="380"/>
    <n v="453.34"/>
    <n v="212.04"/>
    <n v="212.04"/>
    <n v="-94.08"/>
    <n v="0"/>
    <n v="220"/>
    <n v="295"/>
    <n v="150"/>
    <n v="155"/>
    <n v="290"/>
    <n v="1067"/>
    <n v="726"/>
    <n v="1199"/>
    <n v="1540"/>
    <n v="495"/>
    <n v="-484"/>
    <n v="781"/>
    <n v="0"/>
    <x v="1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7.3"/>
    <n v="377.5"/>
    <n v="383.66"/>
    <n v="641.70000000000005"/>
    <n v="782.02"/>
    <n v="1125.5"/>
    <n v="1326.5"/>
    <n v="1517.97"/>
    <n v="684.29"/>
    <n v="322.12"/>
    <n v="685.33"/>
    <n v="643.73"/>
    <n v="439.91"/>
    <n v="342.06"/>
    <n v="593.87"/>
    <n v="215.3"/>
    <n v="686.96"/>
    <n v="684.3"/>
    <n v="1047.18"/>
    <n v="744.56"/>
    <n v="1001.57"/>
    <n v="203.87"/>
    <n v="572.03"/>
    <n v="264.08999999999997"/>
    <x v="2"/>
    <x v="1"/>
    <s v="61270                   "/>
    <x v="11"/>
    <x v="11"/>
    <x v="25"/>
  </r>
  <r>
    <x v="16"/>
    <x v="16"/>
    <x v="2285"/>
    <x v="2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1"/>
    <x v="13"/>
    <x v="25"/>
  </r>
  <r>
    <x v="16"/>
    <x v="16"/>
    <x v="2286"/>
    <x v="2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1"/>
    <x v="18"/>
    <x v="25"/>
  </r>
  <r>
    <x v="16"/>
    <x v="16"/>
    <x v="2287"/>
    <x v="2293"/>
    <n v="0"/>
    <n v="0"/>
    <n v="0"/>
    <n v="586.80999999999995"/>
    <n v="111.4"/>
    <n v="-111.4"/>
    <n v="445.68"/>
    <n v="445"/>
    <n v="141.81"/>
    <n v="179.92"/>
    <n v="179.92"/>
    <n v="448.5"/>
    <n v="0"/>
    <n v="550"/>
    <n v="-527.75"/>
    <n v="0"/>
    <n v="0"/>
    <n v="0"/>
    <n v="0"/>
    <n v="919.59"/>
    <n v="1.48"/>
    <n v="0"/>
    <n v="921.07"/>
    <n v="0"/>
    <n v="446.4"/>
    <n v="0"/>
    <x v="12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38.3"/>
    <n v="0"/>
    <n v="0"/>
    <n v="219.15"/>
    <n v="219.15"/>
    <n v="0"/>
    <n v="876.6"/>
    <n v="0"/>
    <n v="0"/>
    <n v="438.3"/>
    <n v="0"/>
    <n v="0"/>
    <n v="221.72"/>
    <n v="221.27"/>
    <n v="0"/>
    <n v="221.72"/>
    <n v="221.27"/>
    <n v="221.72"/>
    <n v="221.27"/>
    <n v="221.72"/>
    <n v="221.27"/>
    <n v="0"/>
    <n v="221.72"/>
    <n v="221.27"/>
    <x v="2"/>
    <x v="1"/>
    <s v="61270                   "/>
    <x v="12"/>
    <x v="1"/>
    <x v="18"/>
  </r>
  <r>
    <x v="16"/>
    <x v="16"/>
    <x v="2288"/>
    <x v="2294"/>
    <n v="96"/>
    <n v="0"/>
    <n v="0"/>
    <n v="0"/>
    <n v="0"/>
    <n v="0"/>
    <n v="0"/>
    <n v="0"/>
    <n v="363"/>
    <n v="51"/>
    <n v="51"/>
    <n v="-10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2"/>
    <x v="10"/>
    <x v="18"/>
  </r>
  <r>
    <x v="16"/>
    <x v="16"/>
    <x v="2289"/>
    <x v="2295"/>
    <n v="0"/>
    <n v="0"/>
    <n v="0"/>
    <n v="0"/>
    <n v="0"/>
    <n v="600"/>
    <n v="600"/>
    <n v="600"/>
    <n v="-595"/>
    <n v="133.88999999999999"/>
    <n v="133.88999999999999"/>
    <n v="-267.77999999999997"/>
    <n v="0"/>
    <n v="0"/>
    <n v="0"/>
    <n v="0"/>
    <n v="0"/>
    <n v="0"/>
    <n v="0"/>
    <n v="450"/>
    <n v="0"/>
    <n v="0"/>
    <n v="0"/>
    <n v="75"/>
    <n v="75"/>
    <n v="0"/>
    <x v="13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306.81"/>
    <n v="0"/>
    <n v="613.62"/>
    <n v="0"/>
    <n v="0"/>
    <n v="306.81"/>
    <n v="0"/>
    <n v="0"/>
    <n v="306.81"/>
    <n v="0"/>
    <n v="0"/>
    <n v="0"/>
    <n v="0"/>
    <n v="0"/>
    <n v="300"/>
    <n v="0"/>
    <n v="0"/>
    <n v="300"/>
    <n v="0"/>
    <n v="0"/>
    <n v="150"/>
    <n v="0"/>
    <x v="2"/>
    <x v="1"/>
    <s v="61270                   "/>
    <x v="12"/>
    <x v="11"/>
    <x v="18"/>
  </r>
  <r>
    <x v="16"/>
    <x v="16"/>
    <x v="2290"/>
    <x v="2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2"/>
    <x v="13"/>
    <x v="18"/>
  </r>
  <r>
    <x v="16"/>
    <x v="16"/>
    <x v="2291"/>
    <x v="2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2"/>
    <x v="18"/>
    <x v="18"/>
  </r>
  <r>
    <x v="16"/>
    <x v="16"/>
    <x v="2292"/>
    <x v="2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3"/>
    <x v="1"/>
    <x v="18"/>
  </r>
  <r>
    <x v="16"/>
    <x v="16"/>
    <x v="2293"/>
    <x v="2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3"/>
    <x v="10"/>
    <x v="18"/>
  </r>
  <r>
    <x v="16"/>
    <x v="16"/>
    <x v="2294"/>
    <x v="230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4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3"/>
    <x v="11"/>
    <x v="18"/>
  </r>
  <r>
    <x v="16"/>
    <x v="16"/>
    <x v="2295"/>
    <x v="2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3"/>
    <x v="13"/>
    <x v="18"/>
  </r>
  <r>
    <x v="16"/>
    <x v="16"/>
    <x v="2296"/>
    <x v="2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3"/>
    <x v="18"/>
    <x v="18"/>
  </r>
  <r>
    <x v="16"/>
    <x v="16"/>
    <x v="2297"/>
    <x v="2303"/>
    <n v="0"/>
    <n v="222.11"/>
    <n v="0.01"/>
    <n v="0"/>
    <n v="0"/>
    <n v="111.04"/>
    <n v="111.06"/>
    <n v="0"/>
    <n v="0.02"/>
    <n v="49.36"/>
    <n v="49.36"/>
    <n v="-98.72"/>
    <n v="0"/>
    <n v="0"/>
    <n v="111.06"/>
    <n v="0"/>
    <n v="0"/>
    <n v="111.06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30.55"/>
    <n v="0"/>
    <n v="0"/>
    <n v="0"/>
    <n v="0"/>
    <n v="230.55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4"/>
    <x v="1"/>
    <x v="18"/>
  </r>
  <r>
    <x v="16"/>
    <x v="16"/>
    <x v="2298"/>
    <x v="2304"/>
    <n v="0"/>
    <n v="24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4"/>
    <x v="10"/>
    <x v="18"/>
  </r>
  <r>
    <x v="16"/>
    <x v="16"/>
    <x v="2299"/>
    <x v="2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7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4"/>
    <x v="11"/>
    <x v="18"/>
  </r>
  <r>
    <x v="16"/>
    <x v="16"/>
    <x v="2300"/>
    <x v="2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4"/>
    <x v="13"/>
    <x v="18"/>
  </r>
  <r>
    <x v="16"/>
    <x v="16"/>
    <x v="2301"/>
    <x v="2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4"/>
    <x v="18"/>
    <x v="18"/>
  </r>
  <r>
    <x v="16"/>
    <x v="16"/>
    <x v="2302"/>
    <x v="2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5"/>
    <x v="1"/>
    <x v="18"/>
  </r>
  <r>
    <x v="16"/>
    <x v="16"/>
    <x v="2303"/>
    <x v="2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5"/>
    <x v="10"/>
    <x v="18"/>
  </r>
  <r>
    <x v="16"/>
    <x v="16"/>
    <x v="2304"/>
    <x v="2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24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5"/>
    <x v="11"/>
    <x v="18"/>
  </r>
  <r>
    <x v="16"/>
    <x v="16"/>
    <x v="2305"/>
    <x v="2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5"/>
    <x v="13"/>
    <x v="18"/>
  </r>
  <r>
    <x v="16"/>
    <x v="16"/>
    <x v="2306"/>
    <x v="2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5"/>
    <x v="18"/>
    <x v="18"/>
  </r>
  <r>
    <x v="16"/>
    <x v="16"/>
    <x v="2307"/>
    <x v="2313"/>
    <n v="92.79"/>
    <n v="74.02"/>
    <n v="104.13"/>
    <n v="139.26"/>
    <n v="148.01"/>
    <n v="115.38"/>
    <n v="147.19999999999999"/>
    <n v="150"/>
    <n v="-22.39"/>
    <n v="105.38"/>
    <n v="105.38"/>
    <n v="-40.49"/>
    <n v="0"/>
    <n v="115"/>
    <n v="217.18"/>
    <n v="118.92"/>
    <n v="258.01"/>
    <n v="237.87"/>
    <n v="105.18"/>
    <n v="33"/>
    <n v="5.54"/>
    <n v="42.35"/>
    <n v="61.48"/>
    <n v="45.87"/>
    <n v="94.91"/>
    <n v="0"/>
    <x v="14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1.05"/>
    <n v="79.099999999999994"/>
    <n v="164.62"/>
    <n v="195.22"/>
    <n v="135.47999999999999"/>
    <n v="155.19999999999999"/>
    <n v="45.59"/>
    <n v="88.93"/>
    <n v="1263.98"/>
    <n v="40.35"/>
    <n v="60.83"/>
    <n v="92.22"/>
    <n v="107.43"/>
    <n v="98.74"/>
    <n v="147.1"/>
    <n v="112.62"/>
    <n v="173.76"/>
    <n v="201.26"/>
    <n v="114.85"/>
    <n v="86.66"/>
    <n v="101.93"/>
    <n v="66.44"/>
    <n v="96.89"/>
    <n v="90.73"/>
    <x v="2"/>
    <x v="1"/>
    <s v="61270                   "/>
    <x v="16"/>
    <x v="1"/>
    <x v="24"/>
  </r>
  <r>
    <x v="16"/>
    <x v="16"/>
    <x v="2308"/>
    <x v="2314"/>
    <n v="42"/>
    <n v="32"/>
    <n v="26.5"/>
    <n v="40"/>
    <n v="54.5"/>
    <n v="21"/>
    <n v="40"/>
    <n v="40"/>
    <n v="-7"/>
    <n v="32.11"/>
    <n v="32.11"/>
    <n v="-37.7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4.34"/>
    <n v="40.29"/>
    <n v="86.6"/>
    <n v="118"/>
    <n v="45.12"/>
    <n v="80.97"/>
    <n v="33.33"/>
    <n v="58.42"/>
    <n v="632.04"/>
    <n v="10.98"/>
    <n v="26.22"/>
    <n v="14.55"/>
    <n v="0"/>
    <n v="0"/>
    <n v="0"/>
    <n v="0"/>
    <n v="0"/>
    <n v="0"/>
    <n v="0"/>
    <n v="0"/>
    <n v="0"/>
    <n v="0"/>
    <n v="0"/>
    <n v="0"/>
    <x v="2"/>
    <x v="1"/>
    <s v="61270                   "/>
    <x v="16"/>
    <x v="10"/>
    <x v="24"/>
  </r>
  <r>
    <x v="16"/>
    <x v="16"/>
    <x v="2309"/>
    <x v="2315"/>
    <n v="0"/>
    <n v="0"/>
    <n v="0"/>
    <n v="0"/>
    <n v="13.75"/>
    <n v="6.67"/>
    <n v="22.92"/>
    <n v="23"/>
    <n v="-28.42"/>
    <n v="4.21"/>
    <n v="4.21"/>
    <n v="4.51"/>
    <n v="0"/>
    <n v="10"/>
    <n v="39.17"/>
    <n v="34.17"/>
    <n v="17.09"/>
    <n v="19.579999999999998"/>
    <n v="33.93"/>
    <n v="17.399999999999999"/>
    <n v="8.25"/>
    <n v="12.75"/>
    <n v="13.04"/>
    <n v="2.63"/>
    <n v="53.17"/>
    <n v="0"/>
    <x v="15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9.1199999999999992"/>
    <n v="71.06"/>
    <n v="314.64"/>
    <n v="123.14"/>
    <n v="103.17"/>
    <n v="74.099999999999994"/>
    <n v="765.38"/>
    <n v="16.34"/>
    <n v="27.35"/>
    <n v="26.47"/>
    <n v="12"/>
    <n v="12"/>
    <n v="14.5"/>
    <n v="14.5"/>
    <n v="13.5"/>
    <n v="13.5"/>
    <n v="21"/>
    <n v="28"/>
    <n v="11.5"/>
    <n v="12"/>
    <n v="11"/>
    <n v="11"/>
    <x v="2"/>
    <x v="1"/>
    <s v="61270                   "/>
    <x v="16"/>
    <x v="11"/>
    <x v="24"/>
  </r>
  <r>
    <x v="16"/>
    <x v="16"/>
    <x v="2310"/>
    <x v="2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6"/>
    <x v="13"/>
    <x v="24"/>
  </r>
  <r>
    <x v="16"/>
    <x v="16"/>
    <x v="2311"/>
    <x v="2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6"/>
    <x v="18"/>
    <x v="24"/>
  </r>
  <r>
    <x v="16"/>
    <x v="16"/>
    <x v="2312"/>
    <x v="2318"/>
    <n v="5510.11"/>
    <n v="8194.73"/>
    <n v="4536.3599999999997"/>
    <n v="4094.06"/>
    <n v="9765.6200000000008"/>
    <n v="3603.13"/>
    <n v="5654.06"/>
    <n v="5650"/>
    <n v="997.62"/>
    <n v="5333.97"/>
    <n v="5333.97"/>
    <n v="4276.76"/>
    <n v="0"/>
    <n v="11000"/>
    <n v="4412.8599999999997"/>
    <n v="3996.9"/>
    <n v="7207.21"/>
    <n v="2181.59"/>
    <n v="4892.9399999999996"/>
    <n v="6649.38"/>
    <n v="1630.98"/>
    <n v="5520.24"/>
    <n v="2258.2800000000002"/>
    <n v="1948.68"/>
    <n v="7560"/>
    <n v="0"/>
    <x v="16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54.81"/>
    <n v="6253.27"/>
    <n v="5021.95"/>
    <n v="4269.6400000000003"/>
    <n v="6269.25"/>
    <n v="6687.2"/>
    <n v="8024.64"/>
    <n v="7355.92"/>
    <n v="6520.02"/>
    <n v="3886.94"/>
    <n v="2507.6999999999998"/>
    <n v="3009.24"/>
    <n v="4072.76"/>
    <n v="4738.6400000000003"/>
    <n v="4477.41"/>
    <n v="3240.41"/>
    <n v="2741"/>
    <n v="5720.18"/>
    <n v="8311.98"/>
    <n v="7218.41"/>
    <n v="2992.14"/>
    <n v="2491.29"/>
    <n v="2741"/>
    <n v="2491.29"/>
    <x v="2"/>
    <x v="1"/>
    <s v="61270                   "/>
    <x v="17"/>
    <x v="1"/>
    <x v="26"/>
  </r>
  <r>
    <x v="16"/>
    <x v="16"/>
    <x v="2313"/>
    <x v="2319"/>
    <n v="1728"/>
    <n v="96"/>
    <n v="192"/>
    <n v="384"/>
    <n v="3072"/>
    <n v="2538"/>
    <n v="1104"/>
    <n v="1104"/>
    <n v="3528"/>
    <n v="1527.33"/>
    <n v="1527.33"/>
    <n v="-2502.6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7"/>
    <x v="10"/>
    <x v="26"/>
  </r>
  <r>
    <x v="16"/>
    <x v="16"/>
    <x v="2314"/>
    <x v="2320"/>
    <n v="0"/>
    <n v="0"/>
    <n v="0"/>
    <n v="0"/>
    <n v="1800"/>
    <n v="1200"/>
    <n v="5400"/>
    <n v="5400"/>
    <n v="-2400"/>
    <n v="1266.67"/>
    <n v="1266.67"/>
    <n v="-2563.35"/>
    <n v="0"/>
    <n v="3420"/>
    <n v="30"/>
    <n v="1050"/>
    <n v="600"/>
    <n v="1500"/>
    <n v="1980"/>
    <n v="330"/>
    <n v="0"/>
    <n v="0"/>
    <n v="165"/>
    <n v="66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50.64"/>
    <n v="1688.3"/>
    <n v="2025.95"/>
    <n v="2701.27"/>
    <n v="1688.3"/>
    <n v="2701.27"/>
    <n v="4389.57"/>
    <n v="3889.79"/>
    <n v="2363.61"/>
    <n v="675.32"/>
    <n v="675.32"/>
    <n v="1012.98"/>
    <n v="300"/>
    <n v="225"/>
    <n v="750"/>
    <n v="300"/>
    <n v="300"/>
    <n v="1200"/>
    <n v="1200"/>
    <n v="450"/>
    <n v="300"/>
    <n v="300"/>
    <n v="375"/>
    <n v="300"/>
    <x v="2"/>
    <x v="1"/>
    <s v="61270                   "/>
    <x v="17"/>
    <x v="11"/>
    <x v="26"/>
  </r>
  <r>
    <x v="16"/>
    <x v="16"/>
    <x v="2315"/>
    <x v="2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0"/>
    <n v="1620"/>
    <n v="2530"/>
    <n v="1710"/>
    <n v="1710"/>
    <n v="2530"/>
    <n v="2628"/>
    <n v="3528"/>
    <n v="1710"/>
    <n v="1710"/>
    <n v="1710"/>
    <n v="720"/>
    <x v="2"/>
    <x v="1"/>
    <s v="61270                   "/>
    <x v="17"/>
    <x v="13"/>
    <x v="26"/>
  </r>
  <r>
    <x v="16"/>
    <x v="16"/>
    <x v="2316"/>
    <x v="2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7"/>
    <x v="18"/>
    <x v="26"/>
  </r>
  <r>
    <x v="16"/>
    <x v="16"/>
    <x v="2317"/>
    <x v="2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8"/>
    <x v="1"/>
    <x v="18"/>
  </r>
  <r>
    <x v="16"/>
    <x v="16"/>
    <x v="2318"/>
    <x v="2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8"/>
    <x v="10"/>
    <x v="18"/>
  </r>
  <r>
    <x v="16"/>
    <x v="16"/>
    <x v="2319"/>
    <x v="2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12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8"/>
    <x v="11"/>
    <x v="18"/>
  </r>
  <r>
    <x v="16"/>
    <x v="16"/>
    <x v="2320"/>
    <x v="2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8"/>
    <x v="13"/>
    <x v="18"/>
  </r>
  <r>
    <x v="16"/>
    <x v="16"/>
    <x v="2321"/>
    <x v="2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8"/>
    <x v="18"/>
    <x v="18"/>
  </r>
  <r>
    <x v="16"/>
    <x v="16"/>
    <x v="2322"/>
    <x v="2328"/>
    <n v="0"/>
    <n v="0"/>
    <n v="0"/>
    <n v="0"/>
    <n v="0"/>
    <n v="51.17"/>
    <n v="0"/>
    <n v="0"/>
    <n v="0"/>
    <n v="5.69"/>
    <n v="5.69"/>
    <n v="-11.38"/>
    <n v="0"/>
    <n v="0"/>
    <n v="0"/>
    <n v="0"/>
    <n v="63.9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9"/>
    <x v="1"/>
    <x v="18"/>
  </r>
  <r>
    <x v="16"/>
    <x v="16"/>
    <x v="2323"/>
    <x v="2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9"/>
    <x v="10"/>
    <x v="18"/>
  </r>
  <r>
    <x v="16"/>
    <x v="16"/>
    <x v="2324"/>
    <x v="2330"/>
    <n v="0"/>
    <n v="0"/>
    <n v="0"/>
    <n v="0"/>
    <n v="0"/>
    <n v="0"/>
    <n v="0"/>
    <n v="0"/>
    <n v="0"/>
    <n v="0"/>
    <n v="0"/>
    <n v="25"/>
    <n v="0"/>
    <n v="0"/>
    <n v="0"/>
    <n v="0"/>
    <n v="5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9"/>
    <x v="11"/>
    <x v="18"/>
  </r>
  <r>
    <x v="16"/>
    <x v="16"/>
    <x v="2325"/>
    <x v="2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9"/>
    <x v="13"/>
    <x v="18"/>
  </r>
  <r>
    <x v="16"/>
    <x v="16"/>
    <x v="2326"/>
    <x v="2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19"/>
    <x v="18"/>
    <x v="18"/>
  </r>
  <r>
    <x v="16"/>
    <x v="16"/>
    <x v="2327"/>
    <x v="2333"/>
    <n v="188.32"/>
    <n v="301.23"/>
    <n v="225.72"/>
    <n v="431.32"/>
    <n v="652.77"/>
    <n v="554.96"/>
    <n v="221.26"/>
    <n v="220"/>
    <n v="128.82"/>
    <n v="324.93"/>
    <n v="324.93"/>
    <n v="-280.25"/>
    <n v="0"/>
    <n v="250"/>
    <n v="374.91"/>
    <n v="412.09"/>
    <n v="435.86"/>
    <n v="473.26"/>
    <n v="375.92"/>
    <n v="215"/>
    <n v="292.85000000000002"/>
    <n v="142.32"/>
    <n v="186.74"/>
    <n v="301.35000000000002"/>
    <n v="221.78"/>
    <n v="0"/>
    <x v="17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2.55000000000001"/>
    <n v="304.74"/>
    <n v="216.48"/>
    <n v="445.78"/>
    <n v="610.74"/>
    <n v="555.36"/>
    <n v="287.33999999999997"/>
    <n v="197.8"/>
    <n v="109.19"/>
    <n v="102.78"/>
    <n v="243.02"/>
    <n v="167.05"/>
    <n v="393.85"/>
    <n v="219.95"/>
    <n v="125.87"/>
    <n v="154.58000000000001"/>
    <n v="159.51"/>
    <n v="222.85"/>
    <n v="227.1"/>
    <n v="420.87"/>
    <n v="464.59"/>
    <n v="538.62"/>
    <n v="608.67999999999995"/>
    <n v="692.61"/>
    <x v="2"/>
    <x v="1"/>
    <s v="61270                   "/>
    <x v="20"/>
    <x v="1"/>
    <x v="24"/>
  </r>
  <r>
    <x v="16"/>
    <x v="16"/>
    <x v="2328"/>
    <x v="2334"/>
    <n v="33.5"/>
    <n v="29.5"/>
    <n v="26"/>
    <n v="48"/>
    <n v="117"/>
    <n v="38.5"/>
    <n v="53.5"/>
    <n v="53"/>
    <n v="42"/>
    <n v="49"/>
    <n v="49"/>
    <n v="-32.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0"/>
    <x v="10"/>
    <x v="24"/>
  </r>
  <r>
    <x v="16"/>
    <x v="16"/>
    <x v="2329"/>
    <x v="2335"/>
    <n v="0"/>
    <n v="0"/>
    <n v="0"/>
    <n v="15.83"/>
    <n v="25.42"/>
    <n v="98.74"/>
    <n v="43.17"/>
    <n v="43"/>
    <n v="337.58"/>
    <n v="62.64"/>
    <n v="62.64"/>
    <n v="-95.7"/>
    <n v="0"/>
    <n v="0"/>
    <n v="77.92"/>
    <n v="77.92"/>
    <n v="48.75"/>
    <n v="49.63"/>
    <n v="118.5"/>
    <n v="295.14999999999998"/>
    <n v="-0.23"/>
    <n v="93.92"/>
    <n v="34.909999999999997"/>
    <n v="-16.079999999999998"/>
    <n v="167.75"/>
    <n v="0"/>
    <x v="18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9.1199999999999992"/>
    <n v="71.06"/>
    <n v="314.64"/>
    <n v="123.14"/>
    <n v="103.17"/>
    <n v="74.099999999999994"/>
    <n v="16.34"/>
    <n v="27.35"/>
    <n v="26.47"/>
    <n v="42.92"/>
    <n v="42.5"/>
    <n v="33.33"/>
    <n v="12.5"/>
    <n v="24.58"/>
    <n v="21.67"/>
    <n v="22.92"/>
    <n v="44.17"/>
    <n v="41.25"/>
    <n v="82.92"/>
    <n v="48.75"/>
    <n v="46.67"/>
    <x v="2"/>
    <x v="1"/>
    <s v="61270                   "/>
    <x v="20"/>
    <x v="11"/>
    <x v="24"/>
  </r>
  <r>
    <x v="16"/>
    <x v="16"/>
    <x v="2330"/>
    <x v="2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0"/>
    <x v="13"/>
    <x v="24"/>
  </r>
  <r>
    <x v="16"/>
    <x v="16"/>
    <x v="2331"/>
    <x v="2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0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0"/>
    <x v="18"/>
    <x v="24"/>
  </r>
  <r>
    <x v="16"/>
    <x v="16"/>
    <x v="2332"/>
    <x v="2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2.9"/>
    <n v="0"/>
    <n v="0"/>
    <n v="0"/>
    <n v="1572.9"/>
    <n v="0"/>
    <n v="0"/>
    <n v="0"/>
    <n v="1572.9"/>
    <n v="0"/>
    <n v="0"/>
    <n v="1515.26"/>
    <x v="2"/>
    <x v="1"/>
    <s v="61270                   "/>
    <x v="21"/>
    <x v="18"/>
    <x v="27"/>
  </r>
  <r>
    <x v="16"/>
    <x v="16"/>
    <x v="2333"/>
    <x v="2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2"/>
    <x v="1"/>
    <x v="18"/>
  </r>
  <r>
    <x v="16"/>
    <x v="16"/>
    <x v="2334"/>
    <x v="2340"/>
    <n v="0"/>
    <n v="0"/>
    <n v="0"/>
    <n v="0"/>
    <n v="0"/>
    <n v="510"/>
    <n v="0"/>
    <n v="0"/>
    <n v="0"/>
    <n v="56.67"/>
    <n v="56.67"/>
    <n v="-113.3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2"/>
    <x v="10"/>
    <x v="18"/>
  </r>
  <r>
    <x v="16"/>
    <x v="16"/>
    <x v="2335"/>
    <x v="2341"/>
    <n v="0"/>
    <n v="0"/>
    <n v="0"/>
    <n v="0"/>
    <n v="0"/>
    <n v="1200"/>
    <n v="0"/>
    <n v="0"/>
    <n v="0"/>
    <n v="133.33000000000001"/>
    <n v="133.33000000000001"/>
    <n v="-266.66000000000003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2"/>
    <x v="11"/>
    <x v="18"/>
  </r>
  <r>
    <x v="16"/>
    <x v="16"/>
    <x v="2336"/>
    <x v="2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2"/>
    <x v="13"/>
    <x v="18"/>
  </r>
  <r>
    <x v="16"/>
    <x v="16"/>
    <x v="2337"/>
    <x v="2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2"/>
    <x v="18"/>
    <x v="18"/>
  </r>
  <r>
    <x v="16"/>
    <x v="16"/>
    <x v="2338"/>
    <x v="2344"/>
    <n v="12.36"/>
    <n v="35.950000000000003"/>
    <n v="0"/>
    <n v="58.87"/>
    <n v="0"/>
    <n v="65.62"/>
    <n v="1.03"/>
    <n v="5"/>
    <n v="4.6399999999999997"/>
    <n v="20.39"/>
    <n v="20.39"/>
    <n v="63.7"/>
    <n v="0"/>
    <n v="70"/>
    <n v="-52.9"/>
    <n v="2.39"/>
    <n v="34.51"/>
    <n v="-33.4"/>
    <n v="0"/>
    <n v="0"/>
    <n v="5.57"/>
    <n v="29.66"/>
    <n v="0"/>
    <n v="82.22"/>
    <n v="1.28"/>
    <n v="0"/>
    <x v="19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.66"/>
    <n v="36.81"/>
    <n v="0"/>
    <n v="60.29"/>
    <n v="0"/>
    <n v="67.209999999999994"/>
    <n v="1.05"/>
    <n v="3.15"/>
    <n v="6.74"/>
    <n v="33.11"/>
    <n v="56.21"/>
    <n v="17.68"/>
    <n v="83.29"/>
    <n v="0"/>
    <n v="41.76"/>
    <n v="0"/>
    <n v="0"/>
    <n v="0"/>
    <n v="0"/>
    <n v="0"/>
    <n v="0"/>
    <n v="0"/>
    <n v="41.76"/>
    <n v="41.76"/>
    <x v="2"/>
    <x v="1"/>
    <s v="61270                   "/>
    <x v="23"/>
    <x v="1"/>
    <x v="19"/>
  </r>
  <r>
    <x v="16"/>
    <x v="16"/>
    <x v="2339"/>
    <x v="2345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3"/>
    <x v="10"/>
    <x v="19"/>
  </r>
  <r>
    <x v="16"/>
    <x v="16"/>
    <x v="2340"/>
    <x v="2346"/>
    <n v="0"/>
    <n v="0"/>
    <n v="0"/>
    <n v="0"/>
    <n v="22.92"/>
    <n v="0"/>
    <n v="0"/>
    <n v="0"/>
    <n v="12.49"/>
    <n v="3.93"/>
    <n v="3.93"/>
    <n v="-7.02"/>
    <n v="0"/>
    <n v="0"/>
    <n v="0"/>
    <n v="0.42"/>
    <n v="0"/>
    <n v="41.5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666.96"/>
    <n v="0"/>
    <n v="0"/>
    <n v="294.49"/>
    <n v="22.74"/>
    <n v="0"/>
    <n v="23.59"/>
    <n v="0"/>
    <n v="0"/>
    <n v="0"/>
    <n v="14.58"/>
    <n v="0"/>
    <n v="0"/>
    <n v="0"/>
    <n v="0"/>
    <n v="0"/>
    <n v="0"/>
    <n v="0"/>
    <n v="0"/>
    <n v="0"/>
    <x v="2"/>
    <x v="1"/>
    <s v="61270                   "/>
    <x v="23"/>
    <x v="11"/>
    <x v="19"/>
  </r>
  <r>
    <x v="16"/>
    <x v="16"/>
    <x v="2341"/>
    <x v="2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3"/>
    <x v="13"/>
    <x v="19"/>
  </r>
  <r>
    <x v="16"/>
    <x v="16"/>
    <x v="2342"/>
    <x v="2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3"/>
    <x v="18"/>
    <x v="19"/>
  </r>
  <r>
    <x v="16"/>
    <x v="16"/>
    <x v="2343"/>
    <x v="2349"/>
    <n v="217.86"/>
    <n v="86.27"/>
    <n v="0"/>
    <n v="14.32"/>
    <n v="9.3800000000000008"/>
    <n v="-0.01"/>
    <n v="-14.38"/>
    <n v="0"/>
    <n v="-3.77"/>
    <n v="34.409999999999997"/>
    <n v="34.409999999999997"/>
    <n v="431.05"/>
    <n v="0"/>
    <n v="350"/>
    <n v="44.34"/>
    <n v="3.58"/>
    <n v="3.58"/>
    <n v="33.4"/>
    <n v="0"/>
    <n v="0"/>
    <n v="16.2"/>
    <n v="0"/>
    <n v="0"/>
    <n v="745.54"/>
    <n v="-41.19"/>
    <n v="0"/>
    <x v="2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18.74"/>
    <n v="86.62"/>
    <n v="0"/>
    <n v="14.38"/>
    <n v="9.42"/>
    <n v="0"/>
    <n v="-14.44"/>
    <n v="-3.79"/>
    <n v="0"/>
    <n v="2.23"/>
    <n v="488.77"/>
    <n v="11.98"/>
    <n v="23.41"/>
    <n v="20.8"/>
    <n v="20.8"/>
    <n v="20.8"/>
    <n v="20.8"/>
    <n v="20.8"/>
    <n v="20.8"/>
    <n v="20.8"/>
    <n v="20.8"/>
    <n v="20.8"/>
    <n v="20.8"/>
    <n v="20.8"/>
    <x v="2"/>
    <x v="1"/>
    <s v="61270                   "/>
    <x v="24"/>
    <x v="1"/>
    <x v="19"/>
  </r>
  <r>
    <x v="16"/>
    <x v="16"/>
    <x v="2344"/>
    <x v="2350"/>
    <n v="0"/>
    <n v="0"/>
    <n v="0"/>
    <n v="0"/>
    <n v="0"/>
    <n v="0"/>
    <n v="0"/>
    <n v="0"/>
    <n v="0.5"/>
    <n v="0"/>
    <n v="0"/>
    <n v="0.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4"/>
    <x v="10"/>
    <x v="19"/>
  </r>
  <r>
    <x v="16"/>
    <x v="16"/>
    <x v="2345"/>
    <x v="2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"/>
    <n v="4.49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4"/>
    <x v="11"/>
    <x v="19"/>
  </r>
  <r>
    <x v="16"/>
    <x v="16"/>
    <x v="2346"/>
    <x v="2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4"/>
    <x v="13"/>
    <x v="19"/>
  </r>
  <r>
    <x v="16"/>
    <x v="16"/>
    <x v="2347"/>
    <x v="2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.1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70                   "/>
    <x v="24"/>
    <x v="18"/>
    <x v="19"/>
  </r>
  <r>
    <x v="17"/>
    <x v="17"/>
    <x v="2348"/>
    <x v="2354"/>
    <n v="0"/>
    <n v="241.18"/>
    <n v="0"/>
    <n v="0"/>
    <n v="225.37"/>
    <n v="0"/>
    <n v="526.2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3"/>
    <x v="18"/>
  </r>
  <r>
    <x v="17"/>
    <x v="17"/>
    <x v="2349"/>
    <x v="2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4"/>
    <x v="18"/>
  </r>
  <r>
    <x v="17"/>
    <x v="17"/>
    <x v="2350"/>
    <x v="23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.45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0"/>
    <x v="18"/>
  </r>
  <r>
    <x v="17"/>
    <x v="17"/>
    <x v="2351"/>
    <x v="23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5"/>
    <x v="18"/>
  </r>
  <r>
    <x v="17"/>
    <x v="17"/>
    <x v="2352"/>
    <x v="2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6"/>
    <x v="18"/>
  </r>
  <r>
    <x v="17"/>
    <x v="17"/>
    <x v="2353"/>
    <x v="2359"/>
    <n v="276.47000000000003"/>
    <n v="723.52"/>
    <n v="0"/>
    <n v="0"/>
    <n v="225.37"/>
    <n v="0"/>
    <n v="367.12"/>
    <n v="0"/>
    <n v="263.0400000000000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"/>
    <x v="18"/>
  </r>
  <r>
    <x v="17"/>
    <x v="17"/>
    <x v="2354"/>
    <x v="2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7"/>
    <x v="18"/>
  </r>
  <r>
    <x v="17"/>
    <x v="17"/>
    <x v="2355"/>
    <x v="2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8"/>
    <x v="18"/>
  </r>
  <r>
    <x v="17"/>
    <x v="17"/>
    <x v="2356"/>
    <x v="2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9"/>
    <x v="18"/>
  </r>
  <r>
    <x v="17"/>
    <x v="17"/>
    <x v="2357"/>
    <x v="2363"/>
    <n v="294.89999999999998"/>
    <n v="0"/>
    <n v="0"/>
    <n v="0"/>
    <n v="120.2"/>
    <n v="0"/>
    <n v="183.56"/>
    <n v="0"/>
    <n v="394.5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0"/>
    <x v="18"/>
  </r>
  <r>
    <x v="17"/>
    <x v="17"/>
    <x v="2358"/>
    <x v="2364"/>
    <n v="0"/>
    <n v="0"/>
    <n v="0"/>
    <n v="0"/>
    <n v="548.39"/>
    <n v="0"/>
    <n v="0"/>
    <n v="2211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1"/>
    <x v="18"/>
  </r>
  <r>
    <x v="17"/>
    <x v="17"/>
    <x v="2359"/>
    <x v="2365"/>
    <n v="0"/>
    <n v="450.2"/>
    <n v="0"/>
    <n v="0"/>
    <n v="210.34"/>
    <n v="0"/>
    <n v="25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2"/>
    <x v="18"/>
  </r>
  <r>
    <x v="17"/>
    <x v="17"/>
    <x v="2360"/>
    <x v="2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3"/>
    <x v="18"/>
  </r>
  <r>
    <x v="17"/>
    <x v="17"/>
    <x v="2361"/>
    <x v="2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4"/>
    <x v="18"/>
  </r>
  <r>
    <x v="17"/>
    <x v="17"/>
    <x v="2362"/>
    <x v="2368"/>
    <n v="1105.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5"/>
    <x v="18"/>
  </r>
  <r>
    <x v="17"/>
    <x v="17"/>
    <x v="2363"/>
    <x v="2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6"/>
    <x v="18"/>
  </r>
  <r>
    <x v="17"/>
    <x v="17"/>
    <x v="2364"/>
    <x v="2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7"/>
    <x v="18"/>
  </r>
  <r>
    <x v="17"/>
    <x v="17"/>
    <x v="2365"/>
    <x v="2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"/>
    <x v="18"/>
    <x v="18"/>
  </r>
  <r>
    <x v="17"/>
    <x v="17"/>
    <x v="2366"/>
    <x v="2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3"/>
    <x v="18"/>
  </r>
  <r>
    <x v="17"/>
    <x v="17"/>
    <x v="2367"/>
    <x v="2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4"/>
    <x v="18"/>
  </r>
  <r>
    <x v="17"/>
    <x v="17"/>
    <x v="2368"/>
    <x v="23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0"/>
    <x v="18"/>
  </r>
  <r>
    <x v="17"/>
    <x v="17"/>
    <x v="2369"/>
    <x v="2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5"/>
    <x v="18"/>
  </r>
  <r>
    <x v="17"/>
    <x v="17"/>
    <x v="2370"/>
    <x v="2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6"/>
    <x v="18"/>
  </r>
  <r>
    <x v="17"/>
    <x v="17"/>
    <x v="2371"/>
    <x v="2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"/>
    <x v="18"/>
  </r>
  <r>
    <x v="17"/>
    <x v="17"/>
    <x v="2372"/>
    <x v="2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7"/>
    <x v="18"/>
  </r>
  <r>
    <x v="17"/>
    <x v="17"/>
    <x v="2373"/>
    <x v="2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8"/>
    <x v="18"/>
  </r>
  <r>
    <x v="17"/>
    <x v="17"/>
    <x v="2374"/>
    <x v="2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9"/>
    <x v="18"/>
  </r>
  <r>
    <x v="17"/>
    <x v="17"/>
    <x v="2375"/>
    <x v="2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0"/>
    <x v="18"/>
  </r>
  <r>
    <x v="17"/>
    <x v="17"/>
    <x v="2376"/>
    <x v="2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1"/>
    <x v="18"/>
  </r>
  <r>
    <x v="17"/>
    <x v="17"/>
    <x v="2377"/>
    <x v="2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2"/>
    <x v="18"/>
  </r>
  <r>
    <x v="17"/>
    <x v="17"/>
    <x v="2378"/>
    <x v="2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3"/>
    <x v="18"/>
  </r>
  <r>
    <x v="17"/>
    <x v="17"/>
    <x v="2379"/>
    <x v="2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4"/>
    <x v="18"/>
  </r>
  <r>
    <x v="17"/>
    <x v="17"/>
    <x v="2380"/>
    <x v="23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5"/>
    <x v="18"/>
  </r>
  <r>
    <x v="17"/>
    <x v="17"/>
    <x v="2381"/>
    <x v="2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6"/>
    <x v="18"/>
  </r>
  <r>
    <x v="17"/>
    <x v="17"/>
    <x v="2382"/>
    <x v="2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7"/>
    <x v="18"/>
  </r>
  <r>
    <x v="17"/>
    <x v="17"/>
    <x v="2383"/>
    <x v="2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5"/>
    <x v="18"/>
    <x v="18"/>
  </r>
  <r>
    <x v="17"/>
    <x v="17"/>
    <x v="2384"/>
    <x v="2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3"/>
    <x v="18"/>
  </r>
  <r>
    <x v="17"/>
    <x v="17"/>
    <x v="2385"/>
    <x v="2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4"/>
    <x v="18"/>
  </r>
  <r>
    <x v="17"/>
    <x v="17"/>
    <x v="2386"/>
    <x v="2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0"/>
    <x v="18"/>
  </r>
  <r>
    <x v="17"/>
    <x v="17"/>
    <x v="2387"/>
    <x v="23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5"/>
    <x v="18"/>
  </r>
  <r>
    <x v="17"/>
    <x v="17"/>
    <x v="2388"/>
    <x v="2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6"/>
    <x v="18"/>
  </r>
  <r>
    <x v="17"/>
    <x v="17"/>
    <x v="2389"/>
    <x v="2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"/>
    <x v="18"/>
  </r>
  <r>
    <x v="17"/>
    <x v="17"/>
    <x v="2390"/>
    <x v="2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7"/>
    <x v="18"/>
  </r>
  <r>
    <x v="17"/>
    <x v="17"/>
    <x v="2391"/>
    <x v="2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8"/>
    <x v="18"/>
  </r>
  <r>
    <x v="17"/>
    <x v="17"/>
    <x v="2392"/>
    <x v="2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9"/>
    <x v="18"/>
  </r>
  <r>
    <x v="17"/>
    <x v="17"/>
    <x v="2393"/>
    <x v="2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0"/>
    <x v="18"/>
  </r>
  <r>
    <x v="17"/>
    <x v="17"/>
    <x v="2394"/>
    <x v="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1"/>
    <x v="18"/>
  </r>
  <r>
    <x v="17"/>
    <x v="17"/>
    <x v="2395"/>
    <x v="2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2"/>
    <x v="18"/>
  </r>
  <r>
    <x v="17"/>
    <x v="17"/>
    <x v="2396"/>
    <x v="2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3"/>
    <x v="18"/>
  </r>
  <r>
    <x v="17"/>
    <x v="17"/>
    <x v="2397"/>
    <x v="2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4"/>
    <x v="18"/>
  </r>
  <r>
    <x v="17"/>
    <x v="17"/>
    <x v="2398"/>
    <x v="2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5"/>
    <x v="18"/>
  </r>
  <r>
    <x v="17"/>
    <x v="17"/>
    <x v="2399"/>
    <x v="2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6"/>
    <x v="18"/>
  </r>
  <r>
    <x v="17"/>
    <x v="17"/>
    <x v="2400"/>
    <x v="2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7"/>
    <x v="18"/>
  </r>
  <r>
    <x v="17"/>
    <x v="17"/>
    <x v="2401"/>
    <x v="2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2"/>
    <x v="18"/>
    <x v="18"/>
  </r>
  <r>
    <x v="17"/>
    <x v="17"/>
    <x v="2402"/>
    <x v="2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3"/>
    <x v="18"/>
  </r>
  <r>
    <x v="17"/>
    <x v="17"/>
    <x v="2403"/>
    <x v="2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4"/>
    <x v="18"/>
  </r>
  <r>
    <x v="17"/>
    <x v="17"/>
    <x v="2404"/>
    <x v="2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0"/>
    <x v="18"/>
  </r>
  <r>
    <x v="17"/>
    <x v="17"/>
    <x v="2405"/>
    <x v="2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5"/>
    <x v="18"/>
  </r>
  <r>
    <x v="17"/>
    <x v="17"/>
    <x v="2406"/>
    <x v="24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6"/>
    <x v="18"/>
  </r>
  <r>
    <x v="17"/>
    <x v="17"/>
    <x v="2407"/>
    <x v="2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"/>
    <x v="18"/>
  </r>
  <r>
    <x v="17"/>
    <x v="17"/>
    <x v="2408"/>
    <x v="2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7"/>
    <x v="18"/>
  </r>
  <r>
    <x v="17"/>
    <x v="17"/>
    <x v="2409"/>
    <x v="2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8"/>
    <x v="18"/>
  </r>
  <r>
    <x v="17"/>
    <x v="17"/>
    <x v="2410"/>
    <x v="2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9"/>
    <x v="18"/>
  </r>
  <r>
    <x v="17"/>
    <x v="17"/>
    <x v="2411"/>
    <x v="2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0"/>
    <x v="18"/>
  </r>
  <r>
    <x v="17"/>
    <x v="17"/>
    <x v="2412"/>
    <x v="2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1"/>
    <x v="18"/>
  </r>
  <r>
    <x v="17"/>
    <x v="17"/>
    <x v="2413"/>
    <x v="2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2"/>
    <x v="18"/>
  </r>
  <r>
    <x v="17"/>
    <x v="17"/>
    <x v="2414"/>
    <x v="2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3"/>
    <x v="18"/>
  </r>
  <r>
    <x v="17"/>
    <x v="17"/>
    <x v="2415"/>
    <x v="2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4"/>
    <x v="18"/>
  </r>
  <r>
    <x v="17"/>
    <x v="17"/>
    <x v="2416"/>
    <x v="2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5"/>
    <x v="18"/>
  </r>
  <r>
    <x v="17"/>
    <x v="17"/>
    <x v="2417"/>
    <x v="2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6"/>
    <x v="18"/>
  </r>
  <r>
    <x v="17"/>
    <x v="17"/>
    <x v="2418"/>
    <x v="2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7"/>
    <x v="18"/>
  </r>
  <r>
    <x v="17"/>
    <x v="17"/>
    <x v="2419"/>
    <x v="2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3"/>
    <x v="18"/>
    <x v="18"/>
  </r>
  <r>
    <x v="17"/>
    <x v="17"/>
    <x v="2420"/>
    <x v="2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3"/>
    <x v="18"/>
  </r>
  <r>
    <x v="17"/>
    <x v="17"/>
    <x v="2421"/>
    <x v="2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4"/>
    <x v="18"/>
  </r>
  <r>
    <x v="17"/>
    <x v="17"/>
    <x v="2422"/>
    <x v="2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0"/>
    <x v="18"/>
  </r>
  <r>
    <x v="17"/>
    <x v="17"/>
    <x v="2423"/>
    <x v="2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5"/>
    <x v="18"/>
  </r>
  <r>
    <x v="17"/>
    <x v="17"/>
    <x v="2424"/>
    <x v="2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6"/>
    <x v="18"/>
  </r>
  <r>
    <x v="17"/>
    <x v="17"/>
    <x v="2425"/>
    <x v="2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"/>
    <x v="18"/>
  </r>
  <r>
    <x v="17"/>
    <x v="17"/>
    <x v="2426"/>
    <x v="2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7"/>
    <x v="18"/>
  </r>
  <r>
    <x v="17"/>
    <x v="17"/>
    <x v="2427"/>
    <x v="24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8"/>
    <x v="18"/>
  </r>
  <r>
    <x v="17"/>
    <x v="17"/>
    <x v="2428"/>
    <x v="24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9"/>
    <x v="18"/>
  </r>
  <r>
    <x v="17"/>
    <x v="17"/>
    <x v="2429"/>
    <x v="2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0"/>
    <x v="18"/>
  </r>
  <r>
    <x v="17"/>
    <x v="17"/>
    <x v="2430"/>
    <x v="2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1"/>
    <x v="18"/>
  </r>
  <r>
    <x v="17"/>
    <x v="17"/>
    <x v="2431"/>
    <x v="2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2"/>
    <x v="18"/>
  </r>
  <r>
    <x v="17"/>
    <x v="17"/>
    <x v="2432"/>
    <x v="2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3"/>
    <x v="18"/>
  </r>
  <r>
    <x v="17"/>
    <x v="17"/>
    <x v="2433"/>
    <x v="24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4"/>
    <x v="18"/>
  </r>
  <r>
    <x v="17"/>
    <x v="17"/>
    <x v="2434"/>
    <x v="2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5"/>
    <x v="18"/>
  </r>
  <r>
    <x v="17"/>
    <x v="17"/>
    <x v="2435"/>
    <x v="2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6"/>
    <x v="18"/>
  </r>
  <r>
    <x v="17"/>
    <x v="17"/>
    <x v="2436"/>
    <x v="2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7"/>
    <x v="18"/>
  </r>
  <r>
    <x v="17"/>
    <x v="17"/>
    <x v="2437"/>
    <x v="24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4"/>
    <x v="18"/>
    <x v="18"/>
  </r>
  <r>
    <x v="17"/>
    <x v="17"/>
    <x v="2438"/>
    <x v="2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3"/>
    <x v="18"/>
  </r>
  <r>
    <x v="17"/>
    <x v="17"/>
    <x v="2439"/>
    <x v="2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4"/>
    <x v="18"/>
  </r>
  <r>
    <x v="17"/>
    <x v="17"/>
    <x v="2440"/>
    <x v="2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0"/>
    <x v="18"/>
  </r>
  <r>
    <x v="17"/>
    <x v="17"/>
    <x v="2441"/>
    <x v="24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5"/>
    <x v="18"/>
  </r>
  <r>
    <x v="17"/>
    <x v="17"/>
    <x v="2442"/>
    <x v="2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6"/>
    <x v="18"/>
  </r>
  <r>
    <x v="17"/>
    <x v="17"/>
    <x v="2443"/>
    <x v="24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"/>
    <x v="18"/>
  </r>
  <r>
    <x v="17"/>
    <x v="17"/>
    <x v="2444"/>
    <x v="2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7"/>
    <x v="18"/>
  </r>
  <r>
    <x v="17"/>
    <x v="17"/>
    <x v="2445"/>
    <x v="24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8"/>
    <x v="18"/>
  </r>
  <r>
    <x v="17"/>
    <x v="17"/>
    <x v="2446"/>
    <x v="2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9"/>
    <x v="18"/>
  </r>
  <r>
    <x v="17"/>
    <x v="17"/>
    <x v="2447"/>
    <x v="2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0"/>
    <x v="18"/>
  </r>
  <r>
    <x v="17"/>
    <x v="17"/>
    <x v="2448"/>
    <x v="2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1"/>
    <x v="18"/>
  </r>
  <r>
    <x v="17"/>
    <x v="17"/>
    <x v="2449"/>
    <x v="2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2"/>
    <x v="18"/>
  </r>
  <r>
    <x v="17"/>
    <x v="17"/>
    <x v="2450"/>
    <x v="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3"/>
    <x v="18"/>
  </r>
  <r>
    <x v="17"/>
    <x v="17"/>
    <x v="2451"/>
    <x v="2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4"/>
    <x v="18"/>
  </r>
  <r>
    <x v="17"/>
    <x v="17"/>
    <x v="2452"/>
    <x v="2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5"/>
    <x v="18"/>
  </r>
  <r>
    <x v="17"/>
    <x v="17"/>
    <x v="2453"/>
    <x v="2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6"/>
    <x v="18"/>
  </r>
  <r>
    <x v="17"/>
    <x v="17"/>
    <x v="2454"/>
    <x v="2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7"/>
    <x v="18"/>
  </r>
  <r>
    <x v="17"/>
    <x v="17"/>
    <x v="2455"/>
    <x v="2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5"/>
    <x v="18"/>
    <x v="18"/>
  </r>
  <r>
    <x v="17"/>
    <x v="17"/>
    <x v="2456"/>
    <x v="2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3"/>
    <x v="18"/>
  </r>
  <r>
    <x v="17"/>
    <x v="17"/>
    <x v="2457"/>
    <x v="2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4"/>
    <x v="18"/>
  </r>
  <r>
    <x v="17"/>
    <x v="17"/>
    <x v="2458"/>
    <x v="2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0"/>
    <x v="18"/>
  </r>
  <r>
    <x v="17"/>
    <x v="17"/>
    <x v="2459"/>
    <x v="2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5"/>
    <x v="18"/>
  </r>
  <r>
    <x v="17"/>
    <x v="17"/>
    <x v="2460"/>
    <x v="2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6"/>
    <x v="18"/>
  </r>
  <r>
    <x v="17"/>
    <x v="17"/>
    <x v="2461"/>
    <x v="2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"/>
    <x v="18"/>
  </r>
  <r>
    <x v="17"/>
    <x v="17"/>
    <x v="2462"/>
    <x v="2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7"/>
    <x v="18"/>
  </r>
  <r>
    <x v="17"/>
    <x v="17"/>
    <x v="2463"/>
    <x v="2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8"/>
    <x v="18"/>
  </r>
  <r>
    <x v="17"/>
    <x v="17"/>
    <x v="2464"/>
    <x v="2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9"/>
    <x v="18"/>
  </r>
  <r>
    <x v="17"/>
    <x v="17"/>
    <x v="2465"/>
    <x v="2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0"/>
    <x v="18"/>
  </r>
  <r>
    <x v="17"/>
    <x v="17"/>
    <x v="2466"/>
    <x v="2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1"/>
    <x v="18"/>
  </r>
  <r>
    <x v="17"/>
    <x v="17"/>
    <x v="2467"/>
    <x v="24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2"/>
    <x v="18"/>
  </r>
  <r>
    <x v="17"/>
    <x v="17"/>
    <x v="2468"/>
    <x v="2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3"/>
    <x v="18"/>
  </r>
  <r>
    <x v="17"/>
    <x v="17"/>
    <x v="2469"/>
    <x v="2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4"/>
    <x v="18"/>
  </r>
  <r>
    <x v="17"/>
    <x v="17"/>
    <x v="2470"/>
    <x v="2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5"/>
    <x v="18"/>
  </r>
  <r>
    <x v="17"/>
    <x v="17"/>
    <x v="2471"/>
    <x v="2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6"/>
    <x v="18"/>
  </r>
  <r>
    <x v="17"/>
    <x v="17"/>
    <x v="2472"/>
    <x v="24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7"/>
    <x v="18"/>
  </r>
  <r>
    <x v="17"/>
    <x v="17"/>
    <x v="2473"/>
    <x v="2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8"/>
    <x v="18"/>
    <x v="2"/>
  </r>
  <r>
    <x v="17"/>
    <x v="17"/>
    <x v="2474"/>
    <x v="2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9"/>
    <x v="3"/>
    <x v="18"/>
  </r>
  <r>
    <x v="17"/>
    <x v="17"/>
    <x v="2475"/>
    <x v="2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9"/>
    <x v="1"/>
    <x v="18"/>
  </r>
  <r>
    <x v="17"/>
    <x v="17"/>
    <x v="2476"/>
    <x v="2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9"/>
    <x v="8"/>
    <x v="18"/>
  </r>
  <r>
    <x v="17"/>
    <x v="17"/>
    <x v="2477"/>
    <x v="2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9"/>
    <x v="13"/>
    <x v="18"/>
  </r>
  <r>
    <x v="17"/>
    <x v="17"/>
    <x v="2478"/>
    <x v="24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19"/>
    <x v="18"/>
    <x v="18"/>
  </r>
  <r>
    <x v="17"/>
    <x v="17"/>
    <x v="2479"/>
    <x v="24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2"/>
    <x v="12"/>
    <x v="18"/>
  </r>
  <r>
    <x v="17"/>
    <x v="17"/>
    <x v="2480"/>
    <x v="2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10                   "/>
    <x v="22"/>
    <x v="18"/>
    <x v="18"/>
  </r>
  <r>
    <x v="17"/>
    <x v="17"/>
    <x v="2481"/>
    <x v="2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2"/>
    <x v="18"/>
  </r>
  <r>
    <x v="17"/>
    <x v="17"/>
    <x v="2482"/>
    <x v="2488"/>
    <n v="133.16"/>
    <n v="105.29"/>
    <n v="99.42"/>
    <n v="102.03"/>
    <n v="60.28"/>
    <n v="77.7"/>
    <n v="85.17"/>
    <n v="155.94999999999999"/>
    <n v="144.25"/>
    <n v="11.5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3"/>
    <x v="18"/>
  </r>
  <r>
    <x v="17"/>
    <x v="17"/>
    <x v="2483"/>
    <x v="2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4"/>
    <x v="18"/>
  </r>
  <r>
    <x v="17"/>
    <x v="17"/>
    <x v="2484"/>
    <x v="2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0"/>
    <x v="18"/>
  </r>
  <r>
    <x v="17"/>
    <x v="17"/>
    <x v="2485"/>
    <x v="2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5"/>
    <x v="18"/>
  </r>
  <r>
    <x v="17"/>
    <x v="17"/>
    <x v="2486"/>
    <x v="2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6"/>
    <x v="18"/>
  </r>
  <r>
    <x v="17"/>
    <x v="17"/>
    <x v="2487"/>
    <x v="2493"/>
    <n v="182.4"/>
    <n v="157.06"/>
    <n v="192.56"/>
    <n v="225.52"/>
    <n v="157.75"/>
    <n v="176.14"/>
    <n v="223"/>
    <n v="236.78"/>
    <n v="250.42"/>
    <n v="22.44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"/>
    <x v="18"/>
  </r>
  <r>
    <x v="17"/>
    <x v="17"/>
    <x v="2488"/>
    <x v="2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7"/>
    <x v="18"/>
  </r>
  <r>
    <x v="17"/>
    <x v="17"/>
    <x v="2489"/>
    <x v="2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8"/>
    <x v="18"/>
  </r>
  <r>
    <x v="17"/>
    <x v="17"/>
    <x v="2490"/>
    <x v="2496"/>
    <n v="45.52"/>
    <n v="32.42"/>
    <n v="20.38"/>
    <n v="8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9"/>
    <x v="18"/>
  </r>
  <r>
    <x v="17"/>
    <x v="17"/>
    <x v="2491"/>
    <x v="2497"/>
    <n v="68.540000000000006"/>
    <n v="67.44"/>
    <n v="58.64"/>
    <n v="67.47"/>
    <n v="52.42"/>
    <n v="61.84"/>
    <n v="111.25"/>
    <n v="104.89"/>
    <n v="109.06"/>
    <n v="9.6199999999999992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0"/>
    <x v="18"/>
  </r>
  <r>
    <x v="17"/>
    <x v="17"/>
    <x v="2492"/>
    <x v="2498"/>
    <n v="0"/>
    <n v="0"/>
    <n v="0"/>
    <n v="0"/>
    <n v="17.68"/>
    <n v="121.18"/>
    <n v="144.9"/>
    <n v="26.77"/>
    <n v="233.39"/>
    <n v="23.56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1"/>
    <x v="18"/>
  </r>
  <r>
    <x v="17"/>
    <x v="17"/>
    <x v="2493"/>
    <x v="2499"/>
    <n v="26.21"/>
    <n v="18"/>
    <n v="27.1"/>
    <n v="32.58"/>
    <n v="19.34"/>
    <n v="35.26"/>
    <n v="29.11"/>
    <n v="39.82"/>
    <n v="30.86"/>
    <n v="2.2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2"/>
    <x v="18"/>
  </r>
  <r>
    <x v="17"/>
    <x v="17"/>
    <x v="2494"/>
    <x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3"/>
    <x v="18"/>
  </r>
  <r>
    <x v="17"/>
    <x v="17"/>
    <x v="2495"/>
    <x v="2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4"/>
    <x v="18"/>
  </r>
  <r>
    <x v="17"/>
    <x v="17"/>
    <x v="2496"/>
    <x v="2502"/>
    <n v="56.62"/>
    <n v="102.54"/>
    <n v="93.52"/>
    <n v="113.59"/>
    <n v="86.52"/>
    <n v="86.52"/>
    <n v="104.43"/>
    <n v="80.19"/>
    <n v="94.74"/>
    <n v="8.82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5"/>
    <x v="18"/>
  </r>
  <r>
    <x v="17"/>
    <x v="17"/>
    <x v="2497"/>
    <x v="2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6"/>
    <x v="18"/>
  </r>
  <r>
    <x v="17"/>
    <x v="17"/>
    <x v="2498"/>
    <x v="2504"/>
    <n v="68.430000000000007"/>
    <n v="59.32"/>
    <n v="53.78"/>
    <n v="64.48"/>
    <n v="48.57"/>
    <n v="45.7"/>
    <n v="55.37"/>
    <n v="43.87"/>
    <n v="48.46"/>
    <n v="4.2699999999999996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7"/>
    <x v="18"/>
  </r>
  <r>
    <x v="17"/>
    <x v="17"/>
    <x v="2499"/>
    <x v="2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2"/>
    <x v="18"/>
    <x v="18"/>
  </r>
  <r>
    <x v="17"/>
    <x v="17"/>
    <x v="2500"/>
    <x v="2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"/>
    <x v="18"/>
  </r>
  <r>
    <x v="17"/>
    <x v="17"/>
    <x v="2501"/>
    <x v="25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9"/>
    <x v="18"/>
  </r>
  <r>
    <x v="17"/>
    <x v="17"/>
    <x v="2502"/>
    <x v="2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0"/>
    <x v="18"/>
  </r>
  <r>
    <x v="17"/>
    <x v="17"/>
    <x v="2503"/>
    <x v="2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1"/>
    <x v="18"/>
  </r>
  <r>
    <x v="17"/>
    <x v="17"/>
    <x v="2504"/>
    <x v="25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2"/>
    <x v="18"/>
  </r>
  <r>
    <x v="17"/>
    <x v="17"/>
    <x v="2505"/>
    <x v="2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3"/>
    <x v="18"/>
  </r>
  <r>
    <x v="17"/>
    <x v="17"/>
    <x v="2506"/>
    <x v="2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20                   "/>
    <x v="12"/>
    <x v="18"/>
    <x v="18"/>
  </r>
  <r>
    <x v="17"/>
    <x v="17"/>
    <x v="2507"/>
    <x v="2513"/>
    <n v="20.37"/>
    <n v="22.31"/>
    <n v="38.369999999999997"/>
    <n v="27.16"/>
    <n v="73.83"/>
    <n v="20.37"/>
    <n v="148.54"/>
    <n v="25.22"/>
    <n v="41.71"/>
    <n v="3.88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3"/>
    <x v="18"/>
  </r>
  <r>
    <x v="17"/>
    <x v="17"/>
    <x v="2508"/>
    <x v="2514"/>
    <n v="46.1"/>
    <n v="25.22"/>
    <n v="62.48"/>
    <n v="34.92"/>
    <n v="59.28"/>
    <n v="37.83"/>
    <n v="93.34"/>
    <n v="16.489999999999998"/>
    <n v="24.25"/>
    <n v="2.9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"/>
    <x v="18"/>
  </r>
  <r>
    <x v="17"/>
    <x v="17"/>
    <x v="2509"/>
    <x v="2515"/>
    <n v="9.73"/>
    <n v="9.6999999999999993"/>
    <n v="11.64"/>
    <n v="1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9"/>
    <x v="18"/>
  </r>
  <r>
    <x v="17"/>
    <x v="17"/>
    <x v="2510"/>
    <x v="2516"/>
    <n v="26.96"/>
    <n v="8.73"/>
    <n v="7.76"/>
    <n v="8.73"/>
    <n v="25.02"/>
    <n v="3.88"/>
    <n v="60.25"/>
    <n v="8.73"/>
    <n v="11.64"/>
    <n v="0.9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0"/>
    <x v="18"/>
  </r>
  <r>
    <x v="17"/>
    <x v="17"/>
    <x v="2511"/>
    <x v="2517"/>
    <n v="0"/>
    <n v="0"/>
    <n v="0"/>
    <n v="0"/>
    <n v="370.66"/>
    <n v="3.88"/>
    <n v="27.16"/>
    <n v="87.3"/>
    <n v="98.38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1"/>
    <x v="18"/>
  </r>
  <r>
    <x v="17"/>
    <x v="17"/>
    <x v="2512"/>
    <x v="2518"/>
    <n v="16.489999999999998"/>
    <n v="12.61"/>
    <n v="47.18"/>
    <n v="23.28"/>
    <n v="51.06"/>
    <n v="30.07"/>
    <n v="80.47"/>
    <n v="22.31"/>
    <n v="32.01"/>
    <n v="0.9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2"/>
    <x v="18"/>
  </r>
  <r>
    <x v="17"/>
    <x v="17"/>
    <x v="2513"/>
    <x v="2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3"/>
    <x v="18"/>
  </r>
  <r>
    <x v="17"/>
    <x v="17"/>
    <x v="2514"/>
    <x v="2520"/>
    <n v="225.78"/>
    <n v="3.88"/>
    <n v="0"/>
    <n v="6.79"/>
    <n v="0"/>
    <n v="0"/>
    <n v="3.88"/>
    <n v="0"/>
    <n v="0.9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5"/>
    <x v="18"/>
  </r>
  <r>
    <x v="17"/>
    <x v="17"/>
    <x v="2515"/>
    <x v="2521"/>
    <n v="6.79"/>
    <n v="2.91"/>
    <n v="1.94"/>
    <n v="1.94"/>
    <n v="4.8499999999999996"/>
    <n v="0.97"/>
    <n v="1.94"/>
    <n v="3.88"/>
    <n v="4.8499999999999996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7"/>
    <x v="18"/>
  </r>
  <r>
    <x v="17"/>
    <x v="17"/>
    <x v="2516"/>
    <x v="2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"/>
    <x v="18"/>
    <x v="18"/>
  </r>
  <r>
    <x v="17"/>
    <x v="17"/>
    <x v="2517"/>
    <x v="2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1"/>
    <x v="18"/>
  </r>
  <r>
    <x v="17"/>
    <x v="17"/>
    <x v="2518"/>
    <x v="2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9"/>
    <x v="18"/>
  </r>
  <r>
    <x v="17"/>
    <x v="17"/>
    <x v="2519"/>
    <x v="2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10"/>
    <x v="18"/>
  </r>
  <r>
    <x v="17"/>
    <x v="17"/>
    <x v="2520"/>
    <x v="2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12"/>
    <x v="18"/>
  </r>
  <r>
    <x v="17"/>
    <x v="17"/>
    <x v="2521"/>
    <x v="2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13"/>
    <x v="18"/>
  </r>
  <r>
    <x v="17"/>
    <x v="17"/>
    <x v="2522"/>
    <x v="2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12"/>
    <x v="18"/>
    <x v="18"/>
  </r>
  <r>
    <x v="17"/>
    <x v="17"/>
    <x v="2523"/>
    <x v="2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2"/>
    <x v="12"/>
    <x v="18"/>
  </r>
  <r>
    <x v="17"/>
    <x v="17"/>
    <x v="2524"/>
    <x v="2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2"/>
    <x v="16"/>
    <x v="18"/>
  </r>
  <r>
    <x v="17"/>
    <x v="17"/>
    <x v="2525"/>
    <x v="25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30                   "/>
    <x v="22"/>
    <x v="17"/>
    <x v="18"/>
  </r>
  <r>
    <x v="17"/>
    <x v="17"/>
    <x v="2526"/>
    <x v="2532"/>
    <n v="0"/>
    <n v="0"/>
    <n v="0"/>
    <n v="0"/>
    <n v="0"/>
    <n v="0"/>
    <n v="0"/>
    <n v="58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3"/>
    <x v="18"/>
  </r>
  <r>
    <x v="17"/>
    <x v="17"/>
    <x v="2527"/>
    <x v="2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1"/>
    <x v="18"/>
  </r>
  <r>
    <x v="17"/>
    <x v="17"/>
    <x v="2528"/>
    <x v="2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8"/>
    <x v="18"/>
  </r>
  <r>
    <x v="17"/>
    <x v="17"/>
    <x v="2529"/>
    <x v="2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9"/>
    <x v="18"/>
  </r>
  <r>
    <x v="17"/>
    <x v="17"/>
    <x v="2530"/>
    <x v="2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13"/>
    <x v="18"/>
  </r>
  <r>
    <x v="17"/>
    <x v="17"/>
    <x v="2531"/>
    <x v="2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14"/>
    <x v="18"/>
  </r>
  <r>
    <x v="17"/>
    <x v="17"/>
    <x v="2532"/>
    <x v="2538"/>
    <n v="0"/>
    <n v="0"/>
    <n v="0"/>
    <n v="2.64"/>
    <n v="0"/>
    <n v="29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15"/>
    <x v="18"/>
  </r>
  <r>
    <x v="17"/>
    <x v="17"/>
    <x v="2533"/>
    <x v="2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"/>
    <x v="18"/>
    <x v="18"/>
  </r>
  <r>
    <x v="17"/>
    <x v="17"/>
    <x v="2534"/>
    <x v="2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15"/>
    <x v="3"/>
    <x v="18"/>
  </r>
  <r>
    <x v="17"/>
    <x v="17"/>
    <x v="2535"/>
    <x v="2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15"/>
    <x v="1"/>
    <x v="18"/>
  </r>
  <r>
    <x v="17"/>
    <x v="17"/>
    <x v="2536"/>
    <x v="2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15"/>
    <x v="7"/>
    <x v="18"/>
  </r>
  <r>
    <x v="17"/>
    <x v="17"/>
    <x v="2537"/>
    <x v="2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15"/>
    <x v="13"/>
    <x v="18"/>
  </r>
  <r>
    <x v="17"/>
    <x v="17"/>
    <x v="2538"/>
    <x v="2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15"/>
    <x v="18"/>
    <x v="18"/>
  </r>
  <r>
    <x v="17"/>
    <x v="17"/>
    <x v="2539"/>
    <x v="2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2"/>
    <x v="3"/>
    <x v="18"/>
  </r>
  <r>
    <x v="17"/>
    <x v="17"/>
    <x v="2540"/>
    <x v="2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2"/>
    <x v="1"/>
    <x v="18"/>
  </r>
  <r>
    <x v="17"/>
    <x v="17"/>
    <x v="2541"/>
    <x v="2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2"/>
    <x v="13"/>
    <x v="18"/>
  </r>
  <r>
    <x v="17"/>
    <x v="17"/>
    <x v="2542"/>
    <x v="2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2"/>
    <x v="14"/>
    <x v="18"/>
  </r>
  <r>
    <x v="17"/>
    <x v="17"/>
    <x v="2543"/>
    <x v="2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40                   "/>
    <x v="22"/>
    <x v="18"/>
    <x v="18"/>
  </r>
  <r>
    <x v="17"/>
    <x v="17"/>
    <x v="2544"/>
    <x v="2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2"/>
    <x v="15"/>
    <x v="50"/>
  </r>
  <r>
    <x v="17"/>
    <x v="17"/>
    <x v="2545"/>
    <x v="2551"/>
    <n v="79.6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5"/>
    <x v="1"/>
    <x v="50"/>
  </r>
  <r>
    <x v="17"/>
    <x v="17"/>
    <x v="2546"/>
    <x v="2552"/>
    <n v="0"/>
    <n v="0"/>
    <n v="0"/>
    <n v="0"/>
    <n v="0"/>
    <n v="0"/>
    <n v="0"/>
    <n v="0"/>
    <n v="0"/>
    <n v="0"/>
    <n v="0"/>
    <n v="0"/>
    <n v="0"/>
    <n v="0"/>
    <n v="0"/>
    <n v="425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5"/>
    <x v="8"/>
    <x v="50"/>
  </r>
  <r>
    <x v="17"/>
    <x v="17"/>
    <x v="2547"/>
    <x v="2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5"/>
    <x v="13"/>
    <x v="50"/>
  </r>
  <r>
    <x v="17"/>
    <x v="17"/>
    <x v="2548"/>
    <x v="2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2"/>
    <x v="12"/>
    <x v="50"/>
  </r>
  <r>
    <x v="17"/>
    <x v="17"/>
    <x v="2549"/>
    <x v="2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2"/>
    <x v="15"/>
    <x v="50"/>
  </r>
  <r>
    <x v="17"/>
    <x v="17"/>
    <x v="2550"/>
    <x v="25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59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3"/>
    <x v="11"/>
    <x v="50"/>
  </r>
  <r>
    <x v="17"/>
    <x v="17"/>
    <x v="2551"/>
    <x v="25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4"/>
    <x v="8"/>
    <x v="50"/>
  </r>
  <r>
    <x v="17"/>
    <x v="17"/>
    <x v="2552"/>
    <x v="2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7"/>
    <x v="5"/>
    <x v="38"/>
  </r>
  <r>
    <x v="17"/>
    <x v="17"/>
    <x v="2553"/>
    <x v="2559"/>
    <n v="0"/>
    <n v="0"/>
    <n v="43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7"/>
    <x v="1"/>
    <x v="38"/>
  </r>
  <r>
    <x v="17"/>
    <x v="17"/>
    <x v="2554"/>
    <x v="2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100"/>
    <n v="0"/>
    <n v="0"/>
    <n v="100"/>
    <n v="0"/>
    <n v="0"/>
    <n v="100"/>
    <n v="0"/>
    <x v="2"/>
    <x v="2"/>
    <s v="61110                   "/>
    <x v="17"/>
    <x v="13"/>
    <x v="38"/>
  </r>
  <r>
    <x v="17"/>
    <x v="17"/>
    <x v="2555"/>
    <x v="2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18"/>
    <x v="11"/>
    <x v="33"/>
  </r>
  <r>
    <x v="17"/>
    <x v="17"/>
    <x v="2556"/>
    <x v="2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0"/>
    <n v="2683.34"/>
    <n v="7315.92"/>
    <n v="815.6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6.67"/>
    <n v="1666.67"/>
    <n v="1666.67"/>
    <n v="1666.67"/>
    <n v="1666.67"/>
    <n v="1666.67"/>
    <n v="1666.67"/>
    <n v="1666.67"/>
    <n v="1666.67"/>
    <n v="1666.67"/>
    <n v="1666.67"/>
    <n v="1666.67"/>
    <x v="2"/>
    <x v="2"/>
    <s v="61110                   "/>
    <x v="28"/>
    <x v="2"/>
    <x v="43"/>
  </r>
  <r>
    <x v="17"/>
    <x v="17"/>
    <x v="2557"/>
    <x v="25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0"/>
    <n v="0"/>
    <n v="0"/>
    <n v="50"/>
    <n v="0"/>
    <n v="0"/>
    <n v="50"/>
    <n v="0"/>
    <n v="0"/>
    <n v="50"/>
    <n v="0"/>
    <n v="0"/>
    <n v="0"/>
    <n v="0"/>
    <n v="0"/>
    <n v="0"/>
    <n v="0"/>
    <n v="0"/>
    <n v="0"/>
    <n v="0"/>
    <n v="0"/>
    <n v="0"/>
    <n v="0"/>
    <x v="2"/>
    <x v="2"/>
    <s v="61110                   "/>
    <x v="22"/>
    <x v="12"/>
    <x v="33"/>
  </r>
  <r>
    <x v="17"/>
    <x v="17"/>
    <x v="2558"/>
    <x v="2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61110                   "/>
    <x v="22"/>
    <x v="15"/>
    <x v="50"/>
  </r>
  <r>
    <x v="17"/>
    <x v="17"/>
    <x v="2559"/>
    <x v="2565"/>
    <n v="0"/>
    <n v="0"/>
    <n v="0"/>
    <n v="0"/>
    <n v="0"/>
    <n v="0"/>
    <n v="0"/>
    <n v="0"/>
    <n v="0"/>
    <n v="0"/>
    <n v="0"/>
    <n v="0"/>
    <n v="0"/>
    <n v="0"/>
    <n v="0"/>
    <n v="0"/>
    <n v="112.89"/>
    <n v="0"/>
    <n v="0"/>
    <n v="0"/>
    <n v="0"/>
    <n v="0"/>
    <n v="-70.5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x v="2"/>
    <x v="2"/>
    <s v="71520                   "/>
    <x v="3"/>
    <x v="2"/>
    <x v="53"/>
  </r>
  <r>
    <x v="17"/>
    <x v="17"/>
    <x v="2560"/>
    <x v="2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6"/>
    <n v="546"/>
    <n v="546"/>
    <n v="546"/>
    <n v="0"/>
    <n v="0"/>
    <n v="0"/>
    <n v="0"/>
    <n v="0"/>
    <n v="0"/>
    <n v="0"/>
    <n v="0"/>
    <x v="2"/>
    <x v="2"/>
    <s v="71520                   "/>
    <x v="4"/>
    <x v="2"/>
    <x v="61"/>
  </r>
  <r>
    <x v="17"/>
    <x v="17"/>
    <x v="2561"/>
    <x v="2567"/>
    <n v="0"/>
    <n v="290.83"/>
    <n v="0"/>
    <n v="766.4"/>
    <n v="0"/>
    <n v="0"/>
    <n v="377.3"/>
    <n v="-43.41"/>
    <n v="167.65"/>
    <n v="0"/>
    <n v="0"/>
    <n v="0"/>
    <n v="157.93"/>
    <n v="431.7"/>
    <n v="0"/>
    <n v="0"/>
    <n v="232.92"/>
    <n v="283.68"/>
    <n v="-162.72"/>
    <n v="505.16"/>
    <n v="0"/>
    <n v="78.959999999999994"/>
    <n v="-163.31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1.75"/>
    <n v="131.75"/>
    <n v="131.75"/>
    <n v="131.75"/>
    <n v="131.75"/>
    <n v="131.75"/>
    <n v="131.75"/>
    <n v="131.75"/>
    <n v="131.75"/>
    <n v="131.75"/>
    <n v="131.75"/>
    <n v="131.75"/>
    <n v="166.18"/>
    <n v="311.64999999999998"/>
    <n v="144.44999999999999"/>
    <n v="319.11"/>
    <n v="439.04"/>
    <n v="318.08999999999997"/>
    <n v="106.7"/>
    <n v="84.02"/>
    <n v="286.51"/>
    <n v="0"/>
    <n v="156.6"/>
    <n v="31.82"/>
    <x v="2"/>
    <x v="2"/>
    <s v="71520                   "/>
    <x v="7"/>
    <x v="2"/>
    <x v="54"/>
  </r>
  <r>
    <x v="17"/>
    <x v="17"/>
    <x v="2562"/>
    <x v="2568"/>
    <n v="0"/>
    <n v="0"/>
    <n v="0"/>
    <n v="0"/>
    <n v="0"/>
    <n v="0"/>
    <n v="0"/>
    <n v="0"/>
    <n v="0"/>
    <n v="0"/>
    <n v="0"/>
    <n v="0"/>
    <n v="0"/>
    <n v="0"/>
    <n v="0"/>
    <n v="0"/>
    <n v="0"/>
    <n v="8.1"/>
    <n v="49.28"/>
    <n v="0"/>
    <n v="0"/>
    <n v="0"/>
    <n v="0"/>
    <n v="0"/>
    <n v="-57.3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.39"/>
    <n v="40.29"/>
    <n v="731.25"/>
    <n v="-110.18"/>
    <n v="207.04"/>
    <n v="90.81"/>
    <n v="-2.6"/>
    <n v="7.25"/>
    <n v="-5.14"/>
    <n v="89.47"/>
    <n v="5.56"/>
    <n v="-21.09"/>
    <n v="0"/>
    <n v="0"/>
    <n v="0"/>
    <n v="0"/>
    <n v="0"/>
    <n v="0"/>
    <n v="0"/>
    <n v="0"/>
    <n v="0"/>
    <n v="0"/>
    <n v="0"/>
    <n v="0"/>
    <x v="3"/>
    <x v="2"/>
    <s v="71520                   "/>
    <x v="10"/>
    <x v="2"/>
    <x v="53"/>
  </r>
  <r>
    <x v="17"/>
    <x v="17"/>
    <x v="2562"/>
    <x v="2568"/>
    <n v="993.45"/>
    <n v="1343.14"/>
    <n v="1362.22"/>
    <n v="1697.41"/>
    <n v="465.97"/>
    <n v="214.36"/>
    <n v="614.30999999999995"/>
    <n v="-154.87"/>
    <n v="1716.44"/>
    <n v="1877.32"/>
    <n v="-29.69"/>
    <n v="92.21"/>
    <n v="58.67"/>
    <n v="0"/>
    <n v="28.34"/>
    <n v="20.27"/>
    <n v="11.89"/>
    <n v="6505.67"/>
    <n v="613.80999999999995"/>
    <n v="294.92"/>
    <n v="625.15"/>
    <n v="785.14"/>
    <n v="452.26"/>
    <n v="1355.71"/>
    <n v="914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3"/>
    <n v="833"/>
    <n v="833"/>
    <n v="833"/>
    <n v="833"/>
    <n v="833"/>
    <n v="833"/>
    <n v="833"/>
    <n v="833"/>
    <n v="833"/>
    <n v="833"/>
    <n v="833"/>
    <n v="886.34"/>
    <n v="587.16999999999996"/>
    <n v="891.96"/>
    <n v="552.97"/>
    <n v="723.88"/>
    <n v="1286.5899999999999"/>
    <n v="813.88"/>
    <n v="1027.24"/>
    <n v="637.89"/>
    <n v="667.61"/>
    <n v="625.38"/>
    <n v="839.27"/>
    <x v="2"/>
    <x v="2"/>
    <s v="71520                   "/>
    <x v="10"/>
    <x v="2"/>
    <x v="53"/>
  </r>
  <r>
    <x v="17"/>
    <x v="17"/>
    <x v="2563"/>
    <x v="2569"/>
    <n v="0"/>
    <n v="0"/>
    <n v="0"/>
    <n v="0"/>
    <n v="0"/>
    <n v="0"/>
    <n v="0"/>
    <n v="0"/>
    <n v="0"/>
    <n v="0"/>
    <n v="0"/>
    <n v="0"/>
    <n v="76.37"/>
    <n v="17.260000000000002"/>
    <n v="0"/>
    <n v="0"/>
    <n v="0"/>
    <n v="0"/>
    <n v="0"/>
    <n v="0"/>
    <n v="56.1"/>
    <n v="0"/>
    <n v="0"/>
    <n v="0"/>
    <n v="-149.729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0.28"/>
    <n v="0"/>
    <n v="0"/>
    <n v="-18.739999999999998"/>
    <n v="10.57"/>
    <n v="0"/>
    <n v="0"/>
    <n v="76.37"/>
    <n v="17.260000000000002"/>
    <n v="0"/>
    <n v="0"/>
    <n v="0"/>
    <n v="0"/>
    <n v="0"/>
    <n v="0"/>
    <n v="-19"/>
    <n v="11"/>
    <n v="0"/>
    <n v="0"/>
    <x v="3"/>
    <x v="2"/>
    <s v="71520                   "/>
    <x v="20"/>
    <x v="2"/>
    <x v="32"/>
  </r>
  <r>
    <x v="17"/>
    <x v="17"/>
    <x v="2563"/>
    <x v="2569"/>
    <n v="25.21"/>
    <n v="0"/>
    <n v="9.06"/>
    <n v="73.760000000000005"/>
    <n v="146.37"/>
    <n v="20.100000000000001"/>
    <n v="2.06"/>
    <n v="12.17"/>
    <n v="116.1"/>
    <n v="33.75"/>
    <n v="64.989999999999995"/>
    <n v="291.02"/>
    <n v="566.33000000000004"/>
    <n v="815.69"/>
    <n v="747.75"/>
    <n v="619.02"/>
    <n v="1349.82"/>
    <n v="-4098.6099999999997"/>
    <n v="0.86"/>
    <n v="0"/>
    <n v="17.78"/>
    <n v="72.27"/>
    <n v="57.67"/>
    <n v="39.479999999999997"/>
    <n v="0"/>
    <n v="2.319999999999999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5.21"/>
    <n v="0"/>
    <n v="9.06"/>
    <n v="73.760000000000005"/>
    <n v="146.37"/>
    <n v="20.100000000000001"/>
    <n v="2.06"/>
    <n v="12.17"/>
    <n v="116.1"/>
    <n v="33.75"/>
    <n v="64.989999999999995"/>
    <n v="291.02"/>
    <n v="566.33000000000004"/>
    <n v="815.69"/>
    <n v="747.75"/>
    <n v="619.02"/>
    <n v="1349.82"/>
    <n v="-4098.6099999999997"/>
    <n v="0.86"/>
    <n v="0"/>
    <n v="116"/>
    <n v="34"/>
    <n v="65"/>
    <n v="291"/>
    <x v="2"/>
    <x v="2"/>
    <s v="71520                   "/>
    <x v="20"/>
    <x v="2"/>
    <x v="32"/>
  </r>
  <r>
    <x v="17"/>
    <x v="17"/>
    <x v="2564"/>
    <x v="2570"/>
    <n v="0"/>
    <n v="0"/>
    <n v="0"/>
    <n v="-114.8"/>
    <n v="581.16999999999996"/>
    <n v="698.15"/>
    <n v="778.59"/>
    <n v="672.28"/>
    <n v="0"/>
    <n v="0"/>
    <n v="524.53"/>
    <n v="445.39"/>
    <n v="428.1"/>
    <n v="409.08"/>
    <n v="508.54"/>
    <n v="482.31"/>
    <n v="437.04"/>
    <n v="407.59"/>
    <n v="376.24"/>
    <n v="408.74"/>
    <n v="370.97"/>
    <n v="542.83000000000004"/>
    <n v="524.45000000000005"/>
    <n v="516.74"/>
    <n v="519.3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60.85000000000002"/>
    <n v="224.52"/>
    <n v="471.97"/>
    <n v="294.89999999999998"/>
    <n v="196.13"/>
    <n v="269.49"/>
    <n v="333.34"/>
    <n v="412.72"/>
    <n v="216.81"/>
    <n v="254.03"/>
    <n v="235.93"/>
    <n v="376.38"/>
    <n v="1201.0999999999999"/>
    <n v="611.9"/>
    <n v="487.23"/>
    <n v="107.24"/>
    <n v="263.92"/>
    <n v="301.36"/>
    <n v="322.26"/>
    <n v="539.6"/>
    <n v="435.28"/>
    <n v="821.83"/>
    <n v="799.17"/>
    <n v="200.45"/>
    <x v="2"/>
    <x v="2"/>
    <s v="71520                   "/>
    <x v="23"/>
    <x v="2"/>
    <x v="53"/>
  </r>
  <r>
    <x v="17"/>
    <x v="17"/>
    <x v="2565"/>
    <x v="25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2"/>
    <s v="71520                   "/>
    <x v="24"/>
    <x v="2"/>
    <x v="53"/>
  </r>
  <r>
    <x v="17"/>
    <x v="17"/>
    <x v="2566"/>
    <x v="2572"/>
    <n v="0"/>
    <n v="0"/>
    <n v="0"/>
    <n v="0"/>
    <n v="0"/>
    <n v="0"/>
    <n v="0"/>
    <n v="0"/>
    <n v="0"/>
    <n v="0"/>
    <n v="0"/>
    <n v="0"/>
    <n v="0"/>
    <n v="1000"/>
    <n v="500"/>
    <n v="500"/>
    <n v="500"/>
    <n v="500"/>
    <n v="500"/>
    <n v="500"/>
    <n v="500"/>
    <n v="500"/>
    <n v="500"/>
    <n v="500"/>
    <n v="-60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x v="3"/>
    <x v="2"/>
    <s v="71920                   "/>
    <x v="28"/>
    <x v="2"/>
    <x v="43"/>
  </r>
  <r>
    <x v="17"/>
    <x v="17"/>
    <x v="2566"/>
    <x v="2572"/>
    <n v="3590"/>
    <n v="3590"/>
    <n v="3590"/>
    <n v="3590"/>
    <n v="3590"/>
    <n v="3590"/>
    <n v="3590"/>
    <n v="3890"/>
    <n v="3590"/>
    <n v="4166.3"/>
    <n v="5166.3"/>
    <n v="3666.3"/>
    <n v="5166.3"/>
    <n v="5666.3"/>
    <n v="1666.3"/>
    <n v="4166.3"/>
    <n v="4166.3"/>
    <n v="4166.3"/>
    <n v="4166.3"/>
    <n v="4166.3"/>
    <n v="4166.3"/>
    <n v="4166.3"/>
    <n v="4166.3"/>
    <n v="4166.3"/>
    <n v="5166.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166.3"/>
    <n v="4166.3"/>
    <n v="4166.3"/>
    <n v="4166.3"/>
    <n v="4166.3"/>
    <n v="4166.3"/>
    <n v="4166.3"/>
    <n v="4166.3"/>
    <n v="4166.3"/>
    <n v="4166.3"/>
    <n v="4166.3"/>
    <n v="4166.3"/>
    <n v="5166.3"/>
    <n v="5666.3"/>
    <n v="1666.3"/>
    <n v="4166.3"/>
    <n v="4166.3"/>
    <n v="4166.3"/>
    <n v="4166.3"/>
    <n v="4166.3"/>
    <n v="3590"/>
    <n v="4166"/>
    <n v="5166"/>
    <n v="3666"/>
    <x v="2"/>
    <x v="2"/>
    <s v="71920                   "/>
    <x v="28"/>
    <x v="2"/>
    <x v="43"/>
  </r>
  <r>
    <x v="17"/>
    <x v="17"/>
    <x v="2567"/>
    <x v="2573"/>
    <n v="0"/>
    <n v="0"/>
    <n v="0"/>
    <n v="0"/>
    <n v="0"/>
    <n v="0"/>
    <n v="0"/>
    <n v="0"/>
    <n v="0"/>
    <n v="0"/>
    <n v="0"/>
    <n v="0"/>
    <n v="0"/>
    <n v="1000"/>
    <n v="500"/>
    <n v="500"/>
    <n v="500"/>
    <n v="500"/>
    <n v="500"/>
    <n v="500"/>
    <n v="500"/>
    <n v="500"/>
    <n v="500"/>
    <n v="500"/>
    <n v="-60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x v="3"/>
    <x v="2"/>
    <s v="71930                   "/>
    <x v="28"/>
    <x v="2"/>
    <x v="43"/>
  </r>
  <r>
    <x v="17"/>
    <x v="17"/>
    <x v="2567"/>
    <x v="2573"/>
    <n v="5240"/>
    <n v="5660"/>
    <n v="5890"/>
    <n v="6050"/>
    <n v="6455"/>
    <n v="6805"/>
    <n v="6805"/>
    <n v="6670"/>
    <n v="1890"/>
    <n v="5320"/>
    <n v="5770"/>
    <n v="6200"/>
    <n v="5845"/>
    <n v="5000"/>
    <n v="3900"/>
    <n v="5570"/>
    <n v="5625"/>
    <n v="6415"/>
    <n v="5000"/>
    <n v="4950"/>
    <n v="3590"/>
    <n v="3760"/>
    <n v="3290"/>
    <n v="490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320"/>
    <n v="5320"/>
    <n v="5320"/>
    <n v="5320"/>
    <n v="5320"/>
    <n v="5320"/>
    <n v="5320"/>
    <n v="5320"/>
    <n v="5320"/>
    <n v="5320"/>
    <n v="5320"/>
    <n v="5320"/>
    <n v="5845"/>
    <n v="5000"/>
    <n v="3900"/>
    <n v="5570"/>
    <n v="5625"/>
    <n v="6415"/>
    <n v="5000"/>
    <n v="4950"/>
    <n v="1890"/>
    <n v="5320"/>
    <n v="5770"/>
    <n v="6200"/>
    <x v="2"/>
    <x v="2"/>
    <s v="71930                   "/>
    <x v="28"/>
    <x v="2"/>
    <x v="43"/>
  </r>
  <r>
    <x v="17"/>
    <x v="17"/>
    <x v="2568"/>
    <x v="2574"/>
    <n v="0"/>
    <n v="0"/>
    <n v="0"/>
    <n v="0"/>
    <n v="0"/>
    <n v="0"/>
    <n v="0"/>
    <n v="0"/>
    <n v="0"/>
    <n v="0"/>
    <n v="0"/>
    <n v="0"/>
    <n v="0"/>
    <n v="516.54999999999995"/>
    <n v="0"/>
    <n v="0"/>
    <n v="0"/>
    <n v="0"/>
    <n v="441.8"/>
    <n v="0"/>
    <n v="1204.8"/>
    <n v="514.29999999999995"/>
    <n v="508.8"/>
    <n v="397.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6.54999999999995"/>
    <n v="0"/>
    <n v="0"/>
    <n v="0"/>
    <n v="0"/>
    <n v="441.8"/>
    <n v="0"/>
    <n v="0"/>
    <n v="0"/>
    <n v="0"/>
    <n v="0"/>
    <x v="2"/>
    <x v="2"/>
    <s v="71940                   "/>
    <x v="28"/>
    <x v="2"/>
    <x v="43"/>
  </r>
  <r>
    <x v="17"/>
    <x v="17"/>
    <x v="2569"/>
    <x v="2575"/>
    <n v="0"/>
    <n v="0"/>
    <n v="0"/>
    <n v="0"/>
    <n v="0"/>
    <n v="0"/>
    <n v="0"/>
    <n v="0"/>
    <n v="0"/>
    <n v="0"/>
    <n v="0"/>
    <n v="0"/>
    <n v="24.08"/>
    <n v="37.799999999999997"/>
    <n v="37.64"/>
    <n v="70.25"/>
    <n v="59.88"/>
    <n v="36.130000000000003"/>
    <n v="38.130000000000003"/>
    <n v="26.09"/>
    <n v="21.07"/>
    <n v="0"/>
    <n v="16.059999999999999"/>
    <n v="35.119999999999997"/>
    <n v="-402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4.79"/>
    <n v="23.59"/>
    <n v="41.65"/>
    <n v="40.14"/>
    <n v="45.67"/>
    <n v="55.23"/>
    <n v="52.02"/>
    <n v="17.57"/>
    <n v="17.57"/>
    <n v="12.04"/>
    <n v="16.059999999999999"/>
    <n v="16.059999999999999"/>
    <n v="24.08"/>
    <n v="37.799999999999997"/>
    <n v="37.64"/>
    <n v="70.25"/>
    <n v="59.88"/>
    <n v="36.130000000000003"/>
    <n v="38.130000000000003"/>
    <n v="26.09"/>
    <n v="18"/>
    <n v="12"/>
    <n v="16"/>
    <n v="16"/>
    <x v="3"/>
    <x v="6"/>
    <s v="71100                   "/>
    <x v="1"/>
    <x v="2"/>
    <x v="47"/>
  </r>
  <r>
    <x v="17"/>
    <x v="17"/>
    <x v="2569"/>
    <x v="2575"/>
    <n v="101.59"/>
    <n v="43.49"/>
    <n v="278.18"/>
    <n v="74.67"/>
    <n v="124.85"/>
    <n v="140.33000000000001"/>
    <n v="44.75"/>
    <n v="160.62"/>
    <n v="86.09"/>
    <n v="94.74"/>
    <n v="134.74"/>
    <n v="36.9"/>
    <n v="72.89"/>
    <n v="166"/>
    <n v="207.97"/>
    <n v="172.74"/>
    <n v="52.16"/>
    <n v="51.31"/>
    <n v="10.77"/>
    <n v="125.7"/>
    <n v="108.43"/>
    <n v="39.11"/>
    <n v="113.06"/>
    <n v="46.37"/>
    <n v="78.510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1.59"/>
    <n v="43.49"/>
    <n v="278.18"/>
    <n v="74.67"/>
    <n v="124.85"/>
    <n v="140.33000000000001"/>
    <n v="44.75"/>
    <n v="160.62"/>
    <n v="86.09"/>
    <n v="94.74"/>
    <n v="134.74"/>
    <n v="36.9"/>
    <n v="72.89"/>
    <n v="166"/>
    <n v="207.97"/>
    <n v="172.74"/>
    <n v="52.16"/>
    <n v="51.31"/>
    <n v="10.77"/>
    <n v="125.7"/>
    <n v="86"/>
    <n v="95"/>
    <n v="135"/>
    <n v="37"/>
    <x v="2"/>
    <x v="6"/>
    <s v="71100                   "/>
    <x v="1"/>
    <x v="2"/>
    <x v="47"/>
  </r>
  <r>
    <x v="17"/>
    <x v="17"/>
    <x v="2570"/>
    <x v="2576"/>
    <n v="0"/>
    <n v="25.05"/>
    <n v="120.48"/>
    <n v="131.16999999999999"/>
    <n v="97.78"/>
    <n v="60.62"/>
    <n v="0"/>
    <n v="0"/>
    <n v="0"/>
    <n v="0"/>
    <n v="0"/>
    <n v="0"/>
    <n v="0"/>
    <n v="21.61"/>
    <n v="143.31"/>
    <n v="101.42"/>
    <n v="168.71"/>
    <n v="166.48"/>
    <n v="141.19999999999999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25.05"/>
    <n v="120.48"/>
    <n v="131.16999999999999"/>
    <n v="97.78"/>
    <n v="60.62"/>
    <n v="0"/>
    <n v="0"/>
    <n v="0"/>
    <n v="0"/>
    <n v="0"/>
    <n v="0"/>
    <n v="0"/>
    <n v="21.61"/>
    <n v="143.31"/>
    <n v="101.42"/>
    <n v="168.71"/>
    <n v="166.48"/>
    <n v="141.19999999999999"/>
    <n v="0"/>
    <n v="0"/>
    <n v="0"/>
    <n v="0"/>
    <n v="0"/>
    <x v="2"/>
    <x v="6"/>
    <s v="71100                   "/>
    <x v="9"/>
    <x v="2"/>
    <x v="48"/>
  </r>
  <r>
    <x v="18"/>
    <x v="18"/>
    <x v="2571"/>
    <x v="2577"/>
    <n v="0"/>
    <n v="0"/>
    <n v="0"/>
    <n v="0"/>
    <n v="0"/>
    <n v="0"/>
    <n v="0"/>
    <n v="0"/>
    <n v="0"/>
    <n v="0"/>
    <n v="0"/>
    <n v="0"/>
    <n v="63.54"/>
    <n v="0"/>
    <n v="127.08"/>
    <n v="0"/>
    <n v="63.54"/>
    <n v="63.54"/>
    <n v="317.72000000000003"/>
    <n v="0"/>
    <n v="127.08"/>
    <n v="0"/>
    <n v="63.54"/>
    <n v="127.08"/>
    <n v="-953.1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3"/>
    <s v="71400                   "/>
    <x v="1"/>
    <x v="2"/>
    <x v="59"/>
  </r>
  <r>
    <x v="18"/>
    <x v="18"/>
    <x v="2571"/>
    <x v="25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400                   "/>
    <x v="1"/>
    <x v="2"/>
    <x v="59"/>
  </r>
  <r>
    <x v="18"/>
    <x v="18"/>
    <x v="2571"/>
    <x v="25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400                   "/>
    <x v="1"/>
    <x v="2"/>
    <x v="59"/>
  </r>
  <r>
    <x v="18"/>
    <x v="18"/>
    <x v="2572"/>
    <x v="2578"/>
    <n v="0"/>
    <n v="0"/>
    <n v="0"/>
    <n v="0"/>
    <n v="0"/>
    <n v="0"/>
    <n v="0"/>
    <n v="0"/>
    <n v="0"/>
    <n v="0"/>
    <n v="0"/>
    <n v="0"/>
    <n v="11.15"/>
    <n v="11.15"/>
    <n v="794.28"/>
    <n v="10"/>
    <n v="10"/>
    <n v="10"/>
    <n v="10"/>
    <n v="319.73"/>
    <n v="10"/>
    <n v="190"/>
    <n v="10"/>
    <n v="10"/>
    <n v="1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63.33"/>
    <n v="263.33"/>
    <n v="263.33"/>
    <n v="263.33"/>
    <n v="263.33"/>
    <n v="263.33"/>
    <n v="263.33"/>
    <n v="263.33"/>
    <n v="263.33"/>
    <n v="263.33"/>
    <n v="263.33"/>
    <n v="263.33"/>
    <n v="11.15"/>
    <n v="10"/>
    <n v="970"/>
    <n v="10"/>
    <n v="10"/>
    <n v="10"/>
    <n v="10"/>
    <n v="320"/>
    <n v="10"/>
    <n v="10"/>
    <n v="10"/>
    <n v="10"/>
    <x v="1"/>
    <x v="3"/>
    <s v="71810                   "/>
    <x v="1"/>
    <x v="2"/>
    <x v="31"/>
  </r>
  <r>
    <x v="19"/>
    <x v="19"/>
    <x v="2573"/>
    <x v="2579"/>
    <n v="0"/>
    <n v="0"/>
    <n v="0"/>
    <n v="0"/>
    <n v="0"/>
    <n v="0"/>
    <n v="0"/>
    <n v="0"/>
    <n v="0"/>
    <n v="0"/>
    <n v="0"/>
    <n v="0"/>
    <n v="0"/>
    <n v="8045"/>
    <n v="0"/>
    <n v="0"/>
    <n v="-153.19999999999999"/>
    <n v="0"/>
    <n v="2484.39"/>
    <n v="0"/>
    <n v="-8569.3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25                   "/>
    <x v="1"/>
    <x v="2"/>
    <x v="62"/>
  </r>
  <r>
    <x v="19"/>
    <x v="19"/>
    <x v="2573"/>
    <x v="2579"/>
    <n v="0"/>
    <n v="0"/>
    <n v="0"/>
    <n v="0"/>
    <n v="0"/>
    <n v="0"/>
    <n v="0"/>
    <n v="0"/>
    <n v="0"/>
    <n v="0"/>
    <n v="0"/>
    <n v="0"/>
    <n v="163949.95000000001"/>
    <n v="0"/>
    <n v="-163949.95000000001"/>
    <n v="0"/>
    <n v="0"/>
    <n v="0"/>
    <n v="0"/>
    <n v="0"/>
    <n v="0.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25                   "/>
    <x v="1"/>
    <x v="2"/>
    <x v="62"/>
  </r>
  <r>
    <x v="19"/>
    <x v="19"/>
    <x v="2574"/>
    <x v="25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55                   "/>
    <x v="1"/>
    <x v="2"/>
    <x v="62"/>
  </r>
  <r>
    <x v="20"/>
    <x v="20"/>
    <x v="2575"/>
    <x v="2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000                   "/>
    <x v="0"/>
    <x v="3"/>
    <x v="63"/>
  </r>
  <r>
    <x v="20"/>
    <x v="20"/>
    <x v="2575"/>
    <x v="2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1"/>
    <s v="61000                   "/>
    <x v="0"/>
    <x v="3"/>
    <x v="63"/>
  </r>
  <r>
    <x v="20"/>
    <x v="20"/>
    <x v="2575"/>
    <x v="2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33.05000000000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3"/>
    <x v="63"/>
  </r>
  <r>
    <x v="20"/>
    <x v="20"/>
    <x v="2576"/>
    <x v="2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54.6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4"/>
    <x v="63"/>
  </r>
  <r>
    <x v="20"/>
    <x v="20"/>
    <x v="2577"/>
    <x v="2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11.0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0"/>
    <x v="63"/>
  </r>
  <r>
    <x v="20"/>
    <x v="20"/>
    <x v="2578"/>
    <x v="2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5"/>
    <x v="63"/>
  </r>
  <r>
    <x v="20"/>
    <x v="20"/>
    <x v="2579"/>
    <x v="2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6"/>
    <x v="63"/>
  </r>
  <r>
    <x v="20"/>
    <x v="20"/>
    <x v="2580"/>
    <x v="2586"/>
    <n v="0"/>
    <n v="0"/>
    <n v="0"/>
    <n v="0"/>
    <n v="0"/>
    <n v="0"/>
    <n v="0"/>
    <n v="0"/>
    <n v="0"/>
    <n v="0"/>
    <n v="0"/>
    <n v="0"/>
    <n v="0"/>
    <n v="0"/>
    <n v="0"/>
    <n v="0"/>
    <n v="-2460"/>
    <n v="2460"/>
    <n v="0"/>
    <n v="0"/>
    <n v="0"/>
    <n v="0"/>
    <n v="0"/>
    <n v="0"/>
    <n v="0"/>
    <n v="8966.299999999999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"/>
    <x v="63"/>
  </r>
  <r>
    <x v="20"/>
    <x v="20"/>
    <x v="2581"/>
    <x v="2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13.6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7"/>
    <x v="63"/>
  </r>
  <r>
    <x v="20"/>
    <x v="20"/>
    <x v="2582"/>
    <x v="2588"/>
    <n v="0"/>
    <n v="0"/>
    <n v="0"/>
    <n v="0"/>
    <n v="0"/>
    <n v="0"/>
    <n v="0"/>
    <n v="0"/>
    <n v="0"/>
    <n v="0"/>
    <n v="0"/>
    <n v="0"/>
    <n v="0"/>
    <n v="0"/>
    <n v="0"/>
    <n v="0"/>
    <n v="-960"/>
    <n v="960"/>
    <n v="0"/>
    <n v="0"/>
    <n v="0"/>
    <n v="0"/>
    <n v="0"/>
    <n v="0"/>
    <n v="0"/>
    <n v="26820.4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8"/>
    <x v="63"/>
  </r>
  <r>
    <x v="20"/>
    <x v="20"/>
    <x v="2583"/>
    <x v="2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3.3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9"/>
    <x v="63"/>
  </r>
  <r>
    <x v="20"/>
    <x v="20"/>
    <x v="2584"/>
    <x v="2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-0.01"/>
    <n v="0"/>
    <n v="0"/>
    <n v="0"/>
    <n v="0"/>
    <n v="779.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0"/>
    <x v="63"/>
  </r>
  <r>
    <x v="20"/>
    <x v="20"/>
    <x v="2585"/>
    <x v="2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29.799999999999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1"/>
    <x v="63"/>
  </r>
  <r>
    <x v="20"/>
    <x v="20"/>
    <x v="2586"/>
    <x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871.9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2"/>
    <x v="63"/>
  </r>
  <r>
    <x v="20"/>
    <x v="20"/>
    <x v="2587"/>
    <x v="2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7.7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3"/>
    <x v="63"/>
  </r>
  <r>
    <x v="20"/>
    <x v="20"/>
    <x v="2588"/>
    <x v="2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65.3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4"/>
    <x v="63"/>
  </r>
  <r>
    <x v="20"/>
    <x v="20"/>
    <x v="2589"/>
    <x v="2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3.1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5"/>
    <x v="63"/>
  </r>
  <r>
    <x v="20"/>
    <x v="20"/>
    <x v="2590"/>
    <x v="2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.2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6"/>
    <x v="63"/>
  </r>
  <r>
    <x v="20"/>
    <x v="20"/>
    <x v="2591"/>
    <x v="2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4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7"/>
    <x v="63"/>
  </r>
  <r>
    <x v="20"/>
    <x v="20"/>
    <x v="2592"/>
    <x v="2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000                   "/>
    <x v="0"/>
    <x v="18"/>
    <x v="63"/>
  </r>
  <r>
    <x v="20"/>
    <x v="20"/>
    <x v="2593"/>
    <x v="2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1"/>
    <s v="61160                   "/>
    <x v="25"/>
    <x v="2"/>
    <x v="29"/>
  </r>
  <r>
    <x v="20"/>
    <x v="20"/>
    <x v="2593"/>
    <x v="2599"/>
    <n v="50351.25"/>
    <n v="38088.660000000003"/>
    <n v="19011.5"/>
    <n v="24743.47"/>
    <n v="18441.330000000002"/>
    <n v="24170.91"/>
    <n v="14765.08"/>
    <n v="14016.3"/>
    <n v="24814.28"/>
    <n v="94621.78"/>
    <n v="-3358.24"/>
    <n v="194605.06"/>
    <n v="185.55"/>
    <n v="0"/>
    <n v="142200.04999999999"/>
    <n v="17796.330000000002"/>
    <n v="254136.57"/>
    <n v="36368.129999999997"/>
    <n v="14284.12"/>
    <n v="145255.57999999999"/>
    <n v="2214.89"/>
    <n v="169558.59"/>
    <n v="81979.87"/>
    <n v="354553.09"/>
    <n v="7337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0395.83"/>
    <n v="100995.83"/>
    <n v="10395.83"/>
    <n v="10395.83"/>
    <n v="10395.83"/>
    <n v="10395.83"/>
    <n v="10395.83"/>
    <n v="10395.83"/>
    <n v="10395.83"/>
    <n v="10395.83"/>
    <n v="10395.83"/>
    <n v="250395.83"/>
    <n v="13014"/>
    <n v="8722"/>
    <n v="8722"/>
    <n v="2670"/>
    <n v="18710"/>
    <n v="1424"/>
    <n v="9576.4"/>
    <n v="5874"/>
    <n v="8722"/>
    <n v="8722"/>
    <n v="227670"/>
    <n v="7120"/>
    <x v="2"/>
    <x v="1"/>
    <s v="61160                   "/>
    <x v="25"/>
    <x v="2"/>
    <x v="29"/>
  </r>
  <r>
    <x v="20"/>
    <x v="20"/>
    <x v="2594"/>
    <x v="2600"/>
    <n v="0"/>
    <n v="0"/>
    <n v="0"/>
    <n v="0"/>
    <n v="0"/>
    <n v="0"/>
    <n v="0"/>
    <n v="0"/>
    <n v="0"/>
    <n v="0"/>
    <n v="0"/>
    <n v="0"/>
    <n v="0"/>
    <n v="0"/>
    <n v="0"/>
    <n v="0"/>
    <n v="0"/>
    <n v="16202"/>
    <n v="27627.38"/>
    <n v="0"/>
    <n v="12561.62"/>
    <n v="0"/>
    <n v="0"/>
    <n v="-25342"/>
    <n v="-563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97.660000000003"/>
    <n v="0"/>
    <n v="0"/>
    <n v="0"/>
    <n v="0"/>
    <n v="0"/>
    <n v="0"/>
    <n v="0"/>
    <n v="0"/>
    <n v="0"/>
    <n v="0"/>
    <n v="0"/>
    <n v="50000"/>
    <n v="0"/>
    <n v="0"/>
    <n v="0"/>
    <n v="0"/>
    <n v="0"/>
    <x v="3"/>
    <x v="1"/>
    <s v="61160                   "/>
    <x v="26"/>
    <x v="2"/>
    <x v="64"/>
  </r>
  <r>
    <x v="20"/>
    <x v="20"/>
    <x v="2594"/>
    <x v="2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15.2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60                   "/>
    <x v="26"/>
    <x v="2"/>
    <x v="64"/>
  </r>
  <r>
    <x v="20"/>
    <x v="20"/>
    <x v="2595"/>
    <x v="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70                   "/>
    <x v="25"/>
    <x v="2"/>
    <x v="29"/>
  </r>
  <r>
    <x v="20"/>
    <x v="20"/>
    <x v="2596"/>
    <x v="2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09.06"/>
    <n v="0"/>
    <n v="0"/>
    <n v="7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70                   "/>
    <x v="0"/>
    <x v="2"/>
    <x v="30"/>
  </r>
  <r>
    <x v="20"/>
    <x v="20"/>
    <x v="2597"/>
    <x v="2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190                   "/>
    <x v="25"/>
    <x v="2"/>
    <x v="29"/>
  </r>
  <r>
    <x v="20"/>
    <x v="20"/>
    <x v="2598"/>
    <x v="2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10                   "/>
    <x v="20"/>
    <x v="2"/>
    <x v="24"/>
  </r>
  <r>
    <x v="20"/>
    <x v="20"/>
    <x v="2599"/>
    <x v="2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20                   "/>
    <x v="20"/>
    <x v="2"/>
    <x v="24"/>
  </r>
  <r>
    <x v="20"/>
    <x v="20"/>
    <x v="2600"/>
    <x v="2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30                   "/>
    <x v="20"/>
    <x v="2"/>
    <x v="24"/>
  </r>
  <r>
    <x v="20"/>
    <x v="20"/>
    <x v="2601"/>
    <x v="2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4315.92"/>
    <n v="0"/>
    <n v="0"/>
    <n v="0"/>
    <n v="0"/>
    <n v="77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40                   "/>
    <x v="0"/>
    <x v="2"/>
    <x v="30"/>
  </r>
  <r>
    <x v="20"/>
    <x v="20"/>
    <x v="2602"/>
    <x v="2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40                   "/>
    <x v="20"/>
    <x v="2"/>
    <x v="65"/>
  </r>
  <r>
    <x v="20"/>
    <x v="20"/>
    <x v="2603"/>
    <x v="2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290                   "/>
    <x v="28"/>
    <x v="2"/>
    <x v="30"/>
  </r>
  <r>
    <x v="20"/>
    <x v="20"/>
    <x v="2604"/>
    <x v="2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00                   "/>
    <x v="28"/>
    <x v="2"/>
    <x v="30"/>
  </r>
  <r>
    <x v="20"/>
    <x v="20"/>
    <x v="2605"/>
    <x v="2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10                   "/>
    <x v="28"/>
    <x v="2"/>
    <x v="30"/>
  </r>
  <r>
    <x v="20"/>
    <x v="20"/>
    <x v="2606"/>
    <x v="2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30                   "/>
    <x v="28"/>
    <x v="2"/>
    <x v="30"/>
  </r>
  <r>
    <x v="20"/>
    <x v="20"/>
    <x v="2607"/>
    <x v="2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6000000000000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40                   "/>
    <x v="28"/>
    <x v="2"/>
    <x v="30"/>
  </r>
  <r>
    <x v="20"/>
    <x v="20"/>
    <x v="2608"/>
    <x v="2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50                   "/>
    <x v="28"/>
    <x v="2"/>
    <x v="30"/>
  </r>
  <r>
    <x v="20"/>
    <x v="20"/>
    <x v="2609"/>
    <x v="2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370                   "/>
    <x v="28"/>
    <x v="2"/>
    <x v="30"/>
  </r>
  <r>
    <x v="20"/>
    <x v="20"/>
    <x v="2610"/>
    <x v="2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400                   "/>
    <x v="28"/>
    <x v="2"/>
    <x v="30"/>
  </r>
  <r>
    <x v="20"/>
    <x v="20"/>
    <x v="2611"/>
    <x v="26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00                   "/>
    <x v="27"/>
    <x v="2"/>
    <x v="28"/>
  </r>
  <r>
    <x v="20"/>
    <x v="20"/>
    <x v="2612"/>
    <x v="26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10                   "/>
    <x v="27"/>
    <x v="2"/>
    <x v="28"/>
  </r>
  <r>
    <x v="20"/>
    <x v="20"/>
    <x v="2613"/>
    <x v="2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20                   "/>
    <x v="27"/>
    <x v="2"/>
    <x v="28"/>
  </r>
  <r>
    <x v="20"/>
    <x v="20"/>
    <x v="2614"/>
    <x v="2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30                   "/>
    <x v="27"/>
    <x v="2"/>
    <x v="28"/>
  </r>
  <r>
    <x v="20"/>
    <x v="20"/>
    <x v="2615"/>
    <x v="2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40                   "/>
    <x v="27"/>
    <x v="2"/>
    <x v="28"/>
  </r>
  <r>
    <x v="20"/>
    <x v="20"/>
    <x v="2616"/>
    <x v="2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50                   "/>
    <x v="27"/>
    <x v="2"/>
    <x v="28"/>
  </r>
  <r>
    <x v="20"/>
    <x v="20"/>
    <x v="2617"/>
    <x v="2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60                   "/>
    <x v="27"/>
    <x v="2"/>
    <x v="28"/>
  </r>
  <r>
    <x v="20"/>
    <x v="20"/>
    <x v="2618"/>
    <x v="2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70                   "/>
    <x v="27"/>
    <x v="2"/>
    <x v="28"/>
  </r>
  <r>
    <x v="20"/>
    <x v="20"/>
    <x v="2619"/>
    <x v="2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61580                   "/>
    <x v="27"/>
    <x v="2"/>
    <x v="28"/>
  </r>
  <r>
    <x v="20"/>
    <x v="20"/>
    <x v="2620"/>
    <x v="2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1"/>
    <s v="71240                   "/>
    <x v="1"/>
    <x v="2"/>
    <x v="52"/>
  </r>
  <r>
    <x v="21"/>
    <x v="21"/>
    <x v="2621"/>
    <x v="2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00                   "/>
    <x v="1"/>
    <x v="2"/>
    <x v="65"/>
  </r>
  <r>
    <x v="21"/>
    <x v="21"/>
    <x v="2621"/>
    <x v="2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00                   "/>
    <x v="1"/>
    <x v="2"/>
    <x v="65"/>
  </r>
  <r>
    <x v="21"/>
    <x v="21"/>
    <x v="2622"/>
    <x v="2628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343.55"/>
    <n v="515.32000000000005"/>
    <n v="515.32000000000005"/>
    <n v="515.32000000000005"/>
    <n v="515.32000000000005"/>
    <n v="515.32000000000005"/>
    <n v="515.32000000000005"/>
    <n v="515.32000000000005"/>
    <n v="515.3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572.58000000000004"/>
    <n v="463.79"/>
    <n v="463.79"/>
    <n v="463.79"/>
    <n v="463.79"/>
    <n v="463.79"/>
    <n v="463.79"/>
    <n v="463.79"/>
    <n v="463.79"/>
    <n v="463.79"/>
    <n v="463.79"/>
    <n v="463.79"/>
    <n v="463.79"/>
    <x v="2"/>
    <x v="7"/>
    <s v="91105                   "/>
    <x v="1"/>
    <x v="2"/>
    <x v="65"/>
  </r>
  <r>
    <x v="21"/>
    <x v="21"/>
    <x v="2623"/>
    <x v="2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.7"/>
    <n v="106.81"/>
    <n v="106.81"/>
    <n v="106.81"/>
    <n v="106.81"/>
    <n v="106.8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.27"/>
    <n v="192.27"/>
    <n v="192.27"/>
    <n v="192.27"/>
    <n v="192.27"/>
    <n v="192.27"/>
    <n v="192.27"/>
    <n v="192.27"/>
    <n v="192.27"/>
    <n v="192.27"/>
    <n v="192.27"/>
    <n v="192.27"/>
    <x v="2"/>
    <x v="7"/>
    <s v="91106                   "/>
    <x v="1"/>
    <x v="2"/>
    <x v="65"/>
  </r>
  <r>
    <x v="21"/>
    <x v="21"/>
    <x v="2624"/>
    <x v="2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08                   "/>
    <x v="1"/>
    <x v="2"/>
    <x v="65"/>
  </r>
  <r>
    <x v="21"/>
    <x v="21"/>
    <x v="2625"/>
    <x v="2631"/>
    <n v="2.37"/>
    <n v="2.37"/>
    <n v="2.37"/>
    <n v="2.36"/>
    <n v="2.37"/>
    <n v="2.36"/>
    <n v="2.36"/>
    <n v="2.36"/>
    <n v="2.36"/>
    <n v="2.36"/>
    <n v="2.36"/>
    <n v="2.36"/>
    <n v="2.77"/>
    <n v="2.36"/>
    <n v="2.35"/>
    <n v="0.09"/>
    <n v="1.89"/>
    <n v="1.89"/>
    <n v="2.33"/>
    <n v="1.89"/>
    <n v="1.89"/>
    <n v="1.89"/>
    <n v="1.89"/>
    <n v="1.91"/>
    <n v="-0.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.37"/>
    <n v="2.37"/>
    <n v="2.37"/>
    <n v="2.36"/>
    <n v="2.37"/>
    <n v="2.37"/>
    <n v="2.37"/>
    <n v="2.37"/>
    <n v="2.36"/>
    <n v="2.36"/>
    <n v="2.36"/>
    <n v="2.36"/>
    <n v="1.51"/>
    <n v="1.51"/>
    <n v="1.51"/>
    <n v="1.51"/>
    <n v="1.51"/>
    <n v="1.51"/>
    <n v="1.51"/>
    <n v="1.51"/>
    <n v="1.51"/>
    <n v="1.51"/>
    <n v="1.51"/>
    <n v="1.51"/>
    <x v="2"/>
    <x v="7"/>
    <s v="91110                   "/>
    <x v="1"/>
    <x v="2"/>
    <x v="65"/>
  </r>
  <r>
    <x v="21"/>
    <x v="21"/>
    <x v="2626"/>
    <x v="2631"/>
    <n v="0"/>
    <n v="0"/>
    <n v="0"/>
    <n v="0"/>
    <n v="0"/>
    <n v="0"/>
    <n v="0"/>
    <n v="0"/>
    <n v="0"/>
    <n v="0"/>
    <n v="0"/>
    <n v="0"/>
    <n v="0"/>
    <n v="0"/>
    <n v="0"/>
    <n v="684.22"/>
    <n v="171.05"/>
    <n v="171.05"/>
    <n v="171.05"/>
    <n v="171.05"/>
    <n v="171.05"/>
    <n v="171.05"/>
    <n v="171.05"/>
    <n v="171.0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0.06"/>
    <n v="190.06"/>
    <n v="190.06"/>
    <n v="190.06"/>
    <n v="190.06"/>
    <n v="190.06"/>
    <n v="190.06"/>
    <n v="190.06"/>
    <n v="190.06"/>
    <n v="190.06"/>
    <n v="190.06"/>
    <n v="190.06"/>
    <n v="153.94999999999999"/>
    <n v="153.94999999999999"/>
    <n v="153.94999999999999"/>
    <n v="153.94999999999999"/>
    <n v="153.94999999999999"/>
    <n v="153.94999999999999"/>
    <n v="153.94999999999999"/>
    <n v="153.94999999999999"/>
    <n v="153.94999999999999"/>
    <n v="153.94999999999999"/>
    <n v="153.94999999999999"/>
    <n v="153.94999999999999"/>
    <x v="2"/>
    <x v="7"/>
    <s v="91110                   "/>
    <x v="27"/>
    <x v="2"/>
    <x v="65"/>
  </r>
  <r>
    <x v="21"/>
    <x v="21"/>
    <x v="2627"/>
    <x v="2632"/>
    <n v="42.32"/>
    <n v="42.32"/>
    <n v="42.32"/>
    <n v="42.32"/>
    <n v="42.32"/>
    <n v="42.32"/>
    <n v="42.32"/>
    <n v="42.32"/>
    <n v="42.32"/>
    <n v="42.32"/>
    <n v="42.32"/>
    <n v="42.32"/>
    <n v="42.32"/>
    <n v="42.32"/>
    <n v="42.32"/>
    <n v="8.4600000000000009"/>
    <n v="33.86"/>
    <n v="33.86"/>
    <n v="33.86"/>
    <n v="33.86"/>
    <n v="33.86"/>
    <n v="33.86"/>
    <n v="33.86"/>
    <n v="33.8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2.32"/>
    <n v="42.32"/>
    <n v="42.32"/>
    <n v="42.32"/>
    <n v="42.32"/>
    <n v="42.32"/>
    <n v="42.32"/>
    <n v="42.32"/>
    <n v="42.32"/>
    <n v="42.32"/>
    <n v="42.32"/>
    <n v="42.32"/>
    <n v="27.08"/>
    <n v="27.08"/>
    <n v="27.08"/>
    <n v="27.08"/>
    <n v="27.08"/>
    <n v="27.08"/>
    <n v="27.08"/>
    <n v="27.08"/>
    <n v="27.08"/>
    <n v="27.08"/>
    <n v="27.08"/>
    <n v="27.08"/>
    <x v="2"/>
    <x v="7"/>
    <s v="91115                   "/>
    <x v="1"/>
    <x v="2"/>
    <x v="65"/>
  </r>
  <r>
    <x v="21"/>
    <x v="21"/>
    <x v="2628"/>
    <x v="2633"/>
    <n v="12.97"/>
    <n v="12.97"/>
    <n v="12.97"/>
    <n v="12.97"/>
    <n v="12.97"/>
    <n v="12.97"/>
    <n v="12.97"/>
    <n v="12.97"/>
    <n v="12.97"/>
    <n v="12.97"/>
    <n v="12.97"/>
    <n v="12.97"/>
    <n v="12.97"/>
    <n v="12.97"/>
    <n v="12.97"/>
    <n v="0"/>
    <n v="9.73"/>
    <n v="9.73"/>
    <n v="9.73"/>
    <n v="9.73"/>
    <n v="9.73"/>
    <n v="9.73"/>
    <n v="9.73"/>
    <n v="9.699999999999999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.97"/>
    <n v="12.97"/>
    <n v="12.97"/>
    <n v="12.97"/>
    <n v="12.97"/>
    <n v="12.97"/>
    <n v="12.97"/>
    <n v="12.97"/>
    <n v="12.97"/>
    <n v="12.97"/>
    <n v="12.97"/>
    <n v="12.97"/>
    <n v="7.29"/>
    <n v="7.29"/>
    <n v="7.29"/>
    <n v="7.29"/>
    <n v="7.29"/>
    <n v="7.29"/>
    <n v="7.29"/>
    <n v="7.29"/>
    <n v="7.29"/>
    <n v="7.29"/>
    <n v="7.29"/>
    <n v="7.29"/>
    <x v="2"/>
    <x v="7"/>
    <s v="91120                   "/>
    <x v="1"/>
    <x v="2"/>
    <x v="65"/>
  </r>
  <r>
    <x v="21"/>
    <x v="21"/>
    <x v="2629"/>
    <x v="2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25                   "/>
    <x v="1"/>
    <x v="2"/>
    <x v="65"/>
  </r>
  <r>
    <x v="21"/>
    <x v="21"/>
    <x v="2630"/>
    <x v="2634"/>
    <n v="0"/>
    <n v="0"/>
    <n v="0"/>
    <n v="0"/>
    <n v="0"/>
    <n v="0"/>
    <n v="0"/>
    <n v="0"/>
    <n v="0"/>
    <n v="0"/>
    <n v="0"/>
    <n v="0"/>
    <n v="0"/>
    <n v="0"/>
    <n v="0"/>
    <n v="32.65"/>
    <n v="8.16"/>
    <n v="8.16"/>
    <n v="8.16"/>
    <n v="8.16"/>
    <n v="8.16"/>
    <n v="8.16"/>
    <n v="8.16"/>
    <n v="8.1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1.66"/>
    <n v="11.66"/>
    <n v="11.66"/>
    <n v="11.66"/>
    <n v="11.66"/>
    <n v="11.66"/>
    <n v="11.66"/>
    <n v="11.66"/>
    <n v="11.66"/>
    <n v="11.66"/>
    <n v="11.66"/>
    <n v="11.66"/>
    <n v="5.71"/>
    <n v="5.71"/>
    <n v="5.71"/>
    <n v="5.71"/>
    <n v="5.71"/>
    <n v="5.71"/>
    <n v="5.71"/>
    <n v="5.71"/>
    <n v="5.71"/>
    <n v="5.71"/>
    <n v="5.71"/>
    <n v="5.71"/>
    <x v="2"/>
    <x v="7"/>
    <s v="91125                   "/>
    <x v="27"/>
    <x v="2"/>
    <x v="65"/>
  </r>
  <r>
    <x v="21"/>
    <x v="21"/>
    <x v="2631"/>
    <x v="2635"/>
    <n v="0"/>
    <n v="0"/>
    <n v="0"/>
    <n v="0"/>
    <n v="0"/>
    <n v="0"/>
    <n v="0"/>
    <n v="0"/>
    <n v="0"/>
    <n v="0"/>
    <n v="0"/>
    <n v="0"/>
    <n v="486.89"/>
    <n v="486.89"/>
    <n v="486.89"/>
    <n v="-239.68"/>
    <n v="305.25"/>
    <n v="305.25"/>
    <n v="305.25"/>
    <n v="305.25"/>
    <n v="305.25"/>
    <n v="0"/>
    <n v="610.5"/>
    <n v="305.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63.2"/>
    <n v="486.89"/>
    <n v="486.89"/>
    <n v="486.89"/>
    <n v="486.89"/>
    <n v="486.89"/>
    <n v="486.89"/>
    <n v="486.89"/>
    <n v="486.89"/>
    <n v="649.17999999999995"/>
    <n v="486.89"/>
    <n v="486.89"/>
    <n v="137.36000000000001"/>
    <n v="137.36000000000001"/>
    <n v="137.36000000000001"/>
    <n v="137.36000000000001"/>
    <n v="137.36000000000001"/>
    <n v="137.36000000000001"/>
    <n v="137.36000000000001"/>
    <n v="137.36000000000001"/>
    <n v="137.36000000000001"/>
    <n v="137.36000000000001"/>
    <n v="137.36000000000001"/>
    <n v="137.36000000000001"/>
    <x v="1"/>
    <x v="7"/>
    <s v="91130                   "/>
    <x v="1"/>
    <x v="2"/>
    <x v="65"/>
  </r>
  <r>
    <x v="21"/>
    <x v="21"/>
    <x v="2631"/>
    <x v="2635"/>
    <n v="42.34"/>
    <n v="42.34"/>
    <n v="42.34"/>
    <n v="42.35"/>
    <n v="42.34"/>
    <n v="42.35"/>
    <n v="42.35"/>
    <n v="42.35"/>
    <n v="42.35"/>
    <n v="0"/>
    <n v="42.35"/>
    <n v="42.35"/>
    <n v="293.45999999999998"/>
    <n v="293.45999999999998"/>
    <n v="293.45999999999998"/>
    <n v="562.12"/>
    <n v="360.62"/>
    <n v="360.62"/>
    <n v="2435.27"/>
    <n v="645.09"/>
    <n v="645.09"/>
    <n v="683.95"/>
    <n v="648.98"/>
    <n v="863.2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2.34"/>
    <n v="42.34"/>
    <n v="42.34"/>
    <n v="42.35"/>
    <n v="42.34"/>
    <n v="42.34"/>
    <n v="42.34"/>
    <n v="42.34"/>
    <n v="42.35"/>
    <n v="0"/>
    <n v="42.35"/>
    <n v="42.35"/>
    <n v="378.04"/>
    <n v="378.04"/>
    <n v="378.04"/>
    <n v="378.04"/>
    <n v="378.04"/>
    <n v="378.04"/>
    <n v="378.04"/>
    <n v="378.04"/>
    <n v="378.04"/>
    <n v="378.04"/>
    <n v="378.04"/>
    <n v="378.04"/>
    <x v="2"/>
    <x v="7"/>
    <s v="91130                   "/>
    <x v="1"/>
    <x v="2"/>
    <x v="65"/>
  </r>
  <r>
    <x v="21"/>
    <x v="21"/>
    <x v="2632"/>
    <x v="2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.95"/>
    <n v="0"/>
    <n v="83.76"/>
    <n v="4491.890000000000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35                   "/>
    <x v="1"/>
    <x v="2"/>
    <x v="65"/>
  </r>
  <r>
    <x v="21"/>
    <x v="21"/>
    <x v="2632"/>
    <x v="2636"/>
    <n v="0"/>
    <n v="0"/>
    <n v="0"/>
    <n v="0"/>
    <n v="0"/>
    <n v="0"/>
    <n v="0"/>
    <n v="0"/>
    <n v="0"/>
    <n v="0"/>
    <n v="0"/>
    <n v="0"/>
    <n v="0"/>
    <n v="0"/>
    <n v="0"/>
    <n v="98.56"/>
    <n v="24.64"/>
    <n v="24.64"/>
    <n v="1567.66"/>
    <n v="245.07"/>
    <n v="245.07"/>
    <n v="245.07"/>
    <n v="245.07"/>
    <n v="245.0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5.79"/>
    <n v="445.79"/>
    <n v="445.79"/>
    <n v="445.79"/>
    <n v="445.79"/>
    <n v="445.79"/>
    <n v="445.79"/>
    <n v="445.79"/>
    <n v="445.79"/>
    <n v="445.79"/>
    <n v="445.79"/>
    <n v="445.79"/>
    <x v="2"/>
    <x v="7"/>
    <s v="91135                   "/>
    <x v="1"/>
    <x v="2"/>
    <x v="65"/>
  </r>
  <r>
    <x v="21"/>
    <x v="21"/>
    <x v="2633"/>
    <x v="2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40                   "/>
    <x v="1"/>
    <x v="2"/>
    <x v="65"/>
  </r>
  <r>
    <x v="21"/>
    <x v="21"/>
    <x v="2634"/>
    <x v="2638"/>
    <n v="5.46"/>
    <n v="5.46"/>
    <n v="5.46"/>
    <n v="5.46"/>
    <n v="5.47"/>
    <n v="5.46"/>
    <n v="5.46"/>
    <n v="5.46"/>
    <n v="5.46"/>
    <n v="5.46"/>
    <n v="5.46"/>
    <n v="5.46"/>
    <n v="5.46"/>
    <n v="5.46"/>
    <n v="5.46"/>
    <n v="3.29"/>
    <n v="4.92"/>
    <n v="4.92"/>
    <n v="4.92"/>
    <n v="4.92"/>
    <n v="4.92"/>
    <n v="4.92"/>
    <n v="4.92"/>
    <n v="4.900000000000000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.46"/>
    <n v="5.46"/>
    <n v="5.46"/>
    <n v="5.46"/>
    <n v="5.47"/>
    <n v="5.47"/>
    <n v="5.47"/>
    <n v="5.47"/>
    <n v="5.46"/>
    <n v="5.46"/>
    <n v="5.46"/>
    <n v="5.46"/>
    <n v="4.43"/>
    <n v="4.43"/>
    <n v="4.43"/>
    <n v="4.43"/>
    <n v="4.43"/>
    <n v="4.43"/>
    <n v="4.43"/>
    <n v="4.43"/>
    <n v="4.43"/>
    <n v="4.43"/>
    <n v="4.43"/>
    <n v="4.43"/>
    <x v="2"/>
    <x v="7"/>
    <s v="91145                   "/>
    <x v="1"/>
    <x v="2"/>
    <x v="65"/>
  </r>
  <r>
    <x v="21"/>
    <x v="21"/>
    <x v="2635"/>
    <x v="2638"/>
    <n v="0"/>
    <n v="0"/>
    <n v="0"/>
    <n v="0"/>
    <n v="0"/>
    <n v="0"/>
    <n v="0"/>
    <n v="0"/>
    <n v="0"/>
    <n v="0"/>
    <n v="0"/>
    <n v="0"/>
    <n v="0"/>
    <n v="0"/>
    <n v="0"/>
    <n v="805.06"/>
    <n v="201.26"/>
    <n v="201.26"/>
    <n v="201.26"/>
    <n v="201.26"/>
    <n v="201.26"/>
    <n v="207.98"/>
    <n v="201.26"/>
    <n v="201.2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23.63"/>
    <n v="223.63"/>
    <n v="223.63"/>
    <n v="223.63"/>
    <n v="223.63"/>
    <n v="223.63"/>
    <n v="223.63"/>
    <n v="223.63"/>
    <n v="223.63"/>
    <n v="223.63"/>
    <n v="223.63"/>
    <n v="223.63"/>
    <n v="181.14"/>
    <n v="181.14"/>
    <n v="181.14"/>
    <n v="181.14"/>
    <n v="181.14"/>
    <n v="181.14"/>
    <n v="181.14"/>
    <n v="181.14"/>
    <n v="181.14"/>
    <n v="181.14"/>
    <n v="181.14"/>
    <n v="181.14"/>
    <x v="2"/>
    <x v="7"/>
    <s v="91145                   "/>
    <x v="27"/>
    <x v="2"/>
    <x v="65"/>
  </r>
  <r>
    <x v="21"/>
    <x v="21"/>
    <x v="2636"/>
    <x v="2639"/>
    <n v="3.74"/>
    <n v="3.73"/>
    <n v="3.74"/>
    <n v="3.73"/>
    <n v="3.74"/>
    <n v="3.73"/>
    <n v="3.73"/>
    <n v="3.73"/>
    <n v="3.73"/>
    <n v="3.73"/>
    <n v="3.73"/>
    <n v="3.73"/>
    <n v="3.73"/>
    <n v="3.73"/>
    <n v="3.73"/>
    <n v="2.2599999999999998"/>
    <n v="3.36"/>
    <n v="3.36"/>
    <n v="3.36"/>
    <n v="3.36"/>
    <n v="3.36"/>
    <n v="3.36"/>
    <n v="3.36"/>
    <n v="3.3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.74"/>
    <n v="3.73"/>
    <n v="3.74"/>
    <n v="3.73"/>
    <n v="3.74"/>
    <n v="3.74"/>
    <n v="3.74"/>
    <n v="3.74"/>
    <n v="3.73"/>
    <n v="3.73"/>
    <n v="3.73"/>
    <n v="3.73"/>
    <n v="3.03"/>
    <n v="3.03"/>
    <n v="3.03"/>
    <n v="3.03"/>
    <n v="3.03"/>
    <n v="3.03"/>
    <n v="3.03"/>
    <n v="3.03"/>
    <n v="3.03"/>
    <n v="3.03"/>
    <n v="3.03"/>
    <n v="3.03"/>
    <x v="2"/>
    <x v="7"/>
    <s v="91150                   "/>
    <x v="1"/>
    <x v="2"/>
    <x v="65"/>
  </r>
  <r>
    <x v="21"/>
    <x v="21"/>
    <x v="2637"/>
    <x v="2640"/>
    <n v="30204.14"/>
    <n v="30255.68"/>
    <n v="30255.68"/>
    <n v="30255.68"/>
    <n v="30255.68"/>
    <n v="30255.68"/>
    <n v="30302.18"/>
    <n v="30209.18"/>
    <n v="30325.439999999999"/>
    <n v="30325.43"/>
    <n v="30325.439999999999"/>
    <n v="30325.439999999999"/>
    <n v="30325.439999999999"/>
    <n v="30325.439999999999"/>
    <n v="30325.439999999999"/>
    <n v="18385.14"/>
    <n v="27340.36"/>
    <n v="27340.36"/>
    <n v="28530.09"/>
    <n v="27602.01"/>
    <n v="27611.88"/>
    <n v="27531.8"/>
    <n v="27531.8"/>
    <n v="27531.7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0204.14"/>
    <n v="30255.68"/>
    <n v="30255.68"/>
    <n v="30255.68"/>
    <n v="30255.68"/>
    <n v="30255.68"/>
    <n v="30255.68"/>
    <n v="30255.68"/>
    <n v="30325.439999999999"/>
    <n v="30325.439999999999"/>
    <n v="30325.439999999999"/>
    <n v="30325.439999999999"/>
    <n v="24784.92"/>
    <n v="24784.92"/>
    <n v="24784.92"/>
    <n v="24784.92"/>
    <n v="24784.92"/>
    <n v="24784.92"/>
    <n v="24784.92"/>
    <n v="24784.92"/>
    <n v="24784.92"/>
    <n v="24784.92"/>
    <n v="24784.92"/>
    <n v="24784.92"/>
    <x v="2"/>
    <x v="7"/>
    <s v="91155                   "/>
    <x v="1"/>
    <x v="2"/>
    <x v="65"/>
  </r>
  <r>
    <x v="21"/>
    <x v="21"/>
    <x v="2638"/>
    <x v="2640"/>
    <n v="0"/>
    <n v="0"/>
    <n v="0"/>
    <n v="0"/>
    <n v="0"/>
    <n v="0"/>
    <n v="0"/>
    <n v="0"/>
    <n v="0"/>
    <n v="0"/>
    <n v="0"/>
    <n v="0"/>
    <n v="0"/>
    <n v="0"/>
    <n v="0"/>
    <n v="26.98"/>
    <n v="6.75"/>
    <n v="6.75"/>
    <n v="6.75"/>
    <n v="6.75"/>
    <n v="6.75"/>
    <n v="602.09"/>
    <n v="66.95"/>
    <n v="66.9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.43"/>
    <n v="8.43"/>
    <n v="8.43"/>
    <n v="8.43"/>
    <n v="8.43"/>
    <n v="8.43"/>
    <n v="8.43"/>
    <n v="8.43"/>
    <n v="8.43"/>
    <n v="8.43"/>
    <n v="8.43"/>
    <n v="8.43"/>
    <n v="5.4"/>
    <n v="5.4"/>
    <n v="5.4"/>
    <n v="5.4"/>
    <n v="5.4"/>
    <n v="5.4"/>
    <n v="5.4"/>
    <n v="5.4"/>
    <n v="5.4"/>
    <n v="5.4"/>
    <n v="5.4"/>
    <n v="5.4"/>
    <x v="2"/>
    <x v="7"/>
    <s v="91155                   "/>
    <x v="27"/>
    <x v="2"/>
    <x v="65"/>
  </r>
  <r>
    <x v="21"/>
    <x v="21"/>
    <x v="2639"/>
    <x v="2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60                   "/>
    <x v="1"/>
    <x v="2"/>
    <x v="65"/>
  </r>
  <r>
    <x v="21"/>
    <x v="21"/>
    <x v="2639"/>
    <x v="2641"/>
    <n v="20.94"/>
    <n v="20.94"/>
    <n v="20.94"/>
    <n v="20.94"/>
    <n v="20.94"/>
    <n v="20.94"/>
    <n v="20.94"/>
    <n v="20.94"/>
    <n v="20.93"/>
    <n v="20.93"/>
    <n v="20.93"/>
    <n v="20.93"/>
    <n v="20.93"/>
    <n v="20.93"/>
    <n v="20.93"/>
    <n v="4.21"/>
    <n v="16.75"/>
    <n v="16.75"/>
    <n v="16.75"/>
    <n v="16.75"/>
    <n v="16.75"/>
    <n v="16.75"/>
    <n v="16.75"/>
    <n v="16.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0.94"/>
    <n v="20.94"/>
    <n v="20.94"/>
    <n v="20.94"/>
    <n v="20.94"/>
    <n v="20.94"/>
    <n v="20.94"/>
    <n v="20.94"/>
    <n v="20.93"/>
    <n v="20.93"/>
    <n v="20.93"/>
    <n v="20.93"/>
    <n v="13.4"/>
    <n v="13.4"/>
    <n v="13.4"/>
    <n v="13.4"/>
    <n v="13.4"/>
    <n v="13.4"/>
    <n v="13.4"/>
    <n v="13.4"/>
    <n v="13.4"/>
    <n v="13.4"/>
    <n v="13.4"/>
    <n v="13.4"/>
    <x v="2"/>
    <x v="7"/>
    <s v="91160                   "/>
    <x v="1"/>
    <x v="2"/>
    <x v="65"/>
  </r>
  <r>
    <x v="21"/>
    <x v="21"/>
    <x v="2640"/>
    <x v="2642"/>
    <n v="0"/>
    <n v="0"/>
    <n v="0"/>
    <n v="0"/>
    <n v="0"/>
    <n v="0"/>
    <n v="0"/>
    <n v="0"/>
    <n v="0"/>
    <n v="0"/>
    <n v="0"/>
    <n v="0"/>
    <n v="38.14"/>
    <n v="38.14"/>
    <n v="38.14"/>
    <n v="6.76"/>
    <n v="30.3"/>
    <n v="30.3"/>
    <n v="30.3"/>
    <n v="30.3"/>
    <n v="30.3"/>
    <n v="0"/>
    <n v="60.6"/>
    <n v="30.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.119999999999997"/>
    <n v="38.130000000000003"/>
    <n v="38.14"/>
    <n v="38.130000000000003"/>
    <n v="38.14"/>
    <n v="38.14"/>
    <n v="38.14"/>
    <n v="38.14"/>
    <n v="38.14"/>
    <n v="50.85"/>
    <n v="38.14"/>
    <n v="38.14"/>
    <n v="24.24"/>
    <n v="24.24"/>
    <n v="24.24"/>
    <n v="24.24"/>
    <n v="24.24"/>
    <n v="24.24"/>
    <n v="24.24"/>
    <n v="24.24"/>
    <n v="24.24"/>
    <n v="24.24"/>
    <n v="24.24"/>
    <n v="24.24"/>
    <x v="1"/>
    <x v="7"/>
    <s v="91165                   "/>
    <x v="1"/>
    <x v="2"/>
    <x v="65"/>
  </r>
  <r>
    <x v="21"/>
    <x v="21"/>
    <x v="2640"/>
    <x v="2642"/>
    <n v="5.37"/>
    <n v="5.37"/>
    <n v="5.37"/>
    <n v="5.37"/>
    <n v="5.37"/>
    <n v="5.37"/>
    <n v="5.36"/>
    <n v="5.37"/>
    <n v="5.36"/>
    <n v="5.36"/>
    <n v="5.36"/>
    <n v="5.36"/>
    <n v="5.36"/>
    <n v="5.36"/>
    <n v="5.36"/>
    <n v="1.1000000000000001"/>
    <n v="4.29"/>
    <n v="4.29"/>
    <n v="471.52"/>
    <n v="71.040000000000006"/>
    <n v="71.040000000000006"/>
    <n v="71.040000000000006"/>
    <n v="71.040000000000006"/>
    <n v="71.04000000000000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.37"/>
    <n v="5.37"/>
    <n v="5.37"/>
    <n v="5.37"/>
    <n v="5.37"/>
    <n v="5.37"/>
    <n v="5.37"/>
    <n v="5.37"/>
    <n v="5.36"/>
    <n v="5.36"/>
    <n v="5.36"/>
    <n v="5.36"/>
    <n v="123.58"/>
    <n v="123.58"/>
    <n v="123.58"/>
    <n v="123.58"/>
    <n v="123.58"/>
    <n v="123.58"/>
    <n v="123.58"/>
    <n v="123.58"/>
    <n v="123.58"/>
    <n v="123.58"/>
    <n v="123.58"/>
    <n v="123.58"/>
    <x v="2"/>
    <x v="7"/>
    <s v="91165                   "/>
    <x v="1"/>
    <x v="2"/>
    <x v="65"/>
  </r>
  <r>
    <x v="21"/>
    <x v="21"/>
    <x v="2641"/>
    <x v="26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75                   "/>
    <x v="1"/>
    <x v="2"/>
    <x v="65"/>
  </r>
  <r>
    <x v="21"/>
    <x v="21"/>
    <x v="2641"/>
    <x v="2643"/>
    <n v="16.52"/>
    <n v="16.52"/>
    <n v="16.52"/>
    <n v="16.52"/>
    <n v="16.52"/>
    <n v="16.52"/>
    <n v="16.52"/>
    <n v="16.52"/>
    <n v="16.52"/>
    <n v="16.52"/>
    <n v="16.52"/>
    <n v="16.52"/>
    <n v="241.94"/>
    <n v="241.94"/>
    <n v="241.94"/>
    <n v="228.7"/>
    <n v="238.64"/>
    <n v="238.64"/>
    <n v="-329.26"/>
    <n v="157.51"/>
    <n v="157.51"/>
    <n v="157.51"/>
    <n v="157.51"/>
    <n v="157.4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6.52"/>
    <n v="16.52"/>
    <n v="16.52"/>
    <n v="16.52"/>
    <n v="16.52"/>
    <n v="16.52"/>
    <n v="16.52"/>
    <n v="16.52"/>
    <n v="16.52"/>
    <n v="16.52"/>
    <n v="16.52"/>
    <n v="16.52"/>
    <n v="126"/>
    <n v="126"/>
    <n v="126"/>
    <n v="126"/>
    <n v="126"/>
    <n v="126"/>
    <n v="126"/>
    <n v="126"/>
    <n v="126"/>
    <n v="126"/>
    <n v="126"/>
    <n v="126"/>
    <x v="2"/>
    <x v="7"/>
    <s v="91175                   "/>
    <x v="1"/>
    <x v="2"/>
    <x v="65"/>
  </r>
  <r>
    <x v="21"/>
    <x v="21"/>
    <x v="2642"/>
    <x v="2644"/>
    <n v="0"/>
    <n v="0"/>
    <n v="0"/>
    <n v="0"/>
    <n v="0"/>
    <n v="0"/>
    <n v="0"/>
    <n v="0"/>
    <n v="0"/>
    <n v="0"/>
    <n v="0"/>
    <n v="0"/>
    <n v="94.95"/>
    <n v="94.95"/>
    <n v="94.95"/>
    <n v="16.88"/>
    <n v="75.430000000000007"/>
    <n v="75.430000000000007"/>
    <n v="75.430000000000007"/>
    <n v="75.430000000000007"/>
    <n v="75.430000000000007"/>
    <n v="0"/>
    <n v="150.86000000000001"/>
    <n v="75.43000000000000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4.95"/>
    <n v="94.95"/>
    <n v="94.95"/>
    <n v="94.95"/>
    <n v="94.95"/>
    <n v="94.95"/>
    <n v="94.95"/>
    <n v="94.95"/>
    <n v="94.95"/>
    <n v="94.95"/>
    <n v="94.95"/>
    <n v="94.95"/>
    <n v="60.35"/>
    <n v="60.35"/>
    <n v="60.35"/>
    <n v="60.35"/>
    <n v="60.35"/>
    <n v="60.35"/>
    <n v="60.35"/>
    <n v="60.35"/>
    <n v="60.35"/>
    <n v="60.35"/>
    <n v="60.35"/>
    <n v="60.35"/>
    <x v="1"/>
    <x v="7"/>
    <s v="91180                   "/>
    <x v="1"/>
    <x v="2"/>
    <x v="65"/>
  </r>
  <r>
    <x v="21"/>
    <x v="21"/>
    <x v="2642"/>
    <x v="2644"/>
    <n v="557.87"/>
    <n v="557.87"/>
    <n v="557.87"/>
    <n v="557.87"/>
    <n v="557.88"/>
    <n v="557.87"/>
    <n v="464.89"/>
    <n v="650.85"/>
    <n v="557.87"/>
    <n v="557.87"/>
    <n v="557.87"/>
    <n v="557.87"/>
    <n v="790.54"/>
    <n v="790.54"/>
    <n v="790.54"/>
    <n v="152.97"/>
    <n v="631.15"/>
    <n v="631.15"/>
    <n v="631.14"/>
    <n v="631.15"/>
    <n v="631.15"/>
    <n v="631.14"/>
    <n v="821.36"/>
    <n v="724.2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7.87"/>
    <n v="557.87"/>
    <n v="557.87"/>
    <n v="557.87"/>
    <n v="557.88"/>
    <n v="557.88"/>
    <n v="557.88"/>
    <n v="557.88"/>
    <n v="557.87"/>
    <n v="557.87"/>
    <n v="557.87"/>
    <n v="557.87"/>
    <n v="504.92"/>
    <n v="504.92"/>
    <n v="504.92"/>
    <n v="504.92"/>
    <n v="504.92"/>
    <n v="504.92"/>
    <n v="504.92"/>
    <n v="504.92"/>
    <n v="504.92"/>
    <n v="504.92"/>
    <n v="504.92"/>
    <n v="504.92"/>
    <x v="2"/>
    <x v="7"/>
    <s v="91180                   "/>
    <x v="1"/>
    <x v="2"/>
    <x v="65"/>
  </r>
  <r>
    <x v="21"/>
    <x v="21"/>
    <x v="2643"/>
    <x v="2645"/>
    <n v="197.55"/>
    <n v="197.55"/>
    <n v="197.56"/>
    <n v="197.55"/>
    <n v="197.55"/>
    <n v="197.55"/>
    <n v="197.56"/>
    <n v="197.55"/>
    <n v="197.56"/>
    <n v="197.56"/>
    <n v="197.56"/>
    <n v="197.56"/>
    <n v="197.56"/>
    <n v="197.56"/>
    <n v="197.56"/>
    <n v="134.32"/>
    <n v="181.75"/>
    <n v="181.75"/>
    <n v="181.75"/>
    <n v="181.75"/>
    <n v="181.75"/>
    <n v="181.75"/>
    <n v="181.75"/>
    <n v="181.7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97.55"/>
    <n v="197.55"/>
    <n v="197.56"/>
    <n v="197.56"/>
    <n v="197.55"/>
    <n v="197.55"/>
    <n v="197.55"/>
    <n v="197.55"/>
    <n v="197.56"/>
    <n v="197.56"/>
    <n v="197.56"/>
    <n v="197.56"/>
    <n v="167.21"/>
    <n v="167.21"/>
    <n v="167.21"/>
    <n v="167.21"/>
    <n v="167.21"/>
    <n v="167.21"/>
    <n v="167.21"/>
    <n v="167.21"/>
    <n v="167.21"/>
    <n v="167.21"/>
    <n v="167.21"/>
    <n v="167.21"/>
    <x v="2"/>
    <x v="7"/>
    <s v="91190                   "/>
    <x v="1"/>
    <x v="2"/>
    <x v="65"/>
  </r>
  <r>
    <x v="21"/>
    <x v="21"/>
    <x v="2644"/>
    <x v="2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95                   "/>
    <x v="1"/>
    <x v="2"/>
    <x v="65"/>
  </r>
  <r>
    <x v="21"/>
    <x v="21"/>
    <x v="2644"/>
    <x v="2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95                   "/>
    <x v="1"/>
    <x v="2"/>
    <x v="65"/>
  </r>
  <r>
    <x v="21"/>
    <x v="21"/>
    <x v="2645"/>
    <x v="26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200                   "/>
    <x v="1"/>
    <x v="2"/>
    <x v="65"/>
  </r>
  <r>
    <x v="21"/>
    <x v="21"/>
    <x v="2645"/>
    <x v="2647"/>
    <n v="64.459999999999994"/>
    <n v="64.459999999999994"/>
    <n v="64.459999999999994"/>
    <n v="64.459999999999994"/>
    <n v="64.459999999999994"/>
    <n v="64.459999999999994"/>
    <n v="64.459999999999994"/>
    <n v="64.459999999999994"/>
    <n v="64.47"/>
    <n v="64.459999999999994"/>
    <n v="64.47"/>
    <n v="64.47"/>
    <n v="64.47"/>
    <n v="64.47"/>
    <n v="64.47"/>
    <n v="12.87"/>
    <n v="51.57"/>
    <n v="51.57"/>
    <n v="51.57"/>
    <n v="51.57"/>
    <n v="51.57"/>
    <n v="51.57"/>
    <n v="51.57"/>
    <n v="51.5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4.459999999999994"/>
    <n v="64.459999999999994"/>
    <n v="64.459999999999994"/>
    <n v="64.459999999999994"/>
    <n v="64.459999999999994"/>
    <n v="64.459999999999994"/>
    <n v="64.459999999999994"/>
    <n v="64.459999999999994"/>
    <n v="64.47"/>
    <n v="64.47"/>
    <n v="64.47"/>
    <n v="64.47"/>
    <n v="41.26"/>
    <n v="41.26"/>
    <n v="41.26"/>
    <n v="41.26"/>
    <n v="41.26"/>
    <n v="41.26"/>
    <n v="41.26"/>
    <n v="41.26"/>
    <n v="41.26"/>
    <n v="41.26"/>
    <n v="41.26"/>
    <n v="41.26"/>
    <x v="2"/>
    <x v="7"/>
    <s v="91200                   "/>
    <x v="1"/>
    <x v="2"/>
    <x v="65"/>
  </r>
  <r>
    <x v="21"/>
    <x v="21"/>
    <x v="2646"/>
    <x v="2648"/>
    <n v="0"/>
    <n v="0"/>
    <n v="0"/>
    <n v="0"/>
    <n v="0"/>
    <n v="0"/>
    <n v="0"/>
    <n v="0"/>
    <n v="0"/>
    <n v="0"/>
    <n v="0"/>
    <n v="0"/>
    <n v="0"/>
    <n v="0"/>
    <n v="0"/>
    <n v="69.05"/>
    <n v="17.260000000000002"/>
    <n v="17.260000000000002"/>
    <n v="-66.11"/>
    <n v="17.260000000000002"/>
    <n v="17.260000000000002"/>
    <n v="17.260000000000002"/>
    <n v="17.260000000000002"/>
    <n v="17.2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1"/>
    <n v="13.81"/>
    <n v="13.81"/>
    <n v="13.81"/>
    <n v="13.81"/>
    <n v="13.81"/>
    <n v="13.81"/>
    <n v="13.81"/>
    <n v="13.81"/>
    <n v="13.81"/>
    <n v="13.81"/>
    <n v="13.81"/>
    <x v="2"/>
    <x v="7"/>
    <s v="91205                   "/>
    <x v="1"/>
    <x v="2"/>
    <x v="65"/>
  </r>
  <r>
    <x v="21"/>
    <x v="21"/>
    <x v="2647"/>
    <x v="2649"/>
    <n v="2330.4299999999998"/>
    <n v="2330.4299999999998"/>
    <n v="2330.4299999999998"/>
    <n v="2330.4299999999998"/>
    <n v="2330.4299999999998"/>
    <n v="2330.4299999999998"/>
    <n v="2110.7199999999998"/>
    <n v="2550.14"/>
    <n v="2000.87"/>
    <n v="2000.86"/>
    <n v="2000.87"/>
    <n v="2000.87"/>
    <n v="2000.87"/>
    <n v="2000.87"/>
    <n v="2000.87"/>
    <n v="1103.23"/>
    <n v="1776.46"/>
    <n v="1776.46"/>
    <n v="3397.23"/>
    <n v="15556.42"/>
    <n v="4378.33"/>
    <n v="4536.1000000000004"/>
    <n v="3852.68"/>
    <n v="3852.6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30.4299999999998"/>
    <n v="2330.4299999999998"/>
    <n v="2330.4299999999998"/>
    <n v="2330.4299999999998"/>
    <n v="2330.4299999999998"/>
    <n v="2330.4299999999998"/>
    <n v="2330.4299999999998"/>
    <n v="2330.4299999999998"/>
    <n v="2000.87"/>
    <n v="2000.87"/>
    <n v="2000.87"/>
    <n v="2000.87"/>
    <n v="4260.7700000000004"/>
    <n v="4260.7700000000004"/>
    <n v="4260.7700000000004"/>
    <n v="4260.7700000000004"/>
    <n v="4260.7700000000004"/>
    <n v="4260.7700000000004"/>
    <n v="4260.7700000000004"/>
    <n v="4260.7700000000004"/>
    <n v="4260.7700000000004"/>
    <n v="4260.7700000000004"/>
    <n v="4260.7700000000004"/>
    <n v="4260.7700000000004"/>
    <x v="2"/>
    <x v="5"/>
    <s v="91205                   "/>
    <x v="1"/>
    <x v="2"/>
    <x v="65"/>
  </r>
  <r>
    <x v="21"/>
    <x v="21"/>
    <x v="2648"/>
    <x v="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5"/>
    <s v="91210                   "/>
    <x v="1"/>
    <x v="2"/>
    <x v="65"/>
  </r>
  <r>
    <x v="21"/>
    <x v="21"/>
    <x v="2649"/>
    <x v="26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5"/>
    <s v="91215                   "/>
    <x v="1"/>
    <x v="2"/>
    <x v="65"/>
  </r>
  <r>
    <x v="21"/>
    <x v="21"/>
    <x v="2650"/>
    <x v="2652"/>
    <n v="31422.91"/>
    <n v="31422.91"/>
    <n v="31447.81"/>
    <n v="31447.81"/>
    <n v="31447.81"/>
    <n v="31447.81"/>
    <n v="31447.81"/>
    <n v="31447.81"/>
    <n v="31447.81"/>
    <n v="31447.81"/>
    <n v="31447.81"/>
    <n v="31447.81"/>
    <n v="31447.81"/>
    <n v="31447.81"/>
    <n v="31447.81"/>
    <n v="26400.22"/>
    <n v="30185.91"/>
    <n v="30185.91"/>
    <n v="30331.19"/>
    <n v="30206.67"/>
    <n v="30206.67"/>
    <n v="30206.67"/>
    <n v="30206.67"/>
    <n v="30251.6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422.91"/>
    <n v="31422.91"/>
    <n v="31447.81"/>
    <n v="31447.81"/>
    <n v="31447.81"/>
    <n v="31447.81"/>
    <n v="31447.81"/>
    <n v="31447.81"/>
    <n v="31447.81"/>
    <n v="31447.81"/>
    <n v="31447.81"/>
    <n v="31447.81"/>
    <n v="28998.400000000001"/>
    <n v="28998.400000000001"/>
    <n v="28998.400000000001"/>
    <n v="28998.400000000001"/>
    <n v="28998.400000000001"/>
    <n v="28998.400000000001"/>
    <n v="28998.400000000001"/>
    <n v="28998.400000000001"/>
    <n v="28998.400000000001"/>
    <n v="28998.400000000001"/>
    <n v="28998.400000000001"/>
    <n v="28998.400000000001"/>
    <x v="2"/>
    <x v="5"/>
    <s v="91220                   "/>
    <x v="1"/>
    <x v="2"/>
    <x v="65"/>
  </r>
  <r>
    <x v="21"/>
    <x v="21"/>
    <x v="2651"/>
    <x v="2653"/>
    <n v="0"/>
    <n v="0"/>
    <n v="0"/>
    <n v="0"/>
    <n v="0"/>
    <n v="0"/>
    <n v="0"/>
    <n v="0"/>
    <n v="0"/>
    <n v="0"/>
    <n v="0"/>
    <n v="0"/>
    <n v="3.23"/>
    <n v="3.23"/>
    <n v="3.23"/>
    <n v="1.92"/>
    <n v="2.9"/>
    <n v="2.9"/>
    <n v="2.9"/>
    <n v="2.9"/>
    <n v="2.9"/>
    <n v="0"/>
    <n v="5.8"/>
    <n v="2.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.23"/>
    <n v="3.24"/>
    <n v="3.23"/>
    <n v="3.23"/>
    <n v="3.24"/>
    <n v="3.24"/>
    <n v="3.24"/>
    <n v="3.24"/>
    <n v="3.23"/>
    <n v="4.3099999999999996"/>
    <n v="3.23"/>
    <n v="3.23"/>
    <n v="2.61"/>
    <n v="2.61"/>
    <n v="2.61"/>
    <n v="2.61"/>
    <n v="2.61"/>
    <n v="2.61"/>
    <n v="2.61"/>
    <n v="2.61"/>
    <n v="2.61"/>
    <n v="2.61"/>
    <n v="2.61"/>
    <n v="2.61"/>
    <x v="1"/>
    <x v="5"/>
    <s v="91225                   "/>
    <x v="1"/>
    <x v="2"/>
    <x v="65"/>
  </r>
  <r>
    <x v="21"/>
    <x v="21"/>
    <x v="2651"/>
    <x v="2653"/>
    <n v="5740.27"/>
    <n v="5757.21"/>
    <n v="5757.21"/>
    <n v="5770.82"/>
    <n v="5812.32"/>
    <n v="5812.32"/>
    <n v="6036.47"/>
    <n v="5588.17"/>
    <n v="6148.55"/>
    <n v="6148.55"/>
    <n v="6148.55"/>
    <n v="6148.55"/>
    <n v="6148.55"/>
    <n v="6148.55"/>
    <n v="6148.55"/>
    <n v="3080.71"/>
    <n v="5381.59"/>
    <n v="5381.59"/>
    <n v="6539.94"/>
    <n v="5547.07"/>
    <n v="5547.07"/>
    <n v="5547.07"/>
    <n v="5547.07"/>
    <n v="5898.4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740.27"/>
    <n v="5757.21"/>
    <n v="5757.21"/>
    <n v="5770.82"/>
    <n v="5812.32"/>
    <n v="5812.32"/>
    <n v="5812.32"/>
    <n v="5812.32"/>
    <n v="6148.55"/>
    <n v="6148.55"/>
    <n v="6148.55"/>
    <n v="6148.55"/>
    <n v="4925.95"/>
    <n v="4925.95"/>
    <n v="4925.95"/>
    <n v="4925.95"/>
    <n v="4925.95"/>
    <n v="4925.95"/>
    <n v="4925.95"/>
    <n v="4925.95"/>
    <n v="4925.95"/>
    <n v="4925.95"/>
    <n v="4925.95"/>
    <n v="4925.95"/>
    <x v="2"/>
    <x v="5"/>
    <s v="91225                   "/>
    <x v="1"/>
    <x v="2"/>
    <x v="65"/>
  </r>
  <r>
    <x v="21"/>
    <x v="21"/>
    <x v="2652"/>
    <x v="2654"/>
    <n v="840"/>
    <n v="840"/>
    <n v="840"/>
    <n v="840"/>
    <n v="840"/>
    <n v="840"/>
    <n v="840"/>
    <n v="840"/>
    <n v="840"/>
    <n v="840"/>
    <n v="840"/>
    <n v="840"/>
    <n v="840"/>
    <n v="840"/>
    <n v="840"/>
    <n v="168"/>
    <n v="672"/>
    <n v="672"/>
    <n v="672"/>
    <n v="672"/>
    <n v="672"/>
    <n v="672"/>
    <n v="672"/>
    <n v="67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40"/>
    <n v="840"/>
    <n v="840"/>
    <n v="840"/>
    <n v="840"/>
    <n v="840"/>
    <n v="840"/>
    <n v="840"/>
    <n v="840"/>
    <n v="840"/>
    <n v="840"/>
    <n v="840"/>
    <n v="537.6"/>
    <n v="537.6"/>
    <n v="537.6"/>
    <n v="537.6"/>
    <n v="537.6"/>
    <n v="537.6"/>
    <n v="537.6"/>
    <n v="537.6"/>
    <n v="537.6"/>
    <n v="537.6"/>
    <n v="537.6"/>
    <n v="537.6"/>
    <x v="2"/>
    <x v="5"/>
    <s v="91230                   "/>
    <x v="1"/>
    <x v="2"/>
    <x v="65"/>
  </r>
  <r>
    <x v="21"/>
    <x v="21"/>
    <x v="2653"/>
    <x v="2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5"/>
    <s v="91235                   "/>
    <x v="1"/>
    <x v="2"/>
    <x v="65"/>
  </r>
  <r>
    <x v="21"/>
    <x v="21"/>
    <x v="2654"/>
    <x v="2656"/>
    <n v="67.03"/>
    <n v="67.03"/>
    <n v="67.040000000000006"/>
    <n v="67.03"/>
    <n v="67.040000000000006"/>
    <n v="67.03"/>
    <n v="67.03"/>
    <n v="67.03"/>
    <n v="67.03"/>
    <n v="67.03"/>
    <n v="67.03"/>
    <n v="67.03"/>
    <n v="67.03"/>
    <n v="67.03"/>
    <n v="67.03"/>
    <n v="13.42"/>
    <n v="53.63"/>
    <n v="53.63"/>
    <n v="53.63"/>
    <n v="53.63"/>
    <n v="53.63"/>
    <n v="53.63"/>
    <n v="53.63"/>
    <n v="53.6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.03"/>
    <n v="67.03"/>
    <n v="67.040000000000006"/>
    <n v="67.03"/>
    <n v="67.040000000000006"/>
    <n v="67.040000000000006"/>
    <n v="67.040000000000006"/>
    <n v="67.040000000000006"/>
    <n v="67.040000000000006"/>
    <n v="67.040000000000006"/>
    <n v="67.040000000000006"/>
    <n v="67.040000000000006"/>
    <n v="42.9"/>
    <n v="42.9"/>
    <n v="42.9"/>
    <n v="42.9"/>
    <n v="42.9"/>
    <n v="42.9"/>
    <n v="42.9"/>
    <n v="42.9"/>
    <n v="42.9"/>
    <n v="42.9"/>
    <n v="42.9"/>
    <n v="42.9"/>
    <x v="2"/>
    <x v="6"/>
    <s v="91240                   "/>
    <x v="1"/>
    <x v="2"/>
    <x v="65"/>
  </r>
  <r>
    <x v="21"/>
    <x v="21"/>
    <x v="2655"/>
    <x v="2657"/>
    <n v="550.58000000000004"/>
    <n v="550.58000000000004"/>
    <n v="550.58000000000004"/>
    <n v="550.5"/>
    <n v="550.58000000000004"/>
    <n v="550.58000000000004"/>
    <n v="1513.08"/>
    <n v="1595.46"/>
    <n v="1492.48"/>
    <n v="1492.48"/>
    <n v="1492.48"/>
    <n v="1492.48"/>
    <n v="1492.48"/>
    <n v="1492.48"/>
    <n v="1492.48"/>
    <n v="69.69"/>
    <n v="1203.53"/>
    <n v="1203.53"/>
    <n v="1470.53"/>
    <n v="1203.53"/>
    <n v="1203.53"/>
    <n v="1203.53"/>
    <n v="1203.53"/>
    <n v="1203.54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50.58000000000004"/>
    <n v="550.58000000000004"/>
    <n v="550.58000000000004"/>
    <n v="550.58000000000004"/>
    <n v="550.58000000000004"/>
    <n v="550.58000000000004"/>
    <n v="1513.08"/>
    <n v="1595.46"/>
    <n v="1492.48"/>
    <n v="1492.48"/>
    <n v="1492.48"/>
    <n v="1492.48"/>
    <n v="842.47"/>
    <n v="842.47"/>
    <n v="842.47"/>
    <n v="842.47"/>
    <n v="842.47"/>
    <n v="842.47"/>
    <n v="842.47"/>
    <n v="842.47"/>
    <n v="842.47"/>
    <n v="842.47"/>
    <n v="842.47"/>
    <n v="842.47"/>
    <x v="2"/>
    <x v="6"/>
    <s v="91245                   "/>
    <x v="1"/>
    <x v="2"/>
    <x v="65"/>
  </r>
  <r>
    <x v="22"/>
    <x v="22"/>
    <x v="2656"/>
    <x v="2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1185                   "/>
    <x v="1"/>
    <x v="2"/>
    <x v="65"/>
  </r>
  <r>
    <x v="22"/>
    <x v="22"/>
    <x v="2656"/>
    <x v="2658"/>
    <n v="67.48"/>
    <n v="67.48"/>
    <n v="67.48"/>
    <n v="67.48"/>
    <n v="67.489999999999995"/>
    <n v="67.48"/>
    <n v="67.48"/>
    <n v="67.48"/>
    <n v="67.48"/>
    <n v="67.48"/>
    <n v="67.48"/>
    <n v="67.48"/>
    <n v="163.27000000000001"/>
    <n v="163.27000000000001"/>
    <n v="163.27000000000001"/>
    <n v="-35.880000000000003"/>
    <n v="113.48"/>
    <n v="113.48"/>
    <n v="113.48"/>
    <n v="113.48"/>
    <n v="113.48"/>
    <n v="113.48"/>
    <n v="113.48"/>
    <n v="113.5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.48"/>
    <n v="67.48"/>
    <n v="67.48"/>
    <n v="67.48"/>
    <n v="67.489999999999995"/>
    <n v="67.489999999999995"/>
    <n v="67.489999999999995"/>
    <n v="67.489999999999995"/>
    <n v="67.48"/>
    <n v="67.48"/>
    <n v="67.48"/>
    <n v="67.48"/>
    <n v="90.78"/>
    <n v="90.78"/>
    <n v="90.78"/>
    <n v="90.78"/>
    <n v="90.78"/>
    <n v="90.78"/>
    <n v="90.78"/>
    <n v="90.78"/>
    <n v="90.78"/>
    <n v="90.78"/>
    <n v="90.78"/>
    <n v="90.78"/>
    <x v="2"/>
    <x v="7"/>
    <s v="91185                   "/>
    <x v="1"/>
    <x v="2"/>
    <x v="65"/>
  </r>
  <r>
    <x v="23"/>
    <x v="23"/>
    <x v="2657"/>
    <x v="2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.99"/>
    <n v="0"/>
    <n v="707.9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00                   "/>
    <x v="1"/>
    <x v="2"/>
    <x v="52"/>
  </r>
  <r>
    <x v="23"/>
    <x v="23"/>
    <x v="2658"/>
    <x v="2660"/>
    <n v="0"/>
    <n v="0"/>
    <n v="0"/>
    <n v="0"/>
    <n v="0"/>
    <n v="0"/>
    <n v="0"/>
    <n v="0"/>
    <n v="0"/>
    <n v="0"/>
    <n v="0"/>
    <n v="0"/>
    <n v="0"/>
    <n v="590.94000000000005"/>
    <n v="250"/>
    <n v="1022.54"/>
    <n v="275.52"/>
    <n v="254.19"/>
    <n v="1018.03"/>
    <n v="975.62"/>
    <n v="413.25"/>
    <n v="169.18"/>
    <n v="183.12"/>
    <n v="173.04"/>
    <n v="-5325.4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12"/>
    <n v="424"/>
    <n v="359"/>
    <n v="352"/>
    <n v="241"/>
    <n v="263"/>
    <n v="0"/>
    <n v="1"/>
    <n v="658"/>
    <n v="292"/>
    <n v="165"/>
    <n v="515"/>
    <n v="500"/>
    <n v="500"/>
    <n v="500"/>
    <n v="500"/>
    <n v="500"/>
    <n v="500"/>
    <n v="500"/>
    <n v="500"/>
    <n v="500"/>
    <n v="500"/>
    <n v="500"/>
    <n v="500"/>
    <x v="3"/>
    <x v="3"/>
    <s v="71220                   "/>
    <x v="1"/>
    <x v="2"/>
    <x v="66"/>
  </r>
  <r>
    <x v="23"/>
    <x v="23"/>
    <x v="2658"/>
    <x v="2660"/>
    <n v="0"/>
    <n v="0"/>
    <n v="0"/>
    <n v="0"/>
    <n v="0"/>
    <n v="0"/>
    <n v="0"/>
    <n v="0"/>
    <n v="0"/>
    <n v="0"/>
    <n v="0"/>
    <n v="0"/>
    <n v="0"/>
    <n v="181.5"/>
    <n v="217.5"/>
    <n v="162.82"/>
    <n v="514.87"/>
    <n v="317.82"/>
    <n v="323.43"/>
    <n v="476.86"/>
    <n v="319.24"/>
    <n v="1104.9000000000001"/>
    <n v="347.28"/>
    <n v="300.01"/>
    <n v="320.3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220                   "/>
    <x v="1"/>
    <x v="2"/>
    <x v="66"/>
  </r>
  <r>
    <x v="23"/>
    <x v="23"/>
    <x v="2658"/>
    <x v="2660"/>
    <n v="467.76"/>
    <n v="590.83000000000004"/>
    <n v="444.33"/>
    <n v="295.14"/>
    <n v="198.61"/>
    <n v="520.70000000000005"/>
    <n v="197.93"/>
    <n v="715.57"/>
    <n v="449.95"/>
    <n v="443.81"/>
    <n v="600.49"/>
    <n v="240.2"/>
    <n v="1939.83"/>
    <n v="1507.88"/>
    <n v="1499.14"/>
    <n v="1633.57"/>
    <n v="1596.76"/>
    <n v="1373.96"/>
    <n v="1244.52"/>
    <n v="1591.38"/>
    <n v="1682.83"/>
    <n v="720.71"/>
    <n v="1108.1400000000001"/>
    <n v="1151.8699999999999"/>
    <n v="1664.52"/>
    <n v="2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531.32"/>
    <n v="1542.57"/>
    <n v="1656.24"/>
    <n v="1574.86"/>
    <n v="883.25"/>
    <n v="2564.1799999999998"/>
    <n v="639.5"/>
    <n v="198.84"/>
    <n v="933.95"/>
    <n v="332.3"/>
    <n v="1112.29"/>
    <n v="645.82000000000005"/>
    <n v="1500"/>
    <n v="1500"/>
    <n v="1500"/>
    <n v="1500"/>
    <n v="1500"/>
    <n v="1500"/>
    <n v="1500"/>
    <n v="1500"/>
    <n v="1500"/>
    <n v="1500"/>
    <n v="1500"/>
    <n v="1500"/>
    <x v="2"/>
    <x v="3"/>
    <s v="71220                   "/>
    <x v="1"/>
    <x v="2"/>
    <x v="52"/>
  </r>
  <r>
    <x v="23"/>
    <x v="23"/>
    <x v="2659"/>
    <x v="2661"/>
    <n v="0"/>
    <n v="0"/>
    <n v="0"/>
    <n v="0"/>
    <n v="0"/>
    <n v="0"/>
    <n v="0"/>
    <n v="0"/>
    <n v="0"/>
    <n v="0"/>
    <n v="0"/>
    <n v="0"/>
    <n v="0"/>
    <n v="-17.73"/>
    <n v="-0.8"/>
    <n v="1.94"/>
    <n v="-0.13"/>
    <n v="16.28"/>
    <n v="0.01"/>
    <n v="0.02"/>
    <n v="-741.64"/>
    <n v="0.01"/>
    <n v="-0.05"/>
    <n v="117.77"/>
    <n v="624.320000000000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3"/>
    <s v="71230                   "/>
    <x v="1"/>
    <x v="2"/>
    <x v="66"/>
  </r>
  <r>
    <x v="23"/>
    <x v="23"/>
    <x v="2659"/>
    <x v="2661"/>
    <n v="0"/>
    <n v="0"/>
    <n v="0"/>
    <n v="0"/>
    <n v="0"/>
    <n v="0"/>
    <n v="0"/>
    <n v="0"/>
    <n v="0"/>
    <n v="0"/>
    <n v="0"/>
    <n v="0"/>
    <n v="0"/>
    <n v="0"/>
    <n v="0"/>
    <n v="0.01"/>
    <n v="0.01"/>
    <n v="0"/>
    <n v="0.01"/>
    <n v="0"/>
    <n v="0.01"/>
    <n v="-0.01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230                   "/>
    <x v="1"/>
    <x v="2"/>
    <x v="66"/>
  </r>
  <r>
    <x v="23"/>
    <x v="23"/>
    <x v="2659"/>
    <x v="2661"/>
    <n v="10.83"/>
    <n v="-0.48"/>
    <n v="40.9"/>
    <n v="-94.39"/>
    <n v="5.64"/>
    <n v="-8.4499999999999993"/>
    <n v="36.04"/>
    <n v="-2.84"/>
    <n v="-4.96"/>
    <n v="-129.38999999999999"/>
    <n v="6.89"/>
    <n v="-1164.83"/>
    <n v="-10.24"/>
    <n v="-1698.13"/>
    <n v="-588.87"/>
    <n v="2205.13"/>
    <n v="750.67"/>
    <n v="27.33"/>
    <n v="-116.89"/>
    <n v="-15.06"/>
    <n v="-368.67"/>
    <n v="10.33"/>
    <n v="-20.76"/>
    <n v="-0.81"/>
    <n v="-0.56999999999999995"/>
    <n v="-0.0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30                   "/>
    <x v="1"/>
    <x v="2"/>
    <x v="66"/>
  </r>
  <r>
    <x v="23"/>
    <x v="23"/>
    <x v="2660"/>
    <x v="2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3"/>
    <s v="71240                   "/>
    <x v="1"/>
    <x v="2"/>
    <x v="52"/>
  </r>
  <r>
    <x v="23"/>
    <x v="23"/>
    <x v="2660"/>
    <x v="2626"/>
    <n v="-5.22"/>
    <n v="-14.35"/>
    <n v="-71.2"/>
    <n v="-99.96"/>
    <n v="-78.25"/>
    <n v="-178.9"/>
    <n v="62.78"/>
    <n v="-76.37"/>
    <n v="-41.32"/>
    <n v="-48.99"/>
    <n v="-9.66"/>
    <n v="287.39"/>
    <n v="14131.84"/>
    <n v="-1180.4100000000001"/>
    <n v="-317.08"/>
    <n v="1602.69"/>
    <n v="-1697.59"/>
    <n v="1259.1500000000001"/>
    <n v="-680.85"/>
    <n v="73.75"/>
    <n v="2142"/>
    <n v="1830.56"/>
    <n v="-41.7"/>
    <n v="-64008.56"/>
    <n v="-98.3"/>
    <n v="85.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240                   "/>
    <x v="1"/>
    <x v="2"/>
    <x v="52"/>
  </r>
  <r>
    <x v="23"/>
    <x v="23"/>
    <x v="2661"/>
    <x v="2662"/>
    <n v="0"/>
    <n v="0"/>
    <n v="0"/>
    <n v="0"/>
    <n v="0"/>
    <n v="0"/>
    <n v="0"/>
    <n v="0"/>
    <n v="0"/>
    <n v="0"/>
    <n v="0"/>
    <n v="0"/>
    <n v="578.15"/>
    <n v="465.22"/>
    <n v="506.16"/>
    <n v="174.45"/>
    <n v="787.69"/>
    <n v="674.31"/>
    <n v="10.119999999999999"/>
    <n v="129.16"/>
    <n v="11.99"/>
    <n v="73.650000000000006"/>
    <n v="183.95"/>
    <n v="174.2"/>
    <n v="-3769.0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2.31"/>
    <n v="701.2"/>
    <n v="747.51"/>
    <n v="848.53"/>
    <n v="820.03"/>
    <n v="817.27"/>
    <n v="751.07"/>
    <n v="793.98"/>
    <n v="1003.54"/>
    <n v="605.69000000000005"/>
    <n v="633.03"/>
    <n v="786.86"/>
    <x v="3"/>
    <x v="3"/>
    <s v="71320                   "/>
    <x v="1"/>
    <x v="2"/>
    <x v="52"/>
  </r>
  <r>
    <x v="23"/>
    <x v="23"/>
    <x v="2661"/>
    <x v="2662"/>
    <n v="2201.58"/>
    <n v="3222.57"/>
    <n v="3681.9"/>
    <n v="3673.83"/>
    <n v="3619.5"/>
    <n v="3715.06"/>
    <n v="4438.05"/>
    <n v="1971.42"/>
    <n v="3125.37"/>
    <n v="2333.83"/>
    <n v="1895.43"/>
    <n v="2814.11"/>
    <n v="3098.78"/>
    <n v="308.17"/>
    <n v="3964.88"/>
    <n v="6524.66"/>
    <n v="4130.55"/>
    <n v="3864.94"/>
    <n v="4034.96"/>
    <n v="3283.31"/>
    <n v="3512.56"/>
    <n v="2770.64"/>
    <n v="3176.9"/>
    <n v="3555.39"/>
    <n v="3382.68"/>
    <n v="182.6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311.66"/>
    <n v="3383.7"/>
    <n v="3866"/>
    <n v="3857.52"/>
    <n v="3800.48"/>
    <n v="3900.81"/>
    <n v="4659.95"/>
    <n v="2069.9899999999998"/>
    <n v="3281.64"/>
    <n v="2450.52"/>
    <n v="1990.2"/>
    <n v="2954.82"/>
    <n v="3381.25"/>
    <n v="3484.51"/>
    <n v="3956.51"/>
    <n v="3718.12"/>
    <n v="3620.34"/>
    <n v="4008.41"/>
    <n v="4494.51"/>
    <n v="3540.46"/>
    <n v="4442.3999999999996"/>
    <n v="2311.41"/>
    <n v="3197.08"/>
    <n v="3227.55"/>
    <x v="2"/>
    <x v="3"/>
    <s v="71320                   "/>
    <x v="1"/>
    <x v="2"/>
    <x v="52"/>
  </r>
  <r>
    <x v="23"/>
    <x v="23"/>
    <x v="2662"/>
    <x v="2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3"/>
    <s v="71950                   "/>
    <x v="1"/>
    <x v="2"/>
    <x v="31"/>
  </r>
  <r>
    <x v="23"/>
    <x v="23"/>
    <x v="2662"/>
    <x v="2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.96"/>
    <n v="2.58"/>
    <n v="19.36"/>
    <n v="60.62"/>
    <n v="70.17"/>
    <n v="126.4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3"/>
    <s v="71950                   "/>
    <x v="1"/>
    <x v="2"/>
    <x v="66"/>
  </r>
  <r>
    <x v="23"/>
    <x v="23"/>
    <x v="2663"/>
    <x v="2664"/>
    <n v="0"/>
    <n v="0"/>
    <n v="0"/>
    <n v="0"/>
    <n v="0"/>
    <n v="0"/>
    <n v="0"/>
    <n v="0"/>
    <n v="0"/>
    <n v="0"/>
    <n v="0"/>
    <n v="0"/>
    <n v="300.44"/>
    <n v="149.34"/>
    <n v="491.88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71220                   "/>
    <x v="1"/>
    <x v="2"/>
    <x v="67"/>
  </r>
  <r>
    <x v="23"/>
    <x v="23"/>
    <x v="2663"/>
    <x v="2664"/>
    <n v="0"/>
    <n v="0"/>
    <n v="0"/>
    <n v="0"/>
    <n v="0"/>
    <n v="0"/>
    <n v="0"/>
    <n v="0"/>
    <n v="0"/>
    <n v="0"/>
    <n v="0"/>
    <n v="0"/>
    <n v="0"/>
    <n v="178.56"/>
    <n v="-178.56"/>
    <n v="160.1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71220                   "/>
    <x v="1"/>
    <x v="2"/>
    <x v="67"/>
  </r>
  <r>
    <x v="23"/>
    <x v="23"/>
    <x v="2664"/>
    <x v="2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1170                   "/>
    <x v="1"/>
    <x v="2"/>
    <x v="65"/>
  </r>
  <r>
    <x v="23"/>
    <x v="23"/>
    <x v="2665"/>
    <x v="2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10                   "/>
    <x v="1"/>
    <x v="2"/>
    <x v="66"/>
  </r>
  <r>
    <x v="23"/>
    <x v="23"/>
    <x v="2665"/>
    <x v="2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10                   "/>
    <x v="1"/>
    <x v="2"/>
    <x v="66"/>
  </r>
  <r>
    <x v="23"/>
    <x v="23"/>
    <x v="2666"/>
    <x v="2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120                   "/>
    <x v="1"/>
    <x v="2"/>
    <x v="66"/>
  </r>
  <r>
    <x v="23"/>
    <x v="23"/>
    <x v="2666"/>
    <x v="2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20                   "/>
    <x v="1"/>
    <x v="2"/>
    <x v="66"/>
  </r>
  <r>
    <x v="23"/>
    <x v="23"/>
    <x v="2666"/>
    <x v="2667"/>
    <n v="0"/>
    <n v="0"/>
    <n v="0"/>
    <n v="0"/>
    <n v="454812"/>
    <n v="88477"/>
    <n v="90610"/>
    <n v="89662"/>
    <n v="93470"/>
    <n v="95203"/>
    <n v="89373"/>
    <n v="87748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20                   "/>
    <x v="1"/>
    <x v="2"/>
    <x v="66"/>
  </r>
  <r>
    <x v="23"/>
    <x v="23"/>
    <x v="2667"/>
    <x v="2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140                   "/>
    <x v="1"/>
    <x v="2"/>
    <x v="68"/>
  </r>
  <r>
    <x v="23"/>
    <x v="23"/>
    <x v="2667"/>
    <x v="2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40                   "/>
    <x v="1"/>
    <x v="2"/>
    <x v="68"/>
  </r>
  <r>
    <x v="23"/>
    <x v="23"/>
    <x v="2667"/>
    <x v="2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40                   "/>
    <x v="1"/>
    <x v="2"/>
    <x v="68"/>
  </r>
  <r>
    <x v="23"/>
    <x v="23"/>
    <x v="2668"/>
    <x v="2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150                   "/>
    <x v="1"/>
    <x v="2"/>
    <x v="66"/>
  </r>
  <r>
    <x v="23"/>
    <x v="23"/>
    <x v="2668"/>
    <x v="2669"/>
    <n v="57.24"/>
    <n v="0"/>
    <n v="100.77"/>
    <n v="35"/>
    <n v="121.43"/>
    <n v="2319.34"/>
    <n v="36.72"/>
    <n v="0"/>
    <n v="0"/>
    <n v="0"/>
    <n v="5016.62"/>
    <n v="17.25"/>
    <n v="-18.149999999999999"/>
    <n v="100"/>
    <n v="25.6"/>
    <n v="151.06"/>
    <n v="28.19"/>
    <n v="0"/>
    <n v="419.45"/>
    <n v="-189.67"/>
    <n v="44.1"/>
    <n v="-19.809999999999999"/>
    <n v="0"/>
    <n v="19.850000000000001"/>
    <n v="30.8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50                   "/>
    <x v="1"/>
    <x v="2"/>
    <x v="66"/>
  </r>
  <r>
    <x v="23"/>
    <x v="23"/>
    <x v="2669"/>
    <x v="2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60                   "/>
    <x v="1"/>
    <x v="2"/>
    <x v="66"/>
  </r>
  <r>
    <x v="23"/>
    <x v="23"/>
    <x v="2670"/>
    <x v="2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70                   "/>
    <x v="1"/>
    <x v="2"/>
    <x v="66"/>
  </r>
  <r>
    <x v="23"/>
    <x v="23"/>
    <x v="2671"/>
    <x v="2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80                   "/>
    <x v="1"/>
    <x v="2"/>
    <x v="66"/>
  </r>
  <r>
    <x v="23"/>
    <x v="23"/>
    <x v="2672"/>
    <x v="2673"/>
    <n v="0"/>
    <n v="0"/>
    <n v="0"/>
    <n v="0"/>
    <n v="0"/>
    <n v="0"/>
    <n v="0"/>
    <n v="0"/>
    <n v="0"/>
    <n v="0"/>
    <n v="0"/>
    <n v="0"/>
    <n v="0"/>
    <n v="-493.67"/>
    <n v="0"/>
    <n v="0"/>
    <n v="-833.72"/>
    <n v="0"/>
    <n v="0"/>
    <n v="0"/>
    <n v="0"/>
    <n v="-125.84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90                   "/>
    <x v="1"/>
    <x v="2"/>
    <x v="65"/>
  </r>
  <r>
    <x v="23"/>
    <x v="23"/>
    <x v="2673"/>
    <x v="2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200                   "/>
    <x v="1"/>
    <x v="2"/>
    <x v="66"/>
  </r>
  <r>
    <x v="23"/>
    <x v="23"/>
    <x v="2673"/>
    <x v="2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00                   "/>
    <x v="1"/>
    <x v="2"/>
    <x v="66"/>
  </r>
  <r>
    <x v="23"/>
    <x v="23"/>
    <x v="2673"/>
    <x v="2674"/>
    <n v="0"/>
    <n v="0"/>
    <n v="0"/>
    <n v="107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00                   "/>
    <x v="1"/>
    <x v="2"/>
    <x v="66"/>
  </r>
  <r>
    <x v="23"/>
    <x v="23"/>
    <x v="2674"/>
    <x v="2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10                   "/>
    <x v="1"/>
    <x v="2"/>
    <x v="66"/>
  </r>
  <r>
    <x v="23"/>
    <x v="23"/>
    <x v="2674"/>
    <x v="2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10                   "/>
    <x v="1"/>
    <x v="2"/>
    <x v="66"/>
  </r>
  <r>
    <x v="23"/>
    <x v="23"/>
    <x v="2675"/>
    <x v="2676"/>
    <n v="0"/>
    <n v="0"/>
    <n v="0"/>
    <n v="0"/>
    <n v="0"/>
    <n v="0"/>
    <n v="0"/>
    <n v="0"/>
    <n v="0"/>
    <n v="0"/>
    <n v="0"/>
    <n v="0"/>
    <n v="0"/>
    <n v="71995.17"/>
    <n v="31852.41"/>
    <n v="33156.550000000003"/>
    <n v="32324.9"/>
    <n v="31682.720000000001"/>
    <n v="31150.92"/>
    <n v="32765.360000000001"/>
    <n v="36787.85"/>
    <n v="34900.879999999997"/>
    <n v="31894.57"/>
    <n v="35949.01"/>
    <n v="37502.2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8225.86"/>
    <n v="31272.720000000001"/>
    <n v="33825.480000000003"/>
    <n v="33282.31"/>
    <n v="34328.959999999999"/>
    <n v="33716.28"/>
    <n v="35311.550000000003"/>
    <n v="29285.71"/>
    <n v="39546.519999999997"/>
    <n v="44484.04"/>
    <n v="39093.32"/>
    <n v="44211.839999999997"/>
    <n v="32120.080000000002"/>
    <n v="38843.89"/>
    <n v="39928.68"/>
    <n v="36751.83"/>
    <n v="36132.51"/>
    <n v="35481.9"/>
    <n v="38903.61"/>
    <n v="32481.54"/>
    <n v="38567.89"/>
    <n v="36403.74"/>
    <n v="34773.370000000003"/>
    <n v="38308.949999999997"/>
    <x v="1"/>
    <x v="7"/>
    <s v="92220                   "/>
    <x v="1"/>
    <x v="2"/>
    <x v="66"/>
  </r>
  <r>
    <x v="23"/>
    <x v="23"/>
    <x v="2675"/>
    <x v="2676"/>
    <n v="0"/>
    <n v="0"/>
    <n v="0"/>
    <n v="0"/>
    <n v="0"/>
    <n v="0"/>
    <n v="0"/>
    <n v="0"/>
    <n v="0"/>
    <n v="0"/>
    <n v="0"/>
    <n v="0"/>
    <n v="39844.730000000003"/>
    <n v="-39844.730000000003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20                   "/>
    <x v="1"/>
    <x v="2"/>
    <x v="66"/>
  </r>
  <r>
    <x v="23"/>
    <x v="23"/>
    <x v="2676"/>
    <x v="2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25                   "/>
    <x v="1"/>
    <x v="2"/>
    <x v="66"/>
  </r>
  <r>
    <x v="23"/>
    <x v="23"/>
    <x v="2677"/>
    <x v="2678"/>
    <n v="0"/>
    <n v="0"/>
    <n v="0"/>
    <n v="0"/>
    <n v="0"/>
    <n v="0"/>
    <n v="0"/>
    <n v="0"/>
    <n v="0"/>
    <n v="0"/>
    <n v="0"/>
    <n v="0"/>
    <n v="0"/>
    <n v="82896.7"/>
    <n v="40419.919999999998"/>
    <n v="41520.050000000003"/>
    <n v="41277.9"/>
    <n v="39710.94"/>
    <n v="40784.19"/>
    <n v="39230.959999999999"/>
    <n v="40286.01"/>
    <n v="40038.199999999997"/>
    <n v="37222.199999999997"/>
    <n v="39527.39"/>
    <n v="38009.129999999997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40889.24"/>
    <n v="40652.089999999997"/>
    <n v="41761.03"/>
    <n v="40180.620000000003"/>
    <n v="41271.68"/>
    <n v="41028.379999999997"/>
    <n v="39468.36"/>
    <n v="40532.400000000001"/>
    <n v="38986.18"/>
    <n v="40031.94"/>
    <n v="39782.959999999999"/>
    <n v="36982.33"/>
    <n v="38011"/>
    <n v="39019"/>
    <n v="37515"/>
    <n v="38505"/>
    <n v="38249"/>
    <n v="36766"/>
    <n v="37728"/>
    <n v="36260"/>
    <n v="37202"/>
    <n v="36940"/>
    <n v="33128"/>
    <n v="36396"/>
    <x v="1"/>
    <x v="7"/>
    <s v="92230                   "/>
    <x v="1"/>
    <x v="2"/>
    <x v="66"/>
  </r>
  <r>
    <x v="23"/>
    <x v="23"/>
    <x v="2677"/>
    <x v="2678"/>
    <n v="0"/>
    <n v="0"/>
    <n v="0"/>
    <n v="0"/>
    <n v="0"/>
    <n v="0"/>
    <n v="0"/>
    <n v="0"/>
    <n v="0"/>
    <n v="0"/>
    <n v="0"/>
    <n v="0"/>
    <n v="40889.24"/>
    <n v="-40889.230000000003"/>
    <n v="0"/>
    <n v="0"/>
    <n v="0"/>
    <n v="0"/>
    <n v="0"/>
    <n v="0"/>
    <n v="-0.01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30                   "/>
    <x v="1"/>
    <x v="2"/>
    <x v="66"/>
  </r>
  <r>
    <x v="23"/>
    <x v="23"/>
    <x v="2678"/>
    <x v="2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35                   "/>
    <x v="1"/>
    <x v="2"/>
    <x v="66"/>
  </r>
  <r>
    <x v="23"/>
    <x v="23"/>
    <x v="2679"/>
    <x v="2680"/>
    <n v="0"/>
    <n v="0"/>
    <n v="0"/>
    <n v="0"/>
    <n v="0"/>
    <n v="0"/>
    <n v="0"/>
    <n v="0"/>
    <n v="0"/>
    <n v="0"/>
    <n v="0"/>
    <n v="0"/>
    <n v="0"/>
    <n v="12385.09"/>
    <n v="6231.73"/>
    <n v="5991.03"/>
    <n v="6148.71"/>
    <n v="6107.37"/>
    <n v="5870.17"/>
    <n v="6023.32"/>
    <n v="5788.49"/>
    <n v="5788.49"/>
    <n v="5896.32"/>
    <n v="5476.23"/>
    <n v="5809.7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2363.36"/>
    <n v="11705.51"/>
    <n v="6842.01"/>
    <n v="6619.82"/>
    <n v="6395.41"/>
    <n v="6168.75"/>
    <n v="5939.83"/>
    <n v="5708.61"/>
    <n v="5475.09"/>
    <n v="5239.2299999999996"/>
    <n v="5001.01"/>
    <n v="4760.41"/>
    <n v="5619.91"/>
    <n v="5763.65"/>
    <n v="5536.13"/>
    <n v="5676.73"/>
    <n v="5633.38"/>
    <n v="5409.53"/>
    <n v="5545.37"/>
    <n v="5324"/>
    <n v="5456.62"/>
    <n v="5412.34"/>
    <n v="4848.3999999999996"/>
    <n v="5321.01"/>
    <x v="1"/>
    <x v="7"/>
    <s v="92240                   "/>
    <x v="1"/>
    <x v="2"/>
    <x v="66"/>
  </r>
  <r>
    <x v="23"/>
    <x v="23"/>
    <x v="2679"/>
    <x v="2680"/>
    <n v="0"/>
    <n v="0"/>
    <n v="0"/>
    <n v="0"/>
    <n v="0"/>
    <n v="0"/>
    <n v="0"/>
    <n v="0"/>
    <n v="0"/>
    <n v="0"/>
    <n v="0"/>
    <n v="0"/>
    <n v="6314.05"/>
    <n v="-6314.0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40                   "/>
    <x v="1"/>
    <x v="2"/>
    <x v="66"/>
  </r>
  <r>
    <x v="23"/>
    <x v="23"/>
    <x v="2680"/>
    <x v="2681"/>
    <n v="0"/>
    <n v="0"/>
    <n v="0"/>
    <n v="0"/>
    <n v="0"/>
    <n v="0"/>
    <n v="0"/>
    <n v="0"/>
    <n v="0"/>
    <n v="0"/>
    <n v="0"/>
    <n v="0"/>
    <n v="0"/>
    <n v="23971.72"/>
    <n v="6530.95"/>
    <n v="7122.19"/>
    <n v="6519.03"/>
    <n v="6289.28"/>
    <n v="5861.81"/>
    <n v="5820.76"/>
    <n v="5403.77"/>
    <n v="5403.77"/>
    <n v="5101.18"/>
    <n v="4543.5200000000004"/>
    <n v="4606.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314.06"/>
    <n v="6071.06"/>
    <n v="6231.76"/>
    <n v="5991.07"/>
    <n v="6148.77"/>
    <n v="6107.43"/>
    <n v="5870.24"/>
    <n v="6023.4"/>
    <n v="5788.58"/>
    <n v="5938.67"/>
    <n v="5896.44"/>
    <n v="5476.36"/>
    <n v="4454.45"/>
    <n v="4352.1499999999996"/>
    <n v="3968.05"/>
    <n v="3844.58"/>
    <n v="3587.58"/>
    <n v="3220.61"/>
    <n v="3064.6"/>
    <n v="2709.34"/>
    <n v="2531.08"/>
    <n v="2260.69"/>
    <n v="1795.21"/>
    <n v="1709.66"/>
    <x v="1"/>
    <x v="7"/>
    <s v="92250                   "/>
    <x v="1"/>
    <x v="2"/>
    <x v="66"/>
  </r>
  <r>
    <x v="23"/>
    <x v="23"/>
    <x v="2680"/>
    <x v="2681"/>
    <n v="0"/>
    <n v="0"/>
    <n v="0"/>
    <n v="0"/>
    <n v="0"/>
    <n v="0"/>
    <n v="0"/>
    <n v="0"/>
    <n v="0"/>
    <n v="0"/>
    <n v="0"/>
    <n v="0"/>
    <n v="12363.43"/>
    <n v="-12363.4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50                   "/>
    <x v="1"/>
    <x v="2"/>
    <x v="66"/>
  </r>
  <r>
    <x v="23"/>
    <x v="23"/>
    <x v="2681"/>
    <x v="26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260                   "/>
    <x v="1"/>
    <x v="2"/>
    <x v="66"/>
  </r>
  <r>
    <x v="23"/>
    <x v="23"/>
    <x v="2681"/>
    <x v="2682"/>
    <n v="0"/>
    <n v="0"/>
    <n v="0"/>
    <n v="0"/>
    <n v="0"/>
    <n v="0"/>
    <n v="0"/>
    <n v="0"/>
    <n v="0"/>
    <n v="0"/>
    <n v="0"/>
    <n v="0"/>
    <n v="0"/>
    <n v="6666.66"/>
    <n v="3333.33"/>
    <n v="3333.33"/>
    <n v="3333.33"/>
    <n v="3333.33"/>
    <n v="3333.33"/>
    <n v="3333.33"/>
    <n v="3333.33"/>
    <n v="6666.66"/>
    <n v="0"/>
    <n v="3333.37"/>
    <n v="4000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3333.33"/>
    <n v="3333.33"/>
    <n v="3333.33"/>
    <n v="3333.33"/>
    <n v="3333.33"/>
    <n v="3333.33"/>
    <n v="3333.33"/>
    <n v="3333.33"/>
    <n v="3333.33"/>
    <n v="3333.33"/>
    <n v="3333.33"/>
    <n v="3333.33"/>
    <n v="0"/>
    <n v="0"/>
    <n v="0"/>
    <n v="0"/>
    <n v="0"/>
    <n v="0"/>
    <n v="0"/>
    <n v="0"/>
    <n v="0"/>
    <n v="0"/>
    <n v="0"/>
    <n v="0"/>
    <x v="1"/>
    <x v="7"/>
    <s v="92260                   "/>
    <x v="1"/>
    <x v="2"/>
    <x v="66"/>
  </r>
  <r>
    <x v="23"/>
    <x v="23"/>
    <x v="2681"/>
    <x v="2682"/>
    <n v="0"/>
    <n v="0"/>
    <n v="0"/>
    <n v="0"/>
    <n v="0"/>
    <n v="0"/>
    <n v="0"/>
    <n v="0"/>
    <n v="0"/>
    <n v="0"/>
    <n v="0"/>
    <n v="0"/>
    <n v="3333.33"/>
    <n v="-3333.33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260                   "/>
    <x v="1"/>
    <x v="2"/>
    <x v="66"/>
  </r>
  <r>
    <x v="23"/>
    <x v="23"/>
    <x v="2682"/>
    <x v="26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70                   "/>
    <x v="1"/>
    <x v="2"/>
    <x v="66"/>
  </r>
  <r>
    <x v="23"/>
    <x v="23"/>
    <x v="2683"/>
    <x v="2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75                   "/>
    <x v="1"/>
    <x v="2"/>
    <x v="66"/>
  </r>
  <r>
    <x v="23"/>
    <x v="23"/>
    <x v="2684"/>
    <x v="2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80                   "/>
    <x v="1"/>
    <x v="2"/>
    <x v="66"/>
  </r>
  <r>
    <x v="23"/>
    <x v="23"/>
    <x v="2685"/>
    <x v="26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85                   "/>
    <x v="1"/>
    <x v="2"/>
    <x v="66"/>
  </r>
  <r>
    <x v="23"/>
    <x v="23"/>
    <x v="2686"/>
    <x v="2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90                   "/>
    <x v="1"/>
    <x v="2"/>
    <x v="66"/>
  </r>
  <r>
    <x v="23"/>
    <x v="23"/>
    <x v="2687"/>
    <x v="2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95                   "/>
    <x v="1"/>
    <x v="2"/>
    <x v="66"/>
  </r>
  <r>
    <x v="23"/>
    <x v="23"/>
    <x v="2688"/>
    <x v="2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300                   "/>
    <x v="1"/>
    <x v="2"/>
    <x v="66"/>
  </r>
  <r>
    <x v="23"/>
    <x v="23"/>
    <x v="2689"/>
    <x v="26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305                   "/>
    <x v="1"/>
    <x v="2"/>
    <x v="66"/>
  </r>
  <r>
    <x v="23"/>
    <x v="23"/>
    <x v="2690"/>
    <x v="2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310                   "/>
    <x v="1"/>
    <x v="2"/>
    <x v="66"/>
  </r>
  <r>
    <x v="23"/>
    <x v="23"/>
    <x v="2691"/>
    <x v="2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315                   "/>
    <x v="1"/>
    <x v="2"/>
    <x v="66"/>
  </r>
  <r>
    <x v="23"/>
    <x v="23"/>
    <x v="2692"/>
    <x v="2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320                   "/>
    <x v="1"/>
    <x v="2"/>
    <x v="66"/>
  </r>
  <r>
    <x v="24"/>
    <x v="24"/>
    <x v="2693"/>
    <x v="2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  <x v="7"/>
    <s v="92000                   "/>
    <x v="1"/>
    <x v="2"/>
    <x v="69"/>
  </r>
  <r>
    <x v="24"/>
    <x v="24"/>
    <x v="2693"/>
    <x v="2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000                   "/>
    <x v="1"/>
    <x v="2"/>
    <x v="69"/>
  </r>
  <r>
    <x v="24"/>
    <x v="24"/>
    <x v="2693"/>
    <x v="2693"/>
    <n v="0"/>
    <n v="0"/>
    <n v="0"/>
    <n v="0"/>
    <n v="0"/>
    <n v="0"/>
    <n v="0"/>
    <n v="0"/>
    <n v="-16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000                   "/>
    <x v="1"/>
    <x v="2"/>
    <x v="69"/>
  </r>
  <r>
    <x v="25"/>
    <x v="25"/>
    <x v="2694"/>
    <x v="2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245                   "/>
    <x v="1"/>
    <x v="2"/>
    <x v="62"/>
  </r>
  <r>
    <x v="26"/>
    <x v="26"/>
    <x v="2695"/>
    <x v="2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00                   "/>
    <x v="1"/>
    <x v="2"/>
    <x v="70"/>
  </r>
  <r>
    <x v="26"/>
    <x v="26"/>
    <x v="2695"/>
    <x v="2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00                   "/>
    <x v="1"/>
    <x v="2"/>
    <x v="70"/>
  </r>
  <r>
    <x v="26"/>
    <x v="26"/>
    <x v="2696"/>
    <x v="2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7"/>
    <s v="92130                   "/>
    <x v="1"/>
    <x v="2"/>
    <x v="70"/>
  </r>
  <r>
    <x v="26"/>
    <x v="26"/>
    <x v="2696"/>
    <x v="2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x v="7"/>
    <s v="92130                   "/>
    <x v="1"/>
    <x v="2"/>
    <x v="70"/>
  </r>
  <r>
    <x v="0"/>
    <x v="0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2.77"/>
    <n v="3524.4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3"/>
    <x v="0"/>
  </r>
  <r>
    <x v="0"/>
    <x v="0"/>
    <x v="7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9"/>
    <n v="7221.2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7"/>
    <x v="0"/>
  </r>
  <r>
    <x v="0"/>
    <x v="0"/>
    <x v="8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n v="1773.4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8"/>
    <x v="0"/>
  </r>
  <r>
    <x v="0"/>
    <x v="0"/>
    <x v="9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1"/>
    <n v="878.7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9"/>
    <x v="0"/>
  </r>
  <r>
    <x v="0"/>
    <x v="0"/>
    <x v="10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5"/>
    <n v="1987.5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0"/>
    <x v="0"/>
  </r>
  <r>
    <x v="0"/>
    <x v="0"/>
    <x v="11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"/>
    <n v="1825.8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1"/>
    <x v="0"/>
  </r>
  <r>
    <x v="0"/>
    <x v="0"/>
    <x v="12"/>
    <x v="15"/>
    <n v="0"/>
    <n v="0"/>
    <n v="0"/>
    <n v="0"/>
    <n v="0"/>
    <n v="0"/>
    <n v="0"/>
    <n v="0.01"/>
    <n v="-0.01"/>
    <n v="0"/>
    <n v="0"/>
    <n v="0"/>
    <n v="0"/>
    <n v="0"/>
    <n v="0"/>
    <n v="0"/>
    <n v="0"/>
    <n v="0"/>
    <n v="0"/>
    <n v="0"/>
    <n v="0"/>
    <n v="0"/>
    <n v="0"/>
    <n v="0"/>
    <n v="-2023.23"/>
    <n v="1660.7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2"/>
    <x v="0"/>
  </r>
  <r>
    <x v="0"/>
    <x v="0"/>
    <x v="2697"/>
    <x v="2697"/>
    <n v="0"/>
    <n v="8.5"/>
    <n v="-8.5"/>
    <n v="0"/>
    <n v="0"/>
    <n v="25.5"/>
    <n v="-25.5"/>
    <n v="0"/>
    <n v="0"/>
    <n v="0"/>
    <n v="17"/>
    <n v="-17"/>
    <n v="25.5"/>
    <n v="-25.5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20"/>
    <x v="0"/>
  </r>
  <r>
    <x v="0"/>
    <x v="0"/>
    <x v="1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5000000000000004"/>
    <n v="1495.3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5"/>
    <x v="0"/>
  </r>
  <r>
    <x v="0"/>
    <x v="0"/>
    <x v="16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4"/>
    <n v="2588.98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6"/>
    <x v="0"/>
  </r>
  <r>
    <x v="0"/>
    <x v="0"/>
    <x v="17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1"/>
    <n v="615.0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00                   "/>
    <x v="0"/>
    <x v="17"/>
    <x v="0"/>
  </r>
  <r>
    <x v="0"/>
    <x v="0"/>
    <x v="23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.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73                   "/>
    <x v="0"/>
    <x v="2"/>
    <x v="0"/>
  </r>
  <r>
    <x v="0"/>
    <x v="0"/>
    <x v="24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074                   "/>
    <x v="0"/>
    <x v="2"/>
    <x v="0"/>
  </r>
  <r>
    <x v="0"/>
    <x v="0"/>
    <x v="49"/>
    <x v="49"/>
    <n v="0"/>
    <n v="0"/>
    <n v="0"/>
    <n v="0"/>
    <n v="0"/>
    <n v="0"/>
    <n v="0"/>
    <n v="0"/>
    <n v="0"/>
    <n v="0"/>
    <n v="0"/>
    <n v="0"/>
    <n v="0"/>
    <n v="0"/>
    <n v="0"/>
    <n v="69.78"/>
    <n v="0"/>
    <n v="0"/>
    <n v="0"/>
    <n v="0"/>
    <n v="0"/>
    <n v="0"/>
    <n v="0"/>
    <n v="78.7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3"/>
    <x v="7"/>
    <x v="4"/>
  </r>
  <r>
    <x v="0"/>
    <x v="0"/>
    <x v="58"/>
    <x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3"/>
    <x v="16"/>
    <x v="4"/>
  </r>
  <r>
    <x v="0"/>
    <x v="0"/>
    <x v="100"/>
    <x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8"/>
    <x v="9"/>
    <x v="7"/>
  </r>
  <r>
    <x v="0"/>
    <x v="0"/>
    <x v="103"/>
    <x v="103"/>
    <n v="0"/>
    <n v="24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8"/>
    <x v="12"/>
    <x v="7"/>
  </r>
  <r>
    <x v="0"/>
    <x v="0"/>
    <x v="107"/>
    <x v="107"/>
    <n v="0"/>
    <n v="0"/>
    <n v="0"/>
    <n v="0"/>
    <n v="0"/>
    <n v="0"/>
    <n v="0"/>
    <n v="0"/>
    <n v="0"/>
    <n v="0"/>
    <n v="0"/>
    <n v="0"/>
    <n v="1512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8"/>
    <x v="16"/>
    <x v="7"/>
  </r>
  <r>
    <x v="0"/>
    <x v="0"/>
    <x v="110"/>
    <x v="110"/>
    <n v="0"/>
    <n v="0"/>
    <n v="0"/>
    <n v="139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3"/>
    <x v="9"/>
  </r>
  <r>
    <x v="0"/>
    <x v="0"/>
    <x v="115"/>
    <x v="115"/>
    <n v="0"/>
    <n v="0"/>
    <n v="0"/>
    <n v="0"/>
    <n v="0"/>
    <n v="0"/>
    <n v="89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8"/>
    <x v="9"/>
  </r>
  <r>
    <x v="0"/>
    <x v="0"/>
    <x v="116"/>
    <x v="116"/>
    <n v="0"/>
    <n v="0"/>
    <n v="0"/>
    <n v="22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9"/>
    <x v="9"/>
  </r>
  <r>
    <x v="0"/>
    <x v="0"/>
    <x v="117"/>
    <x v="117"/>
    <n v="0"/>
    <n v="0"/>
    <n v="0"/>
    <n v="0"/>
    <n v="0"/>
    <n v="0"/>
    <n v="47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10"/>
    <x v="9"/>
  </r>
  <r>
    <x v="0"/>
    <x v="0"/>
    <x v="118"/>
    <x v="118"/>
    <n v="0"/>
    <n v="0"/>
    <n v="0"/>
    <n v="0"/>
    <n v="0"/>
    <n v="0"/>
    <n v="10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11"/>
    <x v="9"/>
  </r>
  <r>
    <x v="0"/>
    <x v="0"/>
    <x v="119"/>
    <x v="119"/>
    <n v="0"/>
    <n v="0"/>
    <n v="0"/>
    <n v="0"/>
    <n v="0"/>
    <n v="0"/>
    <n v="330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12"/>
    <x v="9"/>
  </r>
  <r>
    <x v="0"/>
    <x v="0"/>
    <x v="123"/>
    <x v="123"/>
    <n v="0"/>
    <n v="0"/>
    <n v="0"/>
    <n v="128.74"/>
    <n v="0"/>
    <n v="0"/>
    <n v="162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9"/>
    <x v="16"/>
    <x v="9"/>
  </r>
  <r>
    <x v="0"/>
    <x v="0"/>
    <x v="126"/>
    <x v="126"/>
    <n v="-339.82"/>
    <n v="-348.78"/>
    <n v="-458.53"/>
    <n v="-655.83"/>
    <n v="-391.46"/>
    <n v="-99.5"/>
    <n v="-356.66"/>
    <n v="-156.04"/>
    <n v="-1085.78"/>
    <n v="-2796.09"/>
    <n v="-1917.97"/>
    <n v="-2908.69"/>
    <n v="-2471.09"/>
    <n v="-437.22"/>
    <n v="-63.96"/>
    <n v="-434.68"/>
    <n v="-380.67"/>
    <n v="-356.95"/>
    <n v="-1335.76"/>
    <n v="-2251.0100000000002"/>
    <n v="-2687.53"/>
    <n v="-1819.51"/>
    <n v="-1306.6500000000001"/>
    <n v="-2014.18"/>
    <n v="-1007.4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39.82"/>
    <n v="-348.78"/>
    <n v="-458.53"/>
    <n v="-655.83"/>
    <n v="-391.46"/>
    <n v="-99.5"/>
    <n v="-356.66"/>
    <n v="-156.04"/>
    <n v="-1085.78"/>
    <n v="-2796.09"/>
    <n v="-1917.97"/>
    <n v="-2908.69"/>
    <n v="0"/>
    <n v="0"/>
    <n v="0"/>
    <n v="0"/>
    <n v="0"/>
    <n v="0"/>
    <n v="0"/>
    <n v="0"/>
    <n v="0"/>
    <n v="0"/>
    <n v="0"/>
    <n v="0"/>
    <x v="0"/>
    <x v="0"/>
    <s v="41100                   "/>
    <x v="10"/>
    <x v="3"/>
    <x v="4"/>
  </r>
  <r>
    <x v="0"/>
    <x v="0"/>
    <x v="128"/>
    <x v="128"/>
    <n v="0"/>
    <n v="-564.70000000000005"/>
    <n v="-368.62"/>
    <n v="-473.76"/>
    <n v="-660.85"/>
    <n v="-658.82"/>
    <n v="-476.61"/>
    <n v="-650.98"/>
    <n v="-894.11"/>
    <n v="-449.57"/>
    <n v="-513.49"/>
    <n v="-576.62"/>
    <n v="-140.18"/>
    <n v="-113.98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-564.70000000000005"/>
    <n v="-368.62"/>
    <n v="-473.76"/>
    <n v="-660.85"/>
    <n v="-658.82"/>
    <n v="-476.61"/>
    <n v="-650.98"/>
    <n v="-894.11"/>
    <n v="-449.57"/>
    <n v="-513.49"/>
    <n v="-576.62"/>
    <n v="0"/>
    <n v="0"/>
    <n v="0"/>
    <n v="0"/>
    <n v="0"/>
    <n v="0"/>
    <n v="0"/>
    <n v="0"/>
    <n v="0"/>
    <n v="0"/>
    <n v="0"/>
    <n v="0"/>
    <x v="0"/>
    <x v="0"/>
    <s v="41100                   "/>
    <x v="10"/>
    <x v="0"/>
    <x v="4"/>
  </r>
  <r>
    <x v="0"/>
    <x v="0"/>
    <x v="129"/>
    <x v="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0"/>
    <x v="5"/>
    <x v="4"/>
  </r>
  <r>
    <x v="0"/>
    <x v="0"/>
    <x v="130"/>
    <x v="130"/>
    <n v="0"/>
    <n v="0"/>
    <n v="0"/>
    <n v="0"/>
    <n v="0"/>
    <n v="0"/>
    <n v="0"/>
    <n v="0"/>
    <n v="0"/>
    <n v="-49.06"/>
    <n v="10.92"/>
    <n v="14.57"/>
    <n v="12.13"/>
    <n v="15.77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9.06"/>
    <n v="10.92"/>
    <n v="14.57"/>
    <n v="0"/>
    <n v="0"/>
    <n v="0"/>
    <n v="0"/>
    <n v="0"/>
    <n v="0"/>
    <n v="0"/>
    <n v="0"/>
    <n v="0"/>
    <n v="0"/>
    <n v="0"/>
    <n v="0"/>
    <x v="0"/>
    <x v="0"/>
    <s v="41100                   "/>
    <x v="10"/>
    <x v="6"/>
    <x v="4"/>
  </r>
  <r>
    <x v="0"/>
    <x v="0"/>
    <x v="131"/>
    <x v="131"/>
    <n v="-247.81"/>
    <n v="30.62"/>
    <n v="-365.94"/>
    <n v="-537.62"/>
    <n v="-1.41"/>
    <n v="25.46"/>
    <n v="8.89"/>
    <n v="16.36"/>
    <n v="24.2"/>
    <n v="0"/>
    <n v="0"/>
    <n v="0"/>
    <n v="0"/>
    <n v="0"/>
    <n v="7.03"/>
    <n v="0"/>
    <n v="0"/>
    <n v="15.31"/>
    <n v="0"/>
    <n v="0"/>
    <n v="8.9"/>
    <n v="-53.64"/>
    <n v="-128.74"/>
    <n v="-42.91"/>
    <n v="-118.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47.81"/>
    <n v="30.62"/>
    <n v="-365.94"/>
    <n v="-537.62"/>
    <n v="-1.41"/>
    <n v="25.46"/>
    <n v="8.89"/>
    <n v="16.36"/>
    <n v="24.2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0"/>
    <x v="1"/>
    <x v="4"/>
  </r>
  <r>
    <x v="0"/>
    <x v="0"/>
    <x v="132"/>
    <x v="132"/>
    <n v="-503.28"/>
    <n v="-0.02"/>
    <n v="-1760.78"/>
    <n v="-1655.2"/>
    <n v="-1795.1"/>
    <n v="-2122.1"/>
    <n v="-840.88"/>
    <n v="-3190.01"/>
    <n v="-1122.07"/>
    <n v="-3927.03"/>
    <n v="-2346.73"/>
    <n v="-1032.55"/>
    <n v="783.61"/>
    <n v="3568.41"/>
    <n v="6774.94"/>
    <n v="108.9"/>
    <n v="30.41"/>
    <n v="288.88"/>
    <n v="306.18"/>
    <n v="67.739999999999995"/>
    <n v="-263.74"/>
    <n v="82.25"/>
    <n v="1492.51"/>
    <n v="371.66"/>
    <n v="17.350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503.28"/>
    <n v="-0.02"/>
    <n v="-1760.78"/>
    <n v="-1655.2"/>
    <n v="-1795.1"/>
    <n v="-2122.1"/>
    <n v="-840.88"/>
    <n v="-3190.01"/>
    <n v="-1122.07"/>
    <n v="-3927.03"/>
    <n v="-2346.73"/>
    <n v="-1032.55"/>
    <n v="0"/>
    <n v="0"/>
    <n v="0"/>
    <n v="0"/>
    <n v="0"/>
    <n v="0"/>
    <n v="0"/>
    <n v="0"/>
    <n v="0"/>
    <n v="0"/>
    <n v="0"/>
    <n v="0"/>
    <x v="0"/>
    <x v="0"/>
    <s v="41100                   "/>
    <x v="10"/>
    <x v="7"/>
    <x v="4"/>
  </r>
  <r>
    <x v="0"/>
    <x v="0"/>
    <x v="133"/>
    <x v="133"/>
    <n v="67.819999999999993"/>
    <n v="8.2799999999999994"/>
    <n v="46.89"/>
    <n v="37.479999999999997"/>
    <n v="0"/>
    <n v="31.72"/>
    <n v="0"/>
    <n v="16.559999999999999"/>
    <n v="1161.43"/>
    <n v="0"/>
    <n v="0"/>
    <n v="-1826.41"/>
    <n v="-2172.7800000000002"/>
    <n v="-2110.15"/>
    <n v="-139.55000000000001"/>
    <n v="-316.87"/>
    <n v="-907.13"/>
    <n v="-28.96"/>
    <n v="-1046.4000000000001"/>
    <n v="-248.64"/>
    <n v="75.41"/>
    <n v="-510.57"/>
    <n v="-130.34"/>
    <n v="-11.8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67.819999999999993"/>
    <n v="8.2799999999999994"/>
    <n v="46.89"/>
    <n v="37.479999999999997"/>
    <n v="0"/>
    <n v="31.72"/>
    <n v="0"/>
    <n v="16.559999999999999"/>
    <n v="1161.43"/>
    <n v="0"/>
    <n v="0"/>
    <n v="-1826.41"/>
    <n v="0"/>
    <n v="0"/>
    <n v="0"/>
    <n v="0"/>
    <n v="0"/>
    <n v="0"/>
    <n v="0"/>
    <n v="0"/>
    <n v="0"/>
    <n v="0"/>
    <n v="0"/>
    <n v="0"/>
    <x v="0"/>
    <x v="0"/>
    <s v="41100                   "/>
    <x v="10"/>
    <x v="8"/>
    <x v="4"/>
  </r>
  <r>
    <x v="0"/>
    <x v="0"/>
    <x v="134"/>
    <x v="134"/>
    <n v="-139.36000000000001"/>
    <n v="-173.17"/>
    <n v="-437.56"/>
    <n v="-388.34"/>
    <n v="-747.44"/>
    <n v="-474.17"/>
    <n v="-399.12"/>
    <n v="-376.17"/>
    <n v="-1097.43"/>
    <n v="-220.98"/>
    <n v="-292.64"/>
    <n v="-395.46"/>
    <n v="-812.77"/>
    <n v="-1023.27"/>
    <n v="0"/>
    <n v="0"/>
    <n v="0"/>
    <n v="0"/>
    <n v="0"/>
    <n v="0"/>
    <n v="-2049.9"/>
    <n v="-169.99"/>
    <n v="-558.49"/>
    <n v="-1614.02"/>
    <n v="-525.8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139.36000000000001"/>
    <n v="-173.17"/>
    <n v="-437.56"/>
    <n v="-388.34"/>
    <n v="-747.44"/>
    <n v="-474.17"/>
    <n v="-399.12"/>
    <n v="-376.17"/>
    <n v="-1097.43"/>
    <n v="-220.98"/>
    <n v="-292.64"/>
    <n v="-395.46"/>
    <n v="0"/>
    <n v="0"/>
    <n v="0"/>
    <n v="0"/>
    <n v="0"/>
    <n v="0"/>
    <n v="0"/>
    <n v="0"/>
    <n v="0"/>
    <n v="0"/>
    <n v="0"/>
    <n v="0"/>
    <x v="0"/>
    <x v="0"/>
    <s v="41100                   "/>
    <x v="10"/>
    <x v="9"/>
    <x v="4"/>
  </r>
  <r>
    <x v="0"/>
    <x v="0"/>
    <x v="135"/>
    <x v="135"/>
    <n v="-350.59"/>
    <n v="-185.61"/>
    <n v="-237.17"/>
    <n v="-164.99"/>
    <n v="-164.99"/>
    <n v="-144.36000000000001"/>
    <n v="-288.72000000000003"/>
    <n v="-175.3"/>
    <n v="-857.02"/>
    <n v="-328.73"/>
    <n v="-497.11"/>
    <n v="0"/>
    <n v="-625.39"/>
    <n v="-280.63"/>
    <n v="0"/>
    <n v="-208.46"/>
    <n v="0"/>
    <n v="0"/>
    <n v="5.93"/>
    <n v="5.92"/>
    <n v="-1384.61"/>
    <n v="0"/>
    <n v="0"/>
    <n v="-1999.94"/>
    <n v="-6034.1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50.59"/>
    <n v="-185.61"/>
    <n v="-237.17"/>
    <n v="-164.99"/>
    <n v="-164.99"/>
    <n v="-144.36000000000001"/>
    <n v="-288.72000000000003"/>
    <n v="-175.3"/>
    <n v="-857.02"/>
    <n v="-328.73"/>
    <n v="-497.11"/>
    <n v="0"/>
    <n v="0"/>
    <n v="0"/>
    <n v="0"/>
    <n v="0"/>
    <n v="0"/>
    <n v="0"/>
    <n v="0"/>
    <n v="0"/>
    <n v="0"/>
    <n v="0"/>
    <n v="0"/>
    <n v="0"/>
    <x v="0"/>
    <x v="0"/>
    <s v="41100                   "/>
    <x v="10"/>
    <x v="10"/>
    <x v="4"/>
  </r>
  <r>
    <x v="0"/>
    <x v="0"/>
    <x v="136"/>
    <x v="136"/>
    <n v="0"/>
    <n v="0"/>
    <n v="0"/>
    <n v="0"/>
    <n v="0"/>
    <n v="0"/>
    <n v="-916.23"/>
    <n v="-2480.81"/>
    <n v="-1635.7"/>
    <n v="-995.64"/>
    <n v="-924.52"/>
    <n v="-1208.99"/>
    <n v="-845.12"/>
    <n v="-1137.8599999999999"/>
    <n v="-497.82"/>
    <n v="-711.17"/>
    <n v="-426.7"/>
    <n v="-711.17"/>
    <n v="-640.04"/>
    <n v="-711.17"/>
    <n v="-1511.97"/>
    <n v="-1351.22"/>
    <n v="-760.61"/>
    <n v="-597.24"/>
    <n v="-700.4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16.23"/>
    <n v="-2480.81"/>
    <n v="-1635.7"/>
    <n v="-995.64"/>
    <n v="-924.52"/>
    <n v="-1208.99"/>
    <n v="0"/>
    <n v="0"/>
    <n v="0"/>
    <n v="0"/>
    <n v="0"/>
    <n v="0"/>
    <n v="0"/>
    <n v="0"/>
    <n v="0"/>
    <n v="0"/>
    <n v="0"/>
    <n v="0"/>
    <x v="0"/>
    <x v="0"/>
    <s v="41100                   "/>
    <x v="10"/>
    <x v="11"/>
    <x v="4"/>
  </r>
  <r>
    <x v="0"/>
    <x v="0"/>
    <x v="137"/>
    <x v="137"/>
    <n v="-189.1"/>
    <n v="-1569.55"/>
    <n v="1992.13"/>
    <n v="3115.45"/>
    <n v="3665.7"/>
    <n v="4876.76"/>
    <n v="-2005.27"/>
    <n v="-65.739999999999995"/>
    <n v="-331.56"/>
    <n v="0"/>
    <n v="-167.28"/>
    <n v="-91.91"/>
    <n v="-54.59"/>
    <n v="-123.13"/>
    <n v="0"/>
    <n v="0"/>
    <n v="-13.65"/>
    <n v="-759.22"/>
    <n v="0"/>
    <n v="-827.45"/>
    <n v="-1041.2"/>
    <n v="-51.26"/>
    <n v="-440.84"/>
    <n v="-1485.41"/>
    <n v="-2047.9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189.1"/>
    <n v="-1569.55"/>
    <n v="1992.13"/>
    <n v="3115.45"/>
    <n v="3665.7"/>
    <n v="4876.76"/>
    <n v="-2005.27"/>
    <n v="-65.739999999999995"/>
    <n v="-331.56"/>
    <n v="0"/>
    <n v="-167.28"/>
    <n v="-91.91"/>
    <n v="0"/>
    <n v="0"/>
    <n v="0"/>
    <n v="0"/>
    <n v="0"/>
    <n v="0"/>
    <n v="0"/>
    <n v="0"/>
    <n v="0"/>
    <n v="0"/>
    <n v="0"/>
    <n v="0"/>
    <x v="0"/>
    <x v="0"/>
    <s v="41100                   "/>
    <x v="10"/>
    <x v="12"/>
    <x v="4"/>
  </r>
  <r>
    <x v="0"/>
    <x v="0"/>
    <x v="140"/>
    <x v="140"/>
    <n v="-2514.69"/>
    <n v="-2782.24"/>
    <n v="-1235.1300000000001"/>
    <n v="0"/>
    <n v="0"/>
    <n v="-2019.32"/>
    <n v="0"/>
    <n v="0"/>
    <n v="-1514.78"/>
    <n v="-1025.49"/>
    <n v="-1335.17"/>
    <n v="-1711.28"/>
    <n v="-1648.82"/>
    <n v="-723.87"/>
    <n v="-288.20999999999998"/>
    <n v="-2670.4"/>
    <n v="-5266.67"/>
    <n v="-3632.78"/>
    <n v="-5315.65"/>
    <n v="-3242.95"/>
    <n v="-3033.61"/>
    <n v="-2449.23"/>
    <n v="-2156.27"/>
    <n v="-2169.61"/>
    <n v="-2858.3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514.69"/>
    <n v="-2782.24"/>
    <n v="-1235.1300000000001"/>
    <n v="0"/>
    <n v="0"/>
    <n v="-2019.32"/>
    <n v="0"/>
    <n v="0"/>
    <n v="-1514.78"/>
    <n v="-1025.49"/>
    <n v="-1335.17"/>
    <n v="-1711.28"/>
    <n v="0"/>
    <n v="0"/>
    <n v="0"/>
    <n v="0"/>
    <n v="0"/>
    <n v="0"/>
    <n v="0"/>
    <n v="0"/>
    <n v="0"/>
    <n v="0"/>
    <n v="0"/>
    <n v="0"/>
    <x v="0"/>
    <x v="0"/>
    <s v="41100                   "/>
    <x v="10"/>
    <x v="15"/>
    <x v="4"/>
  </r>
  <r>
    <x v="0"/>
    <x v="0"/>
    <x v="141"/>
    <x v="141"/>
    <n v="-665.2"/>
    <n v="-1140.27"/>
    <n v="-1241.55"/>
    <n v="327.20999999999998"/>
    <n v="123.59"/>
    <n v="966.3"/>
    <n v="33.44"/>
    <n v="654.5"/>
    <n v="57.96"/>
    <n v="0"/>
    <n v="12.81"/>
    <n v="0"/>
    <n v="12.81"/>
    <n v="-789.78"/>
    <n v="220.99"/>
    <n v="110.01"/>
    <n v="244.75"/>
    <n v="173.29"/>
    <n v="0"/>
    <n v="15.94"/>
    <n v="114.36"/>
    <n v="16.559999999999999"/>
    <n v="-208.35"/>
    <n v="-130.43"/>
    <n v="-195.84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665.2"/>
    <n v="-1140.27"/>
    <n v="-1241.55"/>
    <n v="327.20999999999998"/>
    <n v="123.59"/>
    <n v="966.3"/>
    <n v="33.44"/>
    <n v="654.5"/>
    <n v="57.96"/>
    <n v="0"/>
    <n v="12.81"/>
    <n v="0"/>
    <n v="0"/>
    <n v="0"/>
    <n v="0"/>
    <n v="0"/>
    <n v="0"/>
    <n v="0"/>
    <n v="0"/>
    <n v="0"/>
    <n v="0"/>
    <n v="0"/>
    <n v="0"/>
    <n v="0"/>
    <x v="0"/>
    <x v="0"/>
    <s v="41100                   "/>
    <x v="10"/>
    <x v="16"/>
    <x v="4"/>
  </r>
  <r>
    <x v="0"/>
    <x v="0"/>
    <x v="142"/>
    <x v="142"/>
    <n v="-349.24"/>
    <n v="-349.07"/>
    <n v="-593.85"/>
    <n v="-1199.83"/>
    <n v="-889.14"/>
    <n v="-852.76"/>
    <n v="205.96"/>
    <n v="-875.5"/>
    <n v="-1162.46"/>
    <n v="-688.15"/>
    <n v="-628.74"/>
    <n v="-754.64"/>
    <n v="-607.82000000000005"/>
    <n v="-665.38"/>
    <n v="-125.14"/>
    <n v="-828.83"/>
    <n v="-899.82"/>
    <n v="-744.34"/>
    <n v="-577.48"/>
    <n v="-614.33000000000004"/>
    <n v="-1054.31"/>
    <n v="-414.87"/>
    <n v="-530.61"/>
    <n v="-373.41"/>
    <n v="-591.5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49.24"/>
    <n v="-349.07"/>
    <n v="-593.85"/>
    <n v="-1199.83"/>
    <n v="-889.14"/>
    <n v="-852.76"/>
    <n v="205.96"/>
    <n v="-875.5"/>
    <n v="-1162.46"/>
    <n v="-688.15"/>
    <n v="-628.74"/>
    <n v="-754.64"/>
    <n v="0"/>
    <n v="0"/>
    <n v="0"/>
    <n v="0"/>
    <n v="0"/>
    <n v="0"/>
    <n v="0"/>
    <n v="0"/>
    <n v="0"/>
    <n v="0"/>
    <n v="0"/>
    <n v="0"/>
    <x v="0"/>
    <x v="0"/>
    <s v="41100                   "/>
    <x v="10"/>
    <x v="17"/>
    <x v="4"/>
  </r>
  <r>
    <x v="0"/>
    <x v="0"/>
    <x v="144"/>
    <x v="144"/>
    <n v="0"/>
    <n v="0"/>
    <n v="0"/>
    <n v="0"/>
    <n v="0"/>
    <n v="0"/>
    <n v="0"/>
    <n v="0"/>
    <n v="0"/>
    <n v="0"/>
    <n v="0"/>
    <n v="0"/>
    <n v="1692.26"/>
    <n v="0"/>
    <n v="0"/>
    <n v="0"/>
    <n v="0"/>
    <n v="0"/>
    <n v="0"/>
    <n v="0"/>
    <n v="166.7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3"/>
    <x v="10"/>
  </r>
  <r>
    <x v="0"/>
    <x v="0"/>
    <x v="149"/>
    <x v="149"/>
    <n v="207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"/>
    <x v="10"/>
  </r>
  <r>
    <x v="0"/>
    <x v="0"/>
    <x v="150"/>
    <x v="150"/>
    <n v="59.29"/>
    <n v="0"/>
    <n v="0"/>
    <n v="0"/>
    <n v="0"/>
    <n v="0"/>
    <n v="88.94"/>
    <n v="351.64"/>
    <n v="280.19"/>
    <n v="305.29000000000002"/>
    <n v="59.29"/>
    <n v="209.88"/>
    <n v="732.9"/>
    <n v="181.27"/>
    <n v="175.96"/>
    <n v="53.86"/>
    <n v="489.13"/>
    <n v="26.93"/>
    <n v="0"/>
    <n v="0"/>
    <n v="88.95"/>
    <n v="118.6"/>
    <n v="120.29"/>
    <n v="65.98999999999999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7"/>
    <x v="10"/>
  </r>
  <r>
    <x v="0"/>
    <x v="0"/>
    <x v="151"/>
    <x v="151"/>
    <n v="0"/>
    <n v="0"/>
    <n v="0"/>
    <n v="0"/>
    <n v="0"/>
    <n v="0"/>
    <n v="0"/>
    <n v="119.14"/>
    <n v="67.23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8"/>
    <x v="10"/>
  </r>
  <r>
    <x v="0"/>
    <x v="0"/>
    <x v="152"/>
    <x v="152"/>
    <n v="347.32"/>
    <n v="0"/>
    <n v="0"/>
    <n v="0"/>
    <n v="0"/>
    <n v="0"/>
    <n v="333.44"/>
    <n v="666.87"/>
    <n v="0"/>
    <n v="333.44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9"/>
    <x v="10"/>
  </r>
  <r>
    <x v="0"/>
    <x v="0"/>
    <x v="153"/>
    <x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6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0"/>
    <x v="10"/>
  </r>
  <r>
    <x v="0"/>
    <x v="0"/>
    <x v="154"/>
    <x v="154"/>
    <n v="0"/>
    <n v="0"/>
    <n v="0"/>
    <n v="0"/>
    <n v="0"/>
    <n v="476.58"/>
    <n v="741.72"/>
    <n v="114.66"/>
    <n v="-130.07"/>
    <n v="0"/>
    <n v="0"/>
    <n v="0"/>
    <n v="0"/>
    <n v="0"/>
    <n v="0"/>
    <n v="0"/>
    <n v="0"/>
    <n v="0"/>
    <n v="0"/>
    <n v="0"/>
    <n v="0"/>
    <n v="0"/>
    <n v="189.17"/>
    <n v="0"/>
    <n v="504.4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1"/>
    <x v="10"/>
  </r>
  <r>
    <x v="0"/>
    <x v="0"/>
    <x v="158"/>
    <x v="158"/>
    <n v="0"/>
    <n v="0"/>
    <n v="0"/>
    <n v="0"/>
    <n v="0"/>
    <n v="0"/>
    <n v="0"/>
    <n v="0"/>
    <n v="0"/>
    <n v="104.17"/>
    <n v="-11.16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5"/>
    <x v="10"/>
  </r>
  <r>
    <x v="0"/>
    <x v="0"/>
    <x v="159"/>
    <x v="159"/>
    <n v="0"/>
    <n v="973"/>
    <n v="112.19"/>
    <n v="0"/>
    <n v="0"/>
    <n v="794.33"/>
    <n v="2700.65"/>
    <n v="2154.4699999999998"/>
    <n v="2292.2399999999998"/>
    <n v="774.44"/>
    <n v="101.25"/>
    <n v="29.79"/>
    <n v="317.72000000000003"/>
    <n v="941.97"/>
    <n v="1542.06"/>
    <n v="1906.28"/>
    <n v="238.31"/>
    <n v="0"/>
    <n v="0"/>
    <n v="0"/>
    <n v="119.15"/>
    <n v="0"/>
    <n v="0"/>
    <n v="0"/>
    <n v="116.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6"/>
    <x v="10"/>
  </r>
  <r>
    <x v="0"/>
    <x v="0"/>
    <x v="160"/>
    <x v="160"/>
    <n v="130.21"/>
    <n v="0"/>
    <n v="0"/>
    <n v="0"/>
    <n v="0"/>
    <n v="0"/>
    <n v="0"/>
    <n v="0"/>
    <n v="83.91"/>
    <n v="0"/>
    <n v="0"/>
    <n v="0"/>
    <n v="95.48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1"/>
    <x v="17"/>
    <x v="10"/>
  </r>
  <r>
    <x v="0"/>
    <x v="0"/>
    <x v="198"/>
    <x v="198"/>
    <n v="0"/>
    <n v="0"/>
    <n v="0"/>
    <n v="0"/>
    <n v="565.96"/>
    <n v="0"/>
    <n v="0"/>
    <n v="0"/>
    <n v="0"/>
    <n v="0"/>
    <n v="0"/>
    <n v="0"/>
    <n v="0"/>
    <n v="0"/>
    <n v="0"/>
    <n v="565.96"/>
    <n v="0"/>
    <n v="495.21"/>
    <n v="0"/>
    <n v="1131.9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4"/>
    <x v="16"/>
    <x v="3"/>
  </r>
  <r>
    <x v="0"/>
    <x v="0"/>
    <x v="220"/>
    <x v="220"/>
    <n v="0"/>
    <n v="0"/>
    <n v="0"/>
    <n v="0"/>
    <n v="0"/>
    <n v="0"/>
    <n v="-1206.1099999999999"/>
    <n v="0"/>
    <n v="1206.109999999999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6"/>
    <x v="17"/>
    <x v="9"/>
  </r>
  <r>
    <x v="0"/>
    <x v="0"/>
    <x v="230"/>
    <x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7"/>
    <x v="9"/>
    <x v="11"/>
  </r>
  <r>
    <x v="0"/>
    <x v="0"/>
    <x v="237"/>
    <x v="237"/>
    <n v="0"/>
    <n v="0"/>
    <n v="0"/>
    <n v="0"/>
    <n v="0"/>
    <n v="1225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7"/>
    <x v="16"/>
    <x v="11"/>
  </r>
  <r>
    <x v="0"/>
    <x v="0"/>
    <x v="245"/>
    <x v="245"/>
    <n v="0"/>
    <n v="0"/>
    <n v="0"/>
    <n v="0"/>
    <n v="348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19"/>
    <x v="9"/>
    <x v="3"/>
  </r>
  <r>
    <x v="0"/>
    <x v="0"/>
    <x v="250"/>
    <x v="250"/>
    <n v="6102.14"/>
    <n v="7767.01"/>
    <n v="6890.04"/>
    <n v="6892.04"/>
    <n v="6410.57"/>
    <n v="5497.99"/>
    <n v="5484.33"/>
    <n v="4671.84"/>
    <n v="7243.22"/>
    <n v="5253.04"/>
    <n v="4761.17"/>
    <n v="6591.03"/>
    <n v="6068.03"/>
    <n v="5816.51"/>
    <n v="6069.55"/>
    <n v="6052.28"/>
    <n v="5908.94"/>
    <n v="6203.39"/>
    <n v="6054.71"/>
    <n v="6219.23"/>
    <n v="8292.6299999999992"/>
    <n v="5338.97"/>
    <n v="5949.61"/>
    <n v="5852.54"/>
    <n v="5207.04"/>
    <n v="0"/>
    <x v="0"/>
    <x v="0"/>
    <x v="0"/>
    <x v="0"/>
    <x v="0"/>
    <x v="0"/>
    <x v="0"/>
    <x v="0"/>
    <x v="0"/>
    <x v="0"/>
    <n v="2354.8000000000002"/>
    <n v="2803.8"/>
    <n v="4081.8"/>
    <n v="2572.8000000000002"/>
    <n v="3624.8"/>
    <n v="2758.8"/>
    <n v="4104.8"/>
    <n v="6275.8"/>
    <n v="8149.8"/>
    <n v="8841.7999999999993"/>
    <n v="2560.6"/>
    <n v="2941.25"/>
    <n v="6407.25"/>
    <n v="8155.36"/>
    <n v="7234.54"/>
    <n v="7236.64"/>
    <n v="6731.1"/>
    <n v="5772.89"/>
    <n v="5758.55"/>
    <n v="4905.43"/>
    <n v="7605.38"/>
    <n v="5515.69"/>
    <n v="4999.2299999999996"/>
    <n v="6920.58"/>
    <n v="6110.32"/>
    <n v="5858.75"/>
    <n v="6115.65"/>
    <n v="6245.99"/>
    <n v="6006.98"/>
    <n v="7077.56"/>
    <n v="6069.86"/>
    <n v="5251.69"/>
    <n v="6707.1"/>
    <n v="5490.05"/>
    <n v="5175.43"/>
    <n v="7127.3"/>
    <x v="0"/>
    <x v="0"/>
    <s v="41100                   "/>
    <x v="20"/>
    <x v="3"/>
    <x v="9"/>
  </r>
  <r>
    <x v="0"/>
    <x v="0"/>
    <x v="251"/>
    <x v="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0"/>
    <x v="4"/>
    <x v="9"/>
  </r>
  <r>
    <x v="0"/>
    <x v="0"/>
    <x v="252"/>
    <x v="252"/>
    <n v="0"/>
    <n v="409.47"/>
    <n v="367.04"/>
    <n v="462.02"/>
    <n v="658.91"/>
    <n v="658.9"/>
    <n v="759.09"/>
    <n v="638.48"/>
    <n v="845.86"/>
    <n v="486.31"/>
    <n v="512.61"/>
    <n v="568.4"/>
    <n v="266.7"/>
    <n v="245.46"/>
    <n v="298.10000000000002"/>
    <n v="203.96"/>
    <n v="101.98"/>
    <n v="149.05000000000001"/>
    <n v="283.85000000000002"/>
    <n v="246"/>
    <n v="407.93"/>
    <n v="305.88"/>
    <n v="243.14"/>
    <n v="282.35000000000002"/>
    <n v="180.39"/>
    <n v="0"/>
    <x v="0"/>
    <x v="0"/>
    <x v="0"/>
    <x v="0"/>
    <x v="0"/>
    <x v="0"/>
    <x v="0"/>
    <x v="0"/>
    <x v="0"/>
    <x v="0"/>
    <n v="649.79999999999995"/>
    <n v="649.79999999999995"/>
    <n v="649.79999999999995"/>
    <n v="649.79999999999995"/>
    <n v="649.79999999999995"/>
    <n v="649.79999999999995"/>
    <n v="649.79999999999995"/>
    <n v="649.79999999999995"/>
    <n v="649.79999999999995"/>
    <n v="679.8"/>
    <n v="674.8"/>
    <n v="631.75"/>
    <n v="792.85"/>
    <n v="409.47"/>
    <n v="367.04"/>
    <n v="462.02"/>
    <n v="658.91"/>
    <n v="658.9"/>
    <n v="759.09"/>
    <n v="638.48"/>
    <n v="792.85"/>
    <n v="792.85"/>
    <n v="792.85"/>
    <n v="792.85"/>
    <n v="248.99"/>
    <n v="251.49"/>
    <n v="296.95999999999998"/>
    <n v="203.18"/>
    <n v="101.59"/>
    <n v="146.81"/>
    <n v="740.27"/>
    <n v="615.19000000000005"/>
    <n v="903.8"/>
    <n v="494.63"/>
    <n v="506.37"/>
    <n v="534.29"/>
    <x v="0"/>
    <x v="0"/>
    <s v="41100                   "/>
    <x v="20"/>
    <x v="0"/>
    <x v="9"/>
  </r>
  <r>
    <x v="0"/>
    <x v="0"/>
    <x v="253"/>
    <x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0"/>
    <x v="5"/>
    <x v="9"/>
  </r>
  <r>
    <x v="0"/>
    <x v="0"/>
    <x v="254"/>
    <x v="254"/>
    <n v="0"/>
    <n v="0"/>
    <n v="0"/>
    <n v="0"/>
    <n v="0"/>
    <n v="0"/>
    <n v="0"/>
    <n v="0"/>
    <n v="0"/>
    <n v="49.06"/>
    <n v="-10.92"/>
    <n v="-14.57"/>
    <n v="-12.13"/>
    <n v="-15.77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06"/>
    <n v="-10.92"/>
    <n v="-14.57"/>
    <n v="0"/>
    <n v="0"/>
    <n v="0"/>
    <n v="0"/>
    <n v="0"/>
    <n v="0"/>
    <n v="0"/>
    <n v="0"/>
    <n v="0"/>
    <n v="0"/>
    <n v="0"/>
    <n v="0"/>
    <x v="0"/>
    <x v="0"/>
    <s v="41100                   "/>
    <x v="20"/>
    <x v="6"/>
    <x v="9"/>
  </r>
  <r>
    <x v="0"/>
    <x v="0"/>
    <x v="255"/>
    <x v="255"/>
    <n v="4015.33"/>
    <n v="3607.02"/>
    <n v="1749.01"/>
    <n v="1452.94"/>
    <n v="2039.82"/>
    <n v="1710.52"/>
    <n v="1698.35"/>
    <n v="1667.37"/>
    <n v="1838.94"/>
    <n v="1487.28"/>
    <n v="1172.3599999999999"/>
    <n v="1620.7"/>
    <n v="2585.23"/>
    <n v="2624.18"/>
    <n v="3269.63"/>
    <n v="1610.19"/>
    <n v="1581.61"/>
    <n v="1804.9"/>
    <n v="2375.66"/>
    <n v="1584.34"/>
    <n v="2621.73"/>
    <n v="1758.09"/>
    <n v="1677.19"/>
    <n v="2329.33"/>
    <n v="1631.66"/>
    <n v="0"/>
    <x v="0"/>
    <x v="0"/>
    <x v="0"/>
    <x v="0"/>
    <x v="0"/>
    <x v="0"/>
    <x v="0"/>
    <x v="0"/>
    <x v="0"/>
    <x v="0"/>
    <n v="2379.0500000000002"/>
    <n v="2585.2800000000002"/>
    <n v="1824.54"/>
    <n v="1313.65"/>
    <n v="1619.98"/>
    <n v="1189.92"/>
    <n v="1706.94"/>
    <n v="1663.7"/>
    <n v="3061"/>
    <n v="1040.24"/>
    <n v="1341.82"/>
    <n v="1757.34"/>
    <n v="4216.1000000000004"/>
    <n v="3787.37"/>
    <n v="1836.46"/>
    <n v="1525.59"/>
    <n v="2141.81"/>
    <n v="1796.05"/>
    <n v="1783.27"/>
    <n v="1750.74"/>
    <n v="1930.89"/>
    <n v="1561.64"/>
    <n v="1230.98"/>
    <n v="1701.74"/>
    <n v="2563.6799999999998"/>
    <n v="2644.36"/>
    <n v="3207.24"/>
    <n v="1558.62"/>
    <n v="1543.64"/>
    <n v="1804.06"/>
    <n v="1717.99"/>
    <n v="1691.42"/>
    <n v="1686.77"/>
    <n v="1710.9"/>
    <n v="1196.3399999999999"/>
    <n v="1861.37"/>
    <x v="0"/>
    <x v="0"/>
    <s v="41100                   "/>
    <x v="20"/>
    <x v="1"/>
    <x v="9"/>
  </r>
  <r>
    <x v="0"/>
    <x v="0"/>
    <x v="256"/>
    <x v="256"/>
    <n v="11125.74"/>
    <n v="10874.96"/>
    <n v="10400.709999999999"/>
    <n v="9426.39"/>
    <n v="11300.81"/>
    <n v="10041"/>
    <n v="11008.66"/>
    <n v="10293.540000000001"/>
    <n v="12688.75"/>
    <n v="10421.26"/>
    <n v="9536.6200000000008"/>
    <n v="11347.61"/>
    <n v="11104"/>
    <n v="10717.34"/>
    <n v="9862.61"/>
    <n v="11400.17"/>
    <n v="11240.07"/>
    <n v="10096.700000000001"/>
    <n v="10549.77"/>
    <n v="10094.18"/>
    <n v="13687.99"/>
    <n v="10353.11"/>
    <n v="10524.73"/>
    <n v="12067.27"/>
    <n v="11199.03"/>
    <n v="0"/>
    <x v="0"/>
    <x v="0"/>
    <x v="0"/>
    <x v="0"/>
    <x v="0"/>
    <x v="0"/>
    <x v="0"/>
    <x v="0"/>
    <x v="0"/>
    <x v="0"/>
    <n v="11654.8"/>
    <n v="10206.799999999999"/>
    <n v="11190.8"/>
    <n v="10649.8"/>
    <n v="11339.8"/>
    <n v="10491.98"/>
    <n v="10599.8"/>
    <n v="12581.8"/>
    <n v="10808.76"/>
    <n v="4893.68"/>
    <n v="9174.6200000000008"/>
    <n v="9306.85"/>
    <n v="11793.28"/>
    <n v="11527.46"/>
    <n v="11024.75"/>
    <n v="9991.9699999999993"/>
    <n v="11978.86"/>
    <n v="10643.46"/>
    <n v="11669.18"/>
    <n v="10911.15"/>
    <n v="13450.08"/>
    <n v="11046.54"/>
    <n v="10108.82"/>
    <n v="12028.47"/>
    <n v="11191.5"/>
    <n v="10847.53"/>
    <n v="10091.450000000001"/>
    <n v="11553.02"/>
    <n v="11266.97"/>
    <n v="11437.21"/>
    <n v="11374.14"/>
    <n v="10395.39"/>
    <n v="12835.32"/>
    <n v="10752.89"/>
    <n v="10798.06"/>
    <n v="11759.13"/>
    <x v="0"/>
    <x v="0"/>
    <s v="41100                   "/>
    <x v="20"/>
    <x v="7"/>
    <x v="9"/>
  </r>
  <r>
    <x v="0"/>
    <x v="0"/>
    <x v="257"/>
    <x v="257"/>
    <n v="3536.47"/>
    <n v="2349.2199999999998"/>
    <n v="4485.1899999999996"/>
    <n v="1856.68"/>
    <n v="2457.9299999999998"/>
    <n v="1687.66"/>
    <n v="1898.31"/>
    <n v="1574.71"/>
    <n v="11936.61"/>
    <n v="2811.61"/>
    <n v="3082.29"/>
    <n v="4468.74"/>
    <n v="6049.51"/>
    <n v="6453.15"/>
    <n v="2655.14"/>
    <n v="3663.26"/>
    <n v="4214.3500000000004"/>
    <n v="3218.93"/>
    <n v="4584.0600000000004"/>
    <n v="2676.31"/>
    <n v="6651.15"/>
    <n v="4420.29"/>
    <n v="3295.24"/>
    <n v="2884.46"/>
    <n v="3228.22"/>
    <n v="0"/>
    <x v="0"/>
    <x v="0"/>
    <x v="0"/>
    <x v="0"/>
    <x v="0"/>
    <x v="0"/>
    <x v="0"/>
    <x v="0"/>
    <x v="0"/>
    <x v="0"/>
    <n v="1629.21"/>
    <n v="2300.0500000000002"/>
    <n v="1731.92"/>
    <n v="1846.52"/>
    <n v="6596.14"/>
    <n v="4052.46"/>
    <n v="4189.83"/>
    <n v="3347.87"/>
    <n v="4069.61"/>
    <n v="1038.06"/>
    <n v="1882.02"/>
    <n v="2676.44"/>
    <n v="3713.29"/>
    <n v="2466.6799999999998"/>
    <n v="4709.45"/>
    <n v="1949.51"/>
    <n v="2580.83"/>
    <n v="1772.04"/>
    <n v="1993.23"/>
    <n v="1653.45"/>
    <n v="12533.44"/>
    <n v="2952.19"/>
    <n v="3236.4"/>
    <n v="4692.18"/>
    <n v="3532.44"/>
    <n v="2374.5"/>
    <n v="2338.63"/>
    <n v="3890.58"/>
    <n v="3657.09"/>
    <n v="3315.51"/>
    <n v="1428.02"/>
    <n v="1050.45"/>
    <n v="3071.56"/>
    <n v="1392.44"/>
    <n v="1628.28"/>
    <n v="2834.03"/>
    <x v="0"/>
    <x v="0"/>
    <s v="41100                   "/>
    <x v="20"/>
    <x v="8"/>
    <x v="9"/>
  </r>
  <r>
    <x v="0"/>
    <x v="0"/>
    <x v="258"/>
    <x v="258"/>
    <n v="2495.04"/>
    <n v="1937.32"/>
    <n v="2415.27"/>
    <n v="2149.5300000000002"/>
    <n v="2756.78"/>
    <n v="2840.94"/>
    <n v="2017.46"/>
    <n v="1798.75"/>
    <n v="5158.59"/>
    <n v="1703.12"/>
    <n v="2185.9899999999998"/>
    <n v="3217.1"/>
    <n v="3425.99"/>
    <n v="3951.03"/>
    <n v="3247.74"/>
    <n v="2004.73"/>
    <n v="1821.58"/>
    <n v="1241.1300000000001"/>
    <n v="1488.8"/>
    <n v="627.36"/>
    <n v="2966.6"/>
    <n v="1599.78"/>
    <n v="1398.11"/>
    <n v="3171.12"/>
    <n v="2283.75"/>
    <n v="0"/>
    <x v="0"/>
    <x v="0"/>
    <x v="0"/>
    <x v="0"/>
    <x v="0"/>
    <x v="0"/>
    <x v="0"/>
    <x v="0"/>
    <x v="0"/>
    <x v="0"/>
    <n v="9042.48"/>
    <n v="7288.99"/>
    <n v="9587.9699999999993"/>
    <n v="6278.93"/>
    <n v="7241.12"/>
    <n v="6538.61"/>
    <n v="7102.8"/>
    <n v="3887.31"/>
    <n v="4349.8"/>
    <n v="953.73"/>
    <n v="4669.3"/>
    <n v="8963.02"/>
    <n v="2495.04"/>
    <n v="1937.32"/>
    <n v="2415.27"/>
    <n v="2149.5300000000002"/>
    <n v="2756.78"/>
    <n v="2840.94"/>
    <n v="2017.46"/>
    <n v="1798.75"/>
    <n v="5158.59"/>
    <n v="1703.12"/>
    <n v="2185.9899999999998"/>
    <n v="3217.1"/>
    <n v="2292.04"/>
    <n v="2869.46"/>
    <n v="3189.45"/>
    <n v="1950.48"/>
    <n v="1910.49"/>
    <n v="1221.52"/>
    <n v="1626.69"/>
    <n v="1354.94"/>
    <n v="4273.1499999999996"/>
    <n v="1430.5"/>
    <n v="2048.9899999999998"/>
    <n v="3294.95"/>
    <x v="0"/>
    <x v="0"/>
    <s v="41100                   "/>
    <x v="20"/>
    <x v="9"/>
    <x v="9"/>
  </r>
  <r>
    <x v="0"/>
    <x v="0"/>
    <x v="259"/>
    <x v="259"/>
    <n v="1177.6600000000001"/>
    <n v="463.94"/>
    <n v="463.91"/>
    <n v="329.88"/>
    <n v="494.94"/>
    <n v="549.12"/>
    <n v="1202.79"/>
    <n v="1114.97"/>
    <n v="1593.05"/>
    <n v="538.97"/>
    <n v="792.7"/>
    <n v="769.85"/>
    <n v="742.3"/>
    <n v="569.32000000000005"/>
    <n v="154.63999999999999"/>
    <n v="605.94000000000005"/>
    <n v="743.67"/>
    <n v="1344.95"/>
    <n v="1226.78"/>
    <n v="1010.3"/>
    <n v="2529.88"/>
    <n v="8.02"/>
    <n v="0"/>
    <n v="1999.94"/>
    <n v="6034.18"/>
    <n v="0"/>
    <x v="0"/>
    <x v="0"/>
    <x v="0"/>
    <x v="0"/>
    <x v="0"/>
    <x v="0"/>
    <x v="0"/>
    <x v="0"/>
    <x v="0"/>
    <x v="0"/>
    <n v="745.03"/>
    <n v="1061.22"/>
    <n v="562.02"/>
    <n v="696"/>
    <n v="756.85"/>
    <n v="1096.76"/>
    <n v="769.14"/>
    <n v="912.55"/>
    <n v="1445.6"/>
    <n v="461.04"/>
    <n v="1045.03"/>
    <n v="722.47"/>
    <n v="1177.6600000000001"/>
    <n v="463.94"/>
    <n v="463.91"/>
    <n v="329.88"/>
    <n v="494.94"/>
    <n v="549.12"/>
    <n v="1202.79"/>
    <n v="1114.97"/>
    <n v="1593.05"/>
    <n v="538.97"/>
    <n v="792.7"/>
    <n v="769.85"/>
    <n v="0"/>
    <n v="0"/>
    <n v="0"/>
    <n v="0"/>
    <n v="0"/>
    <n v="0"/>
    <n v="0"/>
    <n v="0"/>
    <n v="0"/>
    <n v="0"/>
    <n v="0"/>
    <n v="0"/>
    <x v="0"/>
    <x v="0"/>
    <s v="41100                   "/>
    <x v="20"/>
    <x v="10"/>
    <x v="9"/>
  </r>
  <r>
    <x v="0"/>
    <x v="0"/>
    <x v="260"/>
    <x v="260"/>
    <n v="0"/>
    <n v="0"/>
    <n v="0"/>
    <n v="127.6"/>
    <n v="947.91"/>
    <n v="751.48"/>
    <n v="2267.94"/>
    <n v="4129.78"/>
    <n v="3105.08"/>
    <n v="1522.54"/>
    <n v="1643.88"/>
    <n v="1785.88"/>
    <n v="1140.3599999999999"/>
    <n v="1425.64"/>
    <n v="1153.46"/>
    <n v="1407.8"/>
    <n v="660.78"/>
    <n v="1012.12"/>
    <n v="985.59"/>
    <n v="1439.5"/>
    <n v="1874.57"/>
    <n v="1676.79"/>
    <n v="1145.3900000000001"/>
    <n v="977.46"/>
    <n v="1029.619999999999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33.97999999999999"/>
    <n v="995.31"/>
    <n v="789.05"/>
    <n v="2381.34"/>
    <n v="4336.2700000000004"/>
    <n v="3260.33"/>
    <n v="1598.67"/>
    <n v="1726.07"/>
    <n v="1875.17"/>
    <n v="1138.78"/>
    <n v="1411.03"/>
    <n v="1173.27"/>
    <n v="1419.1"/>
    <n v="658.23"/>
    <n v="1108.1600000000001"/>
    <n v="2209.08"/>
    <n v="4145.08"/>
    <n v="3261.71"/>
    <n v="1535.88"/>
    <n v="1609.4"/>
    <n v="2038.64"/>
    <x v="0"/>
    <x v="0"/>
    <s v="41100                   "/>
    <x v="20"/>
    <x v="11"/>
    <x v="9"/>
  </r>
  <r>
    <x v="0"/>
    <x v="0"/>
    <x v="261"/>
    <x v="261"/>
    <n v="289.23"/>
    <n v="225.21"/>
    <n v="347.59"/>
    <n v="1578.85"/>
    <n v="2856.54"/>
    <n v="1710.5"/>
    <n v="2199.36"/>
    <n v="255.41"/>
    <n v="735.46"/>
    <n v="12.97"/>
    <n v="312.17"/>
    <n v="187.91"/>
    <n v="135.78"/>
    <n v="174.83"/>
    <n v="68.959999999999994"/>
    <n v="169.64"/>
    <n v="122.12"/>
    <n v="938.22"/>
    <n v="196.35"/>
    <n v="960.38"/>
    <n v="1328.2"/>
    <n v="213.95"/>
    <n v="513.14"/>
    <n v="1503.49"/>
    <n v="2210.62"/>
    <n v="0"/>
    <x v="0"/>
    <x v="0"/>
    <x v="0"/>
    <x v="0"/>
    <x v="0"/>
    <x v="0"/>
    <x v="0"/>
    <x v="0"/>
    <x v="0"/>
    <x v="0"/>
    <n v="945.43"/>
    <n v="648.82000000000005"/>
    <n v="701.99"/>
    <n v="860.46"/>
    <n v="695.64"/>
    <n v="730.04"/>
    <n v="929.25"/>
    <n v="886.89"/>
    <n v="1675.81"/>
    <n v="790.29"/>
    <n v="700.73"/>
    <n v="731.09"/>
    <n v="229.35"/>
    <n v="117.42"/>
    <n v="215.83"/>
    <n v="205.41"/>
    <n v="324.33"/>
    <n v="129.1"/>
    <n v="194.42"/>
    <n v="238.12"/>
    <n v="735.46"/>
    <n v="12.97"/>
    <n v="312.17"/>
    <n v="187.91"/>
    <n v="224.79"/>
    <n v="161.58000000000001"/>
    <n v="152.41"/>
    <n v="134.4"/>
    <n v="202.03"/>
    <n v="242.47"/>
    <n v="256.07"/>
    <n v="319.27999999999997"/>
    <n v="978.59"/>
    <n v="134.4"/>
    <n v="437.2"/>
    <n v="382.83"/>
    <x v="0"/>
    <x v="0"/>
    <s v="41100                   "/>
    <x v="20"/>
    <x v="12"/>
    <x v="9"/>
  </r>
  <r>
    <x v="0"/>
    <x v="0"/>
    <x v="2698"/>
    <x v="2698"/>
    <n v="25.5"/>
    <n v="0"/>
    <n v="34"/>
    <n v="8.5"/>
    <n v="17"/>
    <n v="0"/>
    <n v="51"/>
    <n v="25.5"/>
    <n v="8.5"/>
    <n v="17"/>
    <n v="0"/>
    <n v="34"/>
    <n v="0"/>
    <n v="42.5"/>
    <n v="34"/>
    <n v="17"/>
    <n v="17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36.159999999999997"/>
    <n v="114.64"/>
    <n v="54.24"/>
    <n v="9.0399999999999991"/>
    <n v="0"/>
    <n v="0"/>
    <n v="61.38"/>
    <n v="45.2"/>
    <n v="0"/>
    <n v="9.58"/>
    <n v="0"/>
    <n v="78.43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0"/>
    <x v="20"/>
    <x v="9"/>
  </r>
  <r>
    <x v="0"/>
    <x v="0"/>
    <x v="263"/>
    <x v="263"/>
    <n v="0"/>
    <n v="0"/>
    <n v="0"/>
    <n v="0"/>
    <n v="0"/>
    <n v="0"/>
    <n v="0"/>
    <n v="0"/>
    <n v="0"/>
    <n v="0"/>
    <n v="0"/>
    <n v="26.7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8"/>
    <n v="0"/>
    <n v="0"/>
    <n v="0"/>
    <n v="0"/>
    <n v="0"/>
    <n v="0"/>
    <n v="0"/>
    <n v="0"/>
    <n v="0"/>
    <n v="0"/>
    <n v="0"/>
    <n v="0"/>
    <x v="0"/>
    <x v="0"/>
    <s v="41100                   "/>
    <x v="20"/>
    <x v="14"/>
    <x v="9"/>
  </r>
  <r>
    <x v="0"/>
    <x v="0"/>
    <x v="264"/>
    <x v="264"/>
    <n v="2674.35"/>
    <n v="3346.42"/>
    <n v="3656.46"/>
    <n v="2511.08"/>
    <n v="5342.08"/>
    <n v="3424.86"/>
    <n v="2649.73"/>
    <n v="2322.7800000000002"/>
    <n v="1879.68"/>
    <n v="2097.87"/>
    <n v="1339.17"/>
    <n v="1830.08"/>
    <n v="1601.49"/>
    <n v="724.01"/>
    <n v="288.25"/>
    <n v="2860.27"/>
    <n v="5254.06"/>
    <n v="3608.88"/>
    <n v="5313.74"/>
    <n v="3242.09"/>
    <n v="3029.72"/>
    <n v="2450.66"/>
    <n v="2138.54"/>
    <n v="2169.61"/>
    <n v="2858.3"/>
    <n v="0"/>
    <x v="0"/>
    <x v="0"/>
    <x v="0"/>
    <x v="0"/>
    <x v="0"/>
    <x v="0"/>
    <x v="0"/>
    <x v="0"/>
    <x v="0"/>
    <x v="0"/>
    <n v="2333.8000000000002"/>
    <n v="2149.8000000000002"/>
    <n v="2674.8"/>
    <n v="2284.8000000000002"/>
    <n v="2649.8"/>
    <n v="2449.8000000000002"/>
    <n v="2479.8000000000002"/>
    <n v="2149.8000000000002"/>
    <n v="5749.8"/>
    <n v="6839.8"/>
    <n v="2249.8000000000002"/>
    <n v="2077.6"/>
    <n v="2808.07"/>
    <n v="3513.74"/>
    <n v="3839.28"/>
    <n v="2636.63"/>
    <n v="5609.18"/>
    <n v="3596.1"/>
    <n v="2782.22"/>
    <n v="2438.92"/>
    <n v="1982.15"/>
    <n v="1982.15"/>
    <n v="1406.13"/>
    <n v="1921.58"/>
    <n v="819.03"/>
    <n v="819.03"/>
    <n v="819.03"/>
    <n v="1154.5999999999999"/>
    <n v="2622.03"/>
    <n v="1410.55"/>
    <n v="819.03"/>
    <n v="921.41"/>
    <n v="819.03"/>
    <n v="819.03"/>
    <n v="819.03"/>
    <n v="819.03"/>
    <x v="0"/>
    <x v="0"/>
    <s v="41100                   "/>
    <x v="20"/>
    <x v="15"/>
    <x v="9"/>
  </r>
  <r>
    <x v="0"/>
    <x v="0"/>
    <x v="265"/>
    <x v="265"/>
    <n v="6005.98"/>
    <n v="5360.86"/>
    <n v="6647"/>
    <n v="7750.12"/>
    <n v="5822.66"/>
    <n v="4385.2700000000004"/>
    <n v="7982.11"/>
    <n v="9190.7000000000007"/>
    <n v="10389.129999999999"/>
    <n v="4744.9399999999996"/>
    <n v="5154.46"/>
    <n v="5548.66"/>
    <n v="5918.5"/>
    <n v="6082.87"/>
    <n v="6476.47"/>
    <n v="6168.61"/>
    <n v="4793.51"/>
    <n v="4867.66"/>
    <n v="6474.34"/>
    <n v="8625.4"/>
    <n v="11426.45"/>
    <n v="5564.69"/>
    <n v="6183.41"/>
    <n v="6686.68"/>
    <n v="7220.75"/>
    <n v="0"/>
    <x v="0"/>
    <x v="0"/>
    <x v="0"/>
    <x v="0"/>
    <x v="0"/>
    <x v="0"/>
    <x v="0"/>
    <x v="0"/>
    <x v="0"/>
    <x v="0"/>
    <n v="6747.8"/>
    <n v="4295.8"/>
    <n v="5013.8"/>
    <n v="7348.8"/>
    <n v="5740.8"/>
    <n v="2456.8000000000002"/>
    <n v="4710.8"/>
    <n v="5040.8"/>
    <n v="5899.8"/>
    <n v="6919.09"/>
    <n v="8319.7999999999993"/>
    <n v="6954.32"/>
    <n v="6005.98"/>
    <n v="5360.86"/>
    <n v="6647"/>
    <n v="7750.12"/>
    <n v="5822.66"/>
    <n v="4385.2700000000004"/>
    <n v="7982.11"/>
    <n v="9190.7000000000007"/>
    <n v="10389.129999999999"/>
    <n v="4744.9399999999996"/>
    <n v="5154.46"/>
    <n v="5548.66"/>
    <n v="6003.44"/>
    <n v="6247.21"/>
    <n v="7022.03"/>
    <n v="6372.25"/>
    <n v="4877.62"/>
    <n v="5088.6000000000004"/>
    <n v="8392.14"/>
    <n v="10549.01"/>
    <n v="11292.5"/>
    <n v="5583.37"/>
    <n v="6025.52"/>
    <n v="6097.36"/>
    <x v="0"/>
    <x v="0"/>
    <s v="41100                   "/>
    <x v="20"/>
    <x v="16"/>
    <x v="9"/>
  </r>
  <r>
    <x v="0"/>
    <x v="0"/>
    <x v="266"/>
    <x v="266"/>
    <n v="2575.5100000000002"/>
    <n v="2571.1799999999998"/>
    <n v="2584.66"/>
    <n v="2570.79"/>
    <n v="2740.61"/>
    <n v="2751.25"/>
    <n v="3039.64"/>
    <n v="2671.28"/>
    <n v="4463.47"/>
    <n v="2556.9699999999998"/>
    <n v="2579.98"/>
    <n v="2335.92"/>
    <n v="2123.25"/>
    <n v="2284.64"/>
    <n v="2817.5"/>
    <n v="2866.57"/>
    <n v="2547.23"/>
    <n v="2077.14"/>
    <n v="1776.82"/>
    <n v="2269.7199999999998"/>
    <n v="3655.55"/>
    <n v="1955.28"/>
    <n v="1742.28"/>
    <n v="2869.08"/>
    <n v="1295.0899999999999"/>
    <n v="0"/>
    <x v="0"/>
    <x v="0"/>
    <x v="0"/>
    <x v="0"/>
    <x v="0"/>
    <x v="0"/>
    <x v="0"/>
    <x v="0"/>
    <x v="0"/>
    <x v="0"/>
    <n v="2286.0300000000002"/>
    <n v="3533.51"/>
    <n v="3117.41"/>
    <n v="5639.4"/>
    <n v="3756.47"/>
    <n v="2853.48"/>
    <n v="3657.57"/>
    <n v="2862.73"/>
    <n v="9649.7999999999993"/>
    <n v="1421.8"/>
    <n v="747.01"/>
    <n v="3434.25"/>
    <n v="2575.5100000000002"/>
    <n v="2571.1799999999998"/>
    <n v="2584.66"/>
    <n v="2570.79"/>
    <n v="2740.61"/>
    <n v="2751.25"/>
    <n v="3039.64"/>
    <n v="2671.28"/>
    <n v="4463.47"/>
    <n v="2556.9699999999998"/>
    <n v="2579.98"/>
    <n v="2335.92"/>
    <n v="2000.17"/>
    <n v="2165.75"/>
    <n v="2993.64"/>
    <n v="2799.05"/>
    <n v="2464.06"/>
    <n v="2172.98"/>
    <n v="2902.13"/>
    <n v="2531.29"/>
    <n v="6227.24"/>
    <n v="2746.99"/>
    <n v="2603.67"/>
    <n v="2171.36"/>
    <x v="0"/>
    <x v="0"/>
    <s v="41100                   "/>
    <x v="20"/>
    <x v="17"/>
    <x v="9"/>
  </r>
  <r>
    <x v="0"/>
    <x v="0"/>
    <x v="281"/>
    <x v="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3"/>
    <x v="7"/>
    <x v="4"/>
  </r>
  <r>
    <x v="0"/>
    <x v="0"/>
    <x v="283"/>
    <x v="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3"/>
    <x v="9"/>
    <x v="4"/>
  </r>
  <r>
    <x v="0"/>
    <x v="0"/>
    <x v="290"/>
    <x v="290"/>
    <n v="0"/>
    <n v="0"/>
    <n v="0"/>
    <n v="0"/>
    <n v="0"/>
    <n v="0"/>
    <n v="0"/>
    <n v="0"/>
    <n v="0"/>
    <n v="0"/>
    <n v="0"/>
    <n v="0"/>
    <n v="0"/>
    <n v="245.21"/>
    <n v="0"/>
    <n v="0"/>
    <n v="0"/>
    <n v="0"/>
    <n v="0"/>
    <n v="0"/>
    <n v="0"/>
    <n v="0"/>
    <n v="128.1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00                   "/>
    <x v="23"/>
    <x v="16"/>
    <x v="4"/>
  </r>
  <r>
    <x v="0"/>
    <x v="0"/>
    <x v="315"/>
    <x v="315"/>
    <n v="6.35"/>
    <n v="0"/>
    <n v="0"/>
    <n v="0"/>
    <n v="0"/>
    <n v="0"/>
    <n v="4.2300000000000004"/>
    <n v="0"/>
    <n v="23.5"/>
    <n v="28.2"/>
    <n v="2.82"/>
    <n v="25.48"/>
    <n v="52.41"/>
    <n v="8.4600000000000009"/>
    <n v="8.4600000000000009"/>
    <n v="5.01"/>
    <n v="44.02"/>
    <n v="2.5099999999999998"/>
    <n v="0"/>
    <n v="0"/>
    <n v="4.2300000000000004"/>
    <n v="5.64"/>
    <n v="5.64"/>
    <n v="5.0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170                   "/>
    <x v="0"/>
    <x v="2"/>
    <x v="1"/>
  </r>
  <r>
    <x v="0"/>
    <x v="0"/>
    <x v="322"/>
    <x v="323"/>
    <n v="10.39"/>
    <n v="278.64999999999998"/>
    <n v="142.41"/>
    <n v="589.76"/>
    <n v="35.840000000000003"/>
    <n v="22.59"/>
    <n v="859.07"/>
    <n v="621.52"/>
    <n v="1380.23"/>
    <n v="326.72000000000003"/>
    <n v="66.05"/>
    <n v="0.77"/>
    <n v="-35.36"/>
    <n v="205.37"/>
    <n v="185.25"/>
    <n v="312.3"/>
    <n v="210.61"/>
    <n v="228.15"/>
    <n v="442.45"/>
    <n v="584.20000000000005"/>
    <n v="1853.12"/>
    <n v="334.74"/>
    <n v="451.99"/>
    <n v="618.66999999999996"/>
    <n v="567.83000000000004"/>
    <n v="267.72000000000003"/>
    <x v="0"/>
    <x v="0"/>
    <x v="0"/>
    <x v="0"/>
    <x v="0"/>
    <x v="0"/>
    <x v="0"/>
    <x v="0"/>
    <x v="0"/>
    <x v="0"/>
    <n v="438.13"/>
    <n v="978"/>
    <n v="497.86"/>
    <n v="477.92"/>
    <n v="495.52"/>
    <n v="1232"/>
    <n v="1232"/>
    <n v="636.19000000000005"/>
    <n v="1612.37"/>
    <n v="348.13"/>
    <n v="329.07"/>
    <n v="455.83"/>
    <n v="76.39"/>
    <n v="278.64999999999998"/>
    <n v="142.41"/>
    <n v="589.76"/>
    <n v="35.840000000000003"/>
    <n v="113.25"/>
    <n v="859.07"/>
    <n v="621.52"/>
    <n v="1380.23"/>
    <n v="326.72000000000003"/>
    <n v="66.05"/>
    <n v="322.18"/>
    <n v="35"/>
    <n v="173"/>
    <n v="185"/>
    <n v="312"/>
    <n v="210"/>
    <n v="228"/>
    <n v="859"/>
    <n v="621"/>
    <n v="1380"/>
    <n v="326"/>
    <n v="153.9"/>
    <n v="0"/>
    <x v="0"/>
    <x v="0"/>
    <s v="41200                   "/>
    <x v="20"/>
    <x v="2"/>
    <x v="9"/>
  </r>
  <r>
    <x v="0"/>
    <x v="0"/>
    <x v="323"/>
    <x v="324"/>
    <n v="0"/>
    <n v="0"/>
    <n v="0"/>
    <n v="0"/>
    <n v="0"/>
    <n v="0"/>
    <n v="50"/>
    <n v="0"/>
    <n v="75"/>
    <n v="-25"/>
    <n v="25"/>
    <n v="0"/>
    <n v="72.790000000000006"/>
    <n v="309.3"/>
    <n v="363.73"/>
    <n v="312.39999999999998"/>
    <n v="276.33999999999997"/>
    <n v="163.72"/>
    <n v="360.19"/>
    <n v="407.1"/>
    <n v="361.07"/>
    <n v="363.72"/>
    <n v="219.48"/>
    <n v="340.05"/>
    <n v="145.36000000000001"/>
    <n v="219.4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-25"/>
    <n v="25"/>
    <n v="0"/>
    <n v="0"/>
    <n v="0"/>
    <n v="0"/>
    <n v="0"/>
    <n v="0"/>
    <n v="0"/>
    <n v="0"/>
    <n v="0"/>
    <n v="0"/>
    <n v="0"/>
    <n v="0"/>
    <n v="0"/>
    <x v="0"/>
    <x v="0"/>
    <s v="41210                   "/>
    <x v="20"/>
    <x v="2"/>
    <x v="9"/>
  </r>
  <r>
    <x v="0"/>
    <x v="0"/>
    <x v="324"/>
    <x v="325"/>
    <n v="0"/>
    <n v="0"/>
    <n v="0"/>
    <n v="0"/>
    <n v="8.85"/>
    <n v="0"/>
    <n v="265.49"/>
    <n v="101.77"/>
    <n v="0"/>
    <n v="123.89"/>
    <n v="75.22"/>
    <n v="92.92"/>
    <n v="8.85"/>
    <n v="176.96"/>
    <n v="0"/>
    <n v="115.01"/>
    <n v="13.27"/>
    <n v="176.95"/>
    <n v="88.49"/>
    <n v="163.65"/>
    <n v="190.24"/>
    <n v="176.93"/>
    <n v="376.35"/>
    <n v="767.68"/>
    <n v="414.17"/>
    <n v="75.209999999999994"/>
    <x v="0"/>
    <x v="0"/>
    <x v="0"/>
    <x v="0"/>
    <x v="0"/>
    <x v="0"/>
    <x v="0"/>
    <x v="0"/>
    <x v="0"/>
    <x v="0"/>
    <n v="0"/>
    <n v="0"/>
    <n v="0"/>
    <n v="0"/>
    <n v="37.82"/>
    <n v="0"/>
    <n v="0"/>
    <n v="0"/>
    <n v="53.49"/>
    <n v="0"/>
    <n v="0"/>
    <n v="0"/>
    <n v="0"/>
    <n v="0"/>
    <n v="0"/>
    <n v="0"/>
    <n v="0"/>
    <n v="0"/>
    <n v="0"/>
    <n v="0"/>
    <n v="0"/>
    <n v="123.89"/>
    <n v="75.22"/>
    <n v="92.92"/>
    <n v="0"/>
    <n v="0"/>
    <n v="0"/>
    <n v="0"/>
    <n v="0"/>
    <n v="0"/>
    <n v="0"/>
    <n v="0"/>
    <n v="0"/>
    <n v="0"/>
    <n v="0"/>
    <n v="0"/>
    <x v="0"/>
    <x v="0"/>
    <s v="41220                   "/>
    <x v="20"/>
    <x v="2"/>
    <x v="9"/>
  </r>
  <r>
    <x v="0"/>
    <x v="0"/>
    <x v="329"/>
    <x v="330"/>
    <n v="0"/>
    <n v="0"/>
    <n v="0"/>
    <n v="0"/>
    <n v="0"/>
    <n v="0"/>
    <n v="0"/>
    <n v="0"/>
    <n v="0"/>
    <n v="0"/>
    <n v="0"/>
    <n v="0"/>
    <n v="0"/>
    <n v="0"/>
    <n v="152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1240                   "/>
    <x v="20"/>
    <x v="2"/>
    <x v="9"/>
  </r>
  <r>
    <x v="0"/>
    <x v="0"/>
    <x v="341"/>
    <x v="342"/>
    <n v="7"/>
    <n v="0"/>
    <n v="1.75"/>
    <n v="7"/>
    <n v="0"/>
    <n v="0"/>
    <n v="1.75"/>
    <n v="0"/>
    <n v="0"/>
    <n v="0"/>
    <n v="0"/>
    <n v="0"/>
    <n v="0"/>
    <n v="0"/>
    <n v="0"/>
    <n v="0"/>
    <n v="0"/>
    <n v="5.2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s v="42200                   "/>
    <x v="28"/>
    <x v="2"/>
    <x v="1"/>
  </r>
  <r>
    <x v="27"/>
    <x v="27"/>
    <x v="2575"/>
    <x v="2581"/>
    <n v="0"/>
    <n v="0"/>
    <n v="0"/>
    <n v="0"/>
    <n v="-0.15"/>
    <n v="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1.09"/>
    <n v="1084.369999999999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3"/>
    <x v="63"/>
  </r>
  <r>
    <x v="27"/>
    <x v="27"/>
    <x v="2577"/>
    <x v="2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000000000000007E-2"/>
    <n v="51.6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0"/>
    <x v="63"/>
  </r>
  <r>
    <x v="27"/>
    <x v="27"/>
    <x v="2580"/>
    <x v="25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4.409999999999997"/>
    <n v="195.4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"/>
    <x v="63"/>
  </r>
  <r>
    <x v="27"/>
    <x v="27"/>
    <x v="2581"/>
    <x v="2587"/>
    <n v="0"/>
    <n v="0"/>
    <n v="0"/>
    <n v="0"/>
    <n v="0.09"/>
    <n v="0"/>
    <n v="0"/>
    <n v="-0.09"/>
    <n v="0"/>
    <n v="0"/>
    <n v="0"/>
    <n v="0"/>
    <n v="0"/>
    <n v="0"/>
    <n v="0"/>
    <n v="0"/>
    <n v="0"/>
    <n v="0"/>
    <n v="0"/>
    <n v="0"/>
    <n v="0"/>
    <n v="0"/>
    <n v="0"/>
    <n v="0"/>
    <n v="-73.56"/>
    <n v="3271.3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7"/>
    <x v="63"/>
  </r>
  <r>
    <x v="27"/>
    <x v="27"/>
    <x v="2582"/>
    <x v="25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.92"/>
    <n v="462.5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8"/>
    <x v="63"/>
  </r>
  <r>
    <x v="27"/>
    <x v="27"/>
    <x v="2583"/>
    <x v="2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n v="229.27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9"/>
    <x v="63"/>
  </r>
  <r>
    <x v="27"/>
    <x v="27"/>
    <x v="2584"/>
    <x v="2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0"/>
    <x v="63"/>
  </r>
  <r>
    <x v="27"/>
    <x v="27"/>
    <x v="2585"/>
    <x v="2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9400000000000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1"/>
    <x v="63"/>
  </r>
  <r>
    <x v="27"/>
    <x v="27"/>
    <x v="2586"/>
    <x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5.57"/>
    <n v="7.49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2"/>
    <x v="63"/>
  </r>
  <r>
    <x v="27"/>
    <x v="27"/>
    <x v="2699"/>
    <x v="2699"/>
    <n v="0"/>
    <n v="2.0499999999999998"/>
    <n v="-2.0499999999999998"/>
    <n v="0"/>
    <n v="0"/>
    <n v="6.14"/>
    <n v="-6.14"/>
    <n v="0"/>
    <n v="0"/>
    <n v="0"/>
    <n v="4.1100000000000003"/>
    <n v="-4.1100000000000003"/>
    <n v="8.23"/>
    <n v="-8.23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20"/>
    <x v="63"/>
  </r>
  <r>
    <x v="27"/>
    <x v="27"/>
    <x v="2589"/>
    <x v="2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499999999999999"/>
    <n v="595.86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5"/>
    <x v="63"/>
  </r>
  <r>
    <x v="27"/>
    <x v="27"/>
    <x v="2590"/>
    <x v="2596"/>
    <n v="0"/>
    <n v="0"/>
    <n v="0"/>
    <n v="0"/>
    <n v="0"/>
    <n v="0"/>
    <n v="0"/>
    <n v="0"/>
    <n v="0"/>
    <n v="0.02"/>
    <n v="0"/>
    <n v="0"/>
    <n v="0"/>
    <n v="0"/>
    <n v="0"/>
    <n v="0"/>
    <n v="0"/>
    <n v="0"/>
    <n v="0"/>
    <n v="0"/>
    <n v="0"/>
    <n v="0"/>
    <n v="0"/>
    <n v="0"/>
    <n v="-347.35"/>
    <n v="719.2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6"/>
    <x v="63"/>
  </r>
  <r>
    <x v="27"/>
    <x v="27"/>
    <x v="2591"/>
    <x v="2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1"/>
    <n v="250.35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000                   "/>
    <x v="0"/>
    <x v="17"/>
    <x v="63"/>
  </r>
  <r>
    <x v="27"/>
    <x v="27"/>
    <x v="367"/>
    <x v="367"/>
    <n v="0"/>
    <n v="0"/>
    <n v="0"/>
    <n v="0"/>
    <n v="0"/>
    <n v="0"/>
    <n v="0"/>
    <n v="0"/>
    <n v="0"/>
    <n v="0"/>
    <n v="0"/>
    <n v="0"/>
    <n v="0"/>
    <n v="0"/>
    <n v="0"/>
    <n v="38.04"/>
    <n v="0"/>
    <n v="0"/>
    <n v="0"/>
    <n v="0"/>
    <n v="0"/>
    <n v="0"/>
    <n v="0"/>
    <n v="41.0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3"/>
    <x v="7"/>
    <x v="19"/>
  </r>
  <r>
    <x v="27"/>
    <x v="27"/>
    <x v="376"/>
    <x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3"/>
    <x v="16"/>
    <x v="19"/>
  </r>
  <r>
    <x v="27"/>
    <x v="27"/>
    <x v="377"/>
    <x v="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3"/>
    <x v="17"/>
    <x v="19"/>
  </r>
  <r>
    <x v="27"/>
    <x v="27"/>
    <x v="428"/>
    <x v="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8"/>
    <x v="9"/>
    <x v="23"/>
  </r>
  <r>
    <x v="27"/>
    <x v="27"/>
    <x v="431"/>
    <x v="431"/>
    <n v="0"/>
    <n v="10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8"/>
    <x v="12"/>
    <x v="23"/>
  </r>
  <r>
    <x v="27"/>
    <x v="27"/>
    <x v="435"/>
    <x v="435"/>
    <n v="0"/>
    <n v="0"/>
    <n v="0"/>
    <n v="0"/>
    <n v="0"/>
    <n v="0"/>
    <n v="0"/>
    <n v="0"/>
    <n v="0"/>
    <n v="0"/>
    <n v="0"/>
    <n v="0"/>
    <n v="8254.02"/>
    <n v="0"/>
    <n v="0"/>
    <n v="416.46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8"/>
    <x v="16"/>
    <x v="23"/>
  </r>
  <r>
    <x v="27"/>
    <x v="27"/>
    <x v="438"/>
    <x v="438"/>
    <n v="0"/>
    <n v="0"/>
    <n v="0"/>
    <n v="51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3"/>
    <x v="24"/>
  </r>
  <r>
    <x v="27"/>
    <x v="27"/>
    <x v="445"/>
    <x v="445"/>
    <n v="0"/>
    <n v="0"/>
    <n v="0"/>
    <n v="0"/>
    <n v="0"/>
    <n v="0"/>
    <n v="2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8"/>
    <x v="24"/>
  </r>
  <r>
    <x v="27"/>
    <x v="27"/>
    <x v="447"/>
    <x v="447"/>
    <n v="0"/>
    <n v="0"/>
    <n v="0"/>
    <n v="0"/>
    <n v="0"/>
    <n v="0"/>
    <n v="1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10"/>
    <x v="24"/>
  </r>
  <r>
    <x v="27"/>
    <x v="27"/>
    <x v="448"/>
    <x v="448"/>
    <n v="0"/>
    <n v="0"/>
    <n v="0"/>
    <n v="0"/>
    <n v="0"/>
    <n v="0"/>
    <n v="29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11"/>
    <x v="24"/>
  </r>
  <r>
    <x v="27"/>
    <x v="27"/>
    <x v="453"/>
    <x v="453"/>
    <n v="0"/>
    <n v="0"/>
    <n v="0"/>
    <n v="40.61"/>
    <n v="0"/>
    <n v="0"/>
    <n v="54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16"/>
    <x v="24"/>
  </r>
  <r>
    <x v="27"/>
    <x v="27"/>
    <x v="454"/>
    <x v="454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9"/>
    <x v="17"/>
    <x v="24"/>
  </r>
  <r>
    <x v="27"/>
    <x v="27"/>
    <x v="456"/>
    <x v="456"/>
    <n v="0"/>
    <n v="6.85"/>
    <n v="-9.1999999999999993"/>
    <n v="0"/>
    <n v="0"/>
    <n v="14.09"/>
    <n v="55.2"/>
    <n v="0"/>
    <n v="20.69"/>
    <n v="-862.35"/>
    <n v="-570.33000000000004"/>
    <n v="-902.48"/>
    <n v="-732.07"/>
    <n v="3.52"/>
    <n v="6.64"/>
    <n v="0"/>
    <n v="0"/>
    <n v="6.73"/>
    <n v="-249.7"/>
    <n v="-354.71"/>
    <n v="-314.7"/>
    <n v="-235.37"/>
    <n v="0"/>
    <n v="-128.7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66.33"/>
    <n v="-68.069999999999993"/>
    <n v="-89.5"/>
    <n v="-128.01"/>
    <n v="-76.41"/>
    <n v="-19.420000000000002"/>
    <n v="-69.61"/>
    <n v="-30.46"/>
    <n v="-211.92"/>
    <n v="-545.74"/>
    <n v="-374.35"/>
    <n v="-567.72"/>
    <n v="0"/>
    <n v="0"/>
    <n v="0"/>
    <n v="0"/>
    <n v="0"/>
    <n v="0"/>
    <n v="0"/>
    <n v="0"/>
    <n v="0"/>
    <n v="0"/>
    <n v="0"/>
    <n v="0"/>
    <x v="0"/>
    <x v="1"/>
    <s v="61100                   "/>
    <x v="10"/>
    <x v="3"/>
    <x v="19"/>
  </r>
  <r>
    <x v="27"/>
    <x v="27"/>
    <x v="458"/>
    <x v="458"/>
    <n v="0"/>
    <n v="0"/>
    <n v="0"/>
    <n v="0"/>
    <n v="0"/>
    <n v="0"/>
    <n v="0"/>
    <n v="-111.62"/>
    <n v="-184.3"/>
    <n v="-46.72"/>
    <n v="-33.74"/>
    <n v="-31.1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-36.6"/>
    <n v="-23.89"/>
    <n v="-30.7"/>
    <n v="-42.83"/>
    <n v="-42.7"/>
    <n v="-30.89"/>
    <n v="-42.19"/>
    <n v="-57.95"/>
    <n v="-29.14"/>
    <n v="-33.28"/>
    <n v="-37.369999999999997"/>
    <n v="0"/>
    <n v="0"/>
    <n v="0"/>
    <n v="0"/>
    <n v="0"/>
    <n v="0"/>
    <n v="0"/>
    <n v="0"/>
    <n v="0"/>
    <n v="0"/>
    <n v="0"/>
    <n v="0"/>
    <x v="0"/>
    <x v="1"/>
    <s v="61100                   "/>
    <x v="10"/>
    <x v="0"/>
    <x v="19"/>
  </r>
  <r>
    <x v="27"/>
    <x v="27"/>
    <x v="461"/>
    <x v="461"/>
    <n v="-84.91"/>
    <n v="18.77"/>
    <n v="25.91"/>
    <n v="-171.81"/>
    <n v="0.2"/>
    <n v="10.83"/>
    <n v="3.5"/>
    <n v="7.33"/>
    <n v="10.28"/>
    <n v="0"/>
    <n v="0"/>
    <n v="0"/>
    <n v="0"/>
    <n v="0"/>
    <n v="3.77"/>
    <n v="0"/>
    <n v="0"/>
    <n v="6.71"/>
    <n v="0"/>
    <n v="0"/>
    <n v="3.5"/>
    <n v="0"/>
    <n v="788.04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42.57"/>
    <n v="5.26"/>
    <n v="-62.86"/>
    <n v="-92.35"/>
    <n v="-0.24"/>
    <n v="4.37"/>
    <n v="1.53"/>
    <n v="2.81"/>
    <n v="4.16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0"/>
    <x v="1"/>
    <x v="19"/>
  </r>
  <r>
    <x v="27"/>
    <x v="27"/>
    <x v="462"/>
    <x v="462"/>
    <n v="-142.26"/>
    <n v="-123.93"/>
    <n v="-313.98"/>
    <n v="-313.69"/>
    <n v="-534.82000000000005"/>
    <n v="-802.3"/>
    <n v="17.170000000000002"/>
    <n v="-1146.92"/>
    <n v="94.07"/>
    <n v="-1683.13"/>
    <n v="-669.54"/>
    <n v="-564.24"/>
    <n v="397.89"/>
    <n v="1716.29"/>
    <n v="3559.93"/>
    <n v="66.27"/>
    <n v="25.39"/>
    <n v="160.97999999999999"/>
    <n v="173.58"/>
    <n v="43.06"/>
    <n v="256.47000000000003"/>
    <n v="54.33"/>
    <n v="0"/>
    <n v="231.34"/>
    <n v="9.8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153.34"/>
    <n v="-0.01"/>
    <n v="-536.46"/>
    <n v="-504.29"/>
    <n v="-546.91999999999996"/>
    <n v="-646.54999999999995"/>
    <n v="-256.19"/>
    <n v="-971.91"/>
    <n v="-341.86"/>
    <n v="-1196.46"/>
    <n v="-714.99"/>
    <n v="-314.58999999999997"/>
    <n v="0"/>
    <n v="0"/>
    <n v="0"/>
    <n v="0"/>
    <n v="0"/>
    <n v="0"/>
    <n v="0"/>
    <n v="0"/>
    <n v="0"/>
    <n v="0"/>
    <n v="0"/>
    <n v="0"/>
    <x v="0"/>
    <x v="1"/>
    <s v="61100                   "/>
    <x v="10"/>
    <x v="7"/>
    <x v="19"/>
  </r>
  <r>
    <x v="27"/>
    <x v="27"/>
    <x v="463"/>
    <x v="463"/>
    <n v="17.53"/>
    <n v="3.13"/>
    <n v="-188.02"/>
    <n v="3.45"/>
    <n v="0"/>
    <n v="9.02"/>
    <n v="0"/>
    <n v="6.12"/>
    <n v="382.25"/>
    <n v="0"/>
    <n v="0"/>
    <n v="3.03"/>
    <n v="0"/>
    <n v="3.03"/>
    <n v="9.09"/>
    <n v="2.77"/>
    <n v="5.8"/>
    <n v="0"/>
    <n v="0"/>
    <n v="3.6"/>
    <n v="34.03"/>
    <n v="3.7"/>
    <n v="0"/>
    <n v="6.68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5.159999999999997"/>
    <n v="-4.29"/>
    <n v="-24.31"/>
    <n v="-19.43"/>
    <n v="0"/>
    <n v="-16.440000000000001"/>
    <n v="0"/>
    <n v="-8.58"/>
    <n v="-602.09"/>
    <n v="0"/>
    <n v="0"/>
    <n v="946.81"/>
    <n v="0"/>
    <n v="0"/>
    <n v="0"/>
    <n v="0"/>
    <n v="0"/>
    <n v="0"/>
    <n v="0"/>
    <n v="0"/>
    <n v="0"/>
    <n v="0"/>
    <n v="0"/>
    <n v="0"/>
    <x v="0"/>
    <x v="1"/>
    <s v="61100                   "/>
    <x v="10"/>
    <x v="8"/>
    <x v="19"/>
  </r>
  <r>
    <x v="27"/>
    <x v="27"/>
    <x v="464"/>
    <x v="464"/>
    <n v="0"/>
    <n v="6.54"/>
    <n v="0"/>
    <n v="3.96"/>
    <n v="0"/>
    <n v="3.96"/>
    <n v="0"/>
    <n v="9.35"/>
    <n v="0"/>
    <n v="95.13"/>
    <n v="0"/>
    <n v="11.24"/>
    <n v="0"/>
    <n v="0"/>
    <n v="0"/>
    <n v="0"/>
    <n v="0"/>
    <n v="0"/>
    <n v="0"/>
    <n v="0"/>
    <n v="-750.52"/>
    <n v="0"/>
    <n v="0"/>
    <n v="-709.59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6.54"/>
    <n v="0"/>
    <n v="3.96"/>
    <n v="0"/>
    <n v="3.96"/>
    <n v="0"/>
    <n v="9.35"/>
    <n v="0"/>
    <n v="95.13"/>
    <n v="0"/>
    <n v="11.24"/>
    <n v="0"/>
    <n v="0"/>
    <n v="0"/>
    <n v="0"/>
    <n v="0"/>
    <n v="0"/>
    <n v="0"/>
    <n v="0"/>
    <n v="0"/>
    <n v="0"/>
    <n v="0"/>
    <n v="0"/>
    <x v="0"/>
    <x v="1"/>
    <s v="61100                   "/>
    <x v="10"/>
    <x v="9"/>
    <x v="19"/>
  </r>
  <r>
    <x v="27"/>
    <x v="27"/>
    <x v="465"/>
    <x v="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n v="3.5"/>
    <n v="3.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0"/>
    <x v="10"/>
    <x v="19"/>
  </r>
  <r>
    <x v="27"/>
    <x v="27"/>
    <x v="466"/>
    <x v="466"/>
    <n v="0"/>
    <n v="0"/>
    <n v="0"/>
    <n v="0"/>
    <n v="0"/>
    <n v="0"/>
    <n v="3.12"/>
    <n v="3.12"/>
    <n v="0"/>
    <n v="0"/>
    <n v="0"/>
    <n v="0"/>
    <n v="3.1"/>
    <n v="0"/>
    <n v="0"/>
    <n v="0"/>
    <n v="0"/>
    <n v="0"/>
    <n v="0"/>
    <n v="0"/>
    <n v="0"/>
    <n v="0"/>
    <n v="0"/>
    <n v="12.31"/>
    <n v="94.3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"/>
    <n v="1.9"/>
    <n v="1.25"/>
    <n v="0.76"/>
    <n v="0.71"/>
    <n v="0.92"/>
    <n v="0"/>
    <n v="0"/>
    <n v="0"/>
    <n v="0"/>
    <n v="0"/>
    <n v="0"/>
    <n v="0"/>
    <n v="0"/>
    <n v="0"/>
    <n v="0"/>
    <n v="0"/>
    <n v="0"/>
    <x v="0"/>
    <x v="1"/>
    <s v="61100                   "/>
    <x v="10"/>
    <x v="11"/>
    <x v="19"/>
  </r>
  <r>
    <x v="27"/>
    <x v="27"/>
    <x v="467"/>
    <x v="467"/>
    <n v="0"/>
    <n v="0"/>
    <n v="340.43"/>
    <n v="722.27"/>
    <n v="993.68"/>
    <n v="1035.0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5.84"/>
    <n v="-9.69"/>
    <n v="424.78"/>
    <n v="895.16"/>
    <n v="1239.6400000000001"/>
    <n v="1291.7"/>
    <n v="0"/>
    <n v="-9.69"/>
    <n v="-66.31"/>
    <n v="0"/>
    <n v="-33.46"/>
    <n v="-18.38"/>
    <n v="0"/>
    <n v="0"/>
    <n v="0"/>
    <n v="0"/>
    <n v="0"/>
    <n v="0"/>
    <n v="0"/>
    <n v="0"/>
    <n v="0"/>
    <n v="0"/>
    <n v="0"/>
    <n v="0"/>
    <x v="0"/>
    <x v="1"/>
    <s v="61100                   "/>
    <x v="10"/>
    <x v="12"/>
    <x v="19"/>
  </r>
  <r>
    <x v="27"/>
    <x v="27"/>
    <x v="469"/>
    <x v="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0"/>
    <x v="14"/>
    <x v="19"/>
  </r>
  <r>
    <x v="27"/>
    <x v="27"/>
    <x v="470"/>
    <x v="470"/>
    <n v="0"/>
    <n v="-350.08"/>
    <n v="-76.44"/>
    <n v="0"/>
    <n v="0"/>
    <n v="-804.32"/>
    <n v="0"/>
    <n v="0"/>
    <n v="-627.04"/>
    <n v="-424.5"/>
    <n v="-552.55999999999995"/>
    <n v="-789.78"/>
    <n v="-679.76"/>
    <n v="-298.42"/>
    <n v="-119.1"/>
    <n v="-1418.3"/>
    <n v="-2798.21"/>
    <n v="-1935.19"/>
    <n v="-2828.09"/>
    <n v="-1719.67"/>
    <n v="-1599.94"/>
    <n v="-1293.6300000000001"/>
    <n v="-1130.48"/>
    <n v="-1145.94"/>
    <n v="-1509.6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644.72"/>
    <n v="-713.31"/>
    <n v="-316.66000000000003"/>
    <n v="0"/>
    <n v="0"/>
    <n v="-517.71"/>
    <n v="0"/>
    <n v="0"/>
    <n v="-388.36"/>
    <n v="-262.91000000000003"/>
    <n v="-342.31"/>
    <n v="-438.74"/>
    <n v="0"/>
    <n v="0"/>
    <n v="0"/>
    <n v="0"/>
    <n v="0"/>
    <n v="0"/>
    <n v="0"/>
    <n v="0"/>
    <n v="0"/>
    <n v="0"/>
    <n v="0"/>
    <n v="0"/>
    <x v="0"/>
    <x v="1"/>
    <s v="61100                   "/>
    <x v="10"/>
    <x v="15"/>
    <x v="19"/>
  </r>
  <r>
    <x v="27"/>
    <x v="27"/>
    <x v="471"/>
    <x v="471"/>
    <n v="7.42"/>
    <n v="10.82"/>
    <n v="0"/>
    <n v="91.44"/>
    <n v="33.590000000000003"/>
    <n v="266.10000000000002"/>
    <n v="10.11"/>
    <n v="217.57"/>
    <n v="25.41"/>
    <n v="0"/>
    <n v="3.37"/>
    <n v="0"/>
    <n v="3.37"/>
    <n v="-312.62"/>
    <n v="95.82"/>
    <n v="35.549999999999997"/>
    <n v="72.28"/>
    <n v="47.32"/>
    <n v="0"/>
    <n v="7.06"/>
    <n v="31.4"/>
    <n v="7.02"/>
    <n v="6.74"/>
    <n v="1.4"/>
    <n v="161.7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32.82"/>
    <n v="-399.09"/>
    <n v="-434.54"/>
    <n v="114.52"/>
    <n v="43.26"/>
    <n v="338.21"/>
    <n v="11.7"/>
    <n v="229.08"/>
    <n v="20.29"/>
    <n v="0"/>
    <n v="4.4800000000000004"/>
    <n v="0"/>
    <n v="0"/>
    <n v="0"/>
    <n v="0"/>
    <n v="0"/>
    <n v="0"/>
    <n v="0"/>
    <n v="0"/>
    <n v="0"/>
    <n v="0"/>
    <n v="0"/>
    <n v="0"/>
    <n v="0"/>
    <x v="0"/>
    <x v="1"/>
    <s v="61100                   "/>
    <x v="10"/>
    <x v="16"/>
    <x v="19"/>
  </r>
  <r>
    <x v="27"/>
    <x v="27"/>
    <x v="472"/>
    <x v="472"/>
    <n v="-185.77"/>
    <n v="-186.28"/>
    <n v="-313.98"/>
    <n v="-639.59"/>
    <n v="-473.91"/>
    <n v="-454.63"/>
    <n v="-533.34"/>
    <n v="-466.76"/>
    <n v="-618.72"/>
    <n v="-366.79"/>
    <n v="-334.47"/>
    <n v="-402.19"/>
    <n v="-323.37"/>
    <n v="-354.67"/>
    <n v="-66.7"/>
    <n v="-440.59"/>
    <n v="-478.66"/>
    <n v="-396.13"/>
    <n v="-307.2"/>
    <n v="-327.41000000000003"/>
    <n v="-560.82000000000005"/>
    <n v="-221.23"/>
    <n v="-282.89999999999998"/>
    <n v="-200.09"/>
    <n v="-315.29000000000002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213.58"/>
    <n v="-213.47"/>
    <n v="-363.17"/>
    <n v="-733.75"/>
    <n v="-543.75"/>
    <n v="-521.5"/>
    <n v="125.95"/>
    <n v="-535.41"/>
    <n v="-710.9"/>
    <n v="-420.84"/>
    <n v="-384.51"/>
    <n v="-461.5"/>
    <n v="0"/>
    <n v="0"/>
    <n v="0"/>
    <n v="0"/>
    <n v="0"/>
    <n v="0"/>
    <n v="0"/>
    <n v="0"/>
    <n v="0"/>
    <n v="0"/>
    <n v="0"/>
    <n v="0"/>
    <x v="0"/>
    <x v="1"/>
    <s v="61100                   "/>
    <x v="10"/>
    <x v="17"/>
    <x v="19"/>
  </r>
  <r>
    <x v="27"/>
    <x v="27"/>
    <x v="474"/>
    <x v="474"/>
    <n v="0"/>
    <n v="0"/>
    <n v="0"/>
    <n v="0"/>
    <n v="0"/>
    <n v="0"/>
    <n v="0"/>
    <n v="0"/>
    <n v="0"/>
    <n v="0"/>
    <n v="0"/>
    <n v="0"/>
    <n v="708.92"/>
    <n v="0"/>
    <n v="0"/>
    <n v="0"/>
    <n v="0"/>
    <n v="0"/>
    <n v="0"/>
    <n v="0"/>
    <n v="74.040000000000006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3"/>
    <x v="25"/>
  </r>
  <r>
    <x v="27"/>
    <x v="27"/>
    <x v="479"/>
    <x v="479"/>
    <n v="11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"/>
    <x v="25"/>
  </r>
  <r>
    <x v="27"/>
    <x v="27"/>
    <x v="480"/>
    <x v="480"/>
    <n v="62"/>
    <n v="0"/>
    <n v="0"/>
    <n v="0"/>
    <n v="0"/>
    <n v="0"/>
    <n v="92.46"/>
    <n v="61.83"/>
    <n v="394.7"/>
    <n v="477.44"/>
    <n v="67.44"/>
    <n v="219.76"/>
    <n v="907.6"/>
    <n v="176.96"/>
    <n v="173.1"/>
    <n v="76.08"/>
    <n v="674.3"/>
    <n v="40.47"/>
    <n v="0"/>
    <n v="0"/>
    <n v="91.26"/>
    <n v="120.78"/>
    <n v="121.26"/>
    <n v="82.16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7"/>
    <x v="25"/>
  </r>
  <r>
    <x v="27"/>
    <x v="27"/>
    <x v="481"/>
    <x v="481"/>
    <n v="0"/>
    <n v="0"/>
    <n v="0"/>
    <n v="0"/>
    <n v="0"/>
    <n v="0"/>
    <n v="0"/>
    <n v="37.200000000000003"/>
    <n v="16.9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8"/>
    <x v="25"/>
  </r>
  <r>
    <x v="27"/>
    <x v="27"/>
    <x v="482"/>
    <x v="482"/>
    <n v="198.19"/>
    <n v="0"/>
    <n v="0"/>
    <n v="0"/>
    <n v="0"/>
    <n v="0"/>
    <n v="190.26"/>
    <n v="380.52"/>
    <n v="0"/>
    <n v="190.26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9"/>
    <x v="25"/>
  </r>
  <r>
    <x v="27"/>
    <x v="27"/>
    <x v="483"/>
    <x v="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0"/>
    <x v="25"/>
  </r>
  <r>
    <x v="27"/>
    <x v="27"/>
    <x v="484"/>
    <x v="484"/>
    <n v="0"/>
    <n v="0"/>
    <n v="0"/>
    <n v="0"/>
    <n v="0"/>
    <n v="149.80000000000001"/>
    <n v="234.3"/>
    <n v="39.049999999999997"/>
    <n v="-44.22"/>
    <n v="0"/>
    <n v="0"/>
    <n v="0"/>
    <n v="0"/>
    <n v="0"/>
    <n v="0"/>
    <n v="0"/>
    <n v="0"/>
    <n v="0"/>
    <n v="0"/>
    <n v="0"/>
    <n v="0"/>
    <n v="0"/>
    <n v="94.39"/>
    <n v="0"/>
    <n v="251.69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1"/>
    <x v="25"/>
  </r>
  <r>
    <x v="27"/>
    <x v="27"/>
    <x v="488"/>
    <x v="488"/>
    <n v="0"/>
    <n v="0"/>
    <n v="0"/>
    <n v="0"/>
    <n v="0"/>
    <n v="0"/>
    <n v="0"/>
    <n v="0"/>
    <n v="0"/>
    <n v="65.64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5"/>
    <x v="25"/>
  </r>
  <r>
    <x v="27"/>
    <x v="27"/>
    <x v="489"/>
    <x v="489"/>
    <n v="0"/>
    <n v="433.57"/>
    <n v="36.549999999999997"/>
    <n v="0"/>
    <n v="0"/>
    <n v="295.75"/>
    <n v="1005.49"/>
    <n v="838.54"/>
    <n v="969.46"/>
    <n v="288.33999999999997"/>
    <n v="44.36"/>
    <n v="10.24"/>
    <n v="109.23"/>
    <n v="327.68"/>
    <n v="574.62"/>
    <n v="638.52"/>
    <n v="78.88"/>
    <n v="0"/>
    <n v="0"/>
    <n v="0"/>
    <n v="46.81"/>
    <n v="0"/>
    <n v="0"/>
    <n v="0"/>
    <n v="38.18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6"/>
    <x v="25"/>
  </r>
  <r>
    <x v="27"/>
    <x v="27"/>
    <x v="490"/>
    <x v="490"/>
    <n v="91.75"/>
    <n v="0"/>
    <n v="0"/>
    <n v="0"/>
    <n v="0"/>
    <n v="0"/>
    <n v="0"/>
    <n v="0"/>
    <n v="73.400000000000006"/>
    <n v="0"/>
    <n v="0"/>
    <n v="0"/>
    <n v="67.28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1"/>
    <x v="17"/>
    <x v="25"/>
  </r>
  <r>
    <x v="27"/>
    <x v="27"/>
    <x v="543"/>
    <x v="543"/>
    <n v="0"/>
    <n v="0"/>
    <n v="0"/>
    <n v="0"/>
    <n v="416.46"/>
    <n v="0"/>
    <n v="0"/>
    <n v="0"/>
    <n v="0"/>
    <n v="0"/>
    <n v="0"/>
    <n v="0"/>
    <n v="0"/>
    <n v="0"/>
    <n v="0"/>
    <n v="0"/>
    <n v="0"/>
    <n v="334.39"/>
    <n v="0"/>
    <n v="764.32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4"/>
    <x v="16"/>
    <x v="18"/>
  </r>
  <r>
    <x v="27"/>
    <x v="27"/>
    <x v="573"/>
    <x v="573"/>
    <n v="0"/>
    <n v="0"/>
    <n v="0"/>
    <n v="0"/>
    <n v="0"/>
    <n v="0"/>
    <n v="0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6"/>
    <x v="10"/>
    <x v="24"/>
  </r>
  <r>
    <x v="27"/>
    <x v="27"/>
    <x v="575"/>
    <x v="575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6"/>
    <x v="12"/>
    <x v="24"/>
  </r>
  <r>
    <x v="27"/>
    <x v="27"/>
    <x v="590"/>
    <x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7"/>
    <x v="9"/>
    <x v="26"/>
  </r>
  <r>
    <x v="27"/>
    <x v="27"/>
    <x v="597"/>
    <x v="597"/>
    <n v="0"/>
    <n v="0"/>
    <n v="0"/>
    <n v="0"/>
    <n v="0"/>
    <n v="63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7"/>
    <x v="16"/>
    <x v="26"/>
  </r>
  <r>
    <x v="27"/>
    <x v="27"/>
    <x v="615"/>
    <x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8"/>
    <x v="16"/>
    <x v="18"/>
  </r>
  <r>
    <x v="27"/>
    <x v="27"/>
    <x v="626"/>
    <x v="626"/>
    <n v="0"/>
    <n v="0"/>
    <n v="0"/>
    <n v="0"/>
    <n v="237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19"/>
    <x v="9"/>
    <x v="18"/>
  </r>
  <r>
    <x v="27"/>
    <x v="27"/>
    <x v="636"/>
    <x v="636"/>
    <n v="2216.8000000000002"/>
    <n v="3026.82"/>
    <n v="2422.1999999999998"/>
    <n v="2472.73"/>
    <n v="2356.0100000000002"/>
    <n v="2142.2600000000002"/>
    <n v="2159.2600000000002"/>
    <n v="1770.5"/>
    <n v="2379.77"/>
    <n v="2003.86"/>
    <n v="1696.44"/>
    <n v="2612.8000000000002"/>
    <n v="2183.7600000000002"/>
    <n v="2021.08"/>
    <n v="2169.5500000000002"/>
    <n v="2223.61"/>
    <n v="2102.4"/>
    <n v="2401.9"/>
    <n v="2215.92"/>
    <n v="1919.03"/>
    <n v="2825.05"/>
    <n v="1395.97"/>
    <n v="1810.09"/>
    <n v="1552.45"/>
    <n v="1521.68"/>
    <n v="0"/>
    <x v="0"/>
    <x v="0"/>
    <x v="0"/>
    <x v="0"/>
    <x v="0"/>
    <x v="0"/>
    <x v="0"/>
    <x v="0"/>
    <x v="0"/>
    <x v="0"/>
    <n v="989.01"/>
    <n v="1177.5899999999999"/>
    <n v="1714.35"/>
    <n v="1080.57"/>
    <n v="1522.41"/>
    <n v="1158.69"/>
    <n v="1724.01"/>
    <n v="2635.83"/>
    <n v="3422.91"/>
    <n v="3713.55"/>
    <n v="1075.45"/>
    <n v="1235.32"/>
    <n v="2374.2199999999998"/>
    <n v="3021.99"/>
    <n v="2680.77"/>
    <n v="2681.55"/>
    <n v="2494.2199999999998"/>
    <n v="2139.16"/>
    <n v="2133.84"/>
    <n v="1817.72"/>
    <n v="2818.19"/>
    <n v="2043.85"/>
    <n v="1852.47"/>
    <n v="2564.44"/>
    <n v="2331.16"/>
    <n v="2217.58"/>
    <n v="2345.84"/>
    <n v="2408"/>
    <n v="2258.4899999999998"/>
    <n v="2620.59"/>
    <n v="2291.5300000000002"/>
    <n v="2022.32"/>
    <n v="2540.39"/>
    <n v="2101.96"/>
    <n v="1963.52"/>
    <n v="2683.61"/>
    <x v="0"/>
    <x v="1"/>
    <s v="61100                   "/>
    <x v="20"/>
    <x v="3"/>
    <x v="24"/>
  </r>
  <r>
    <x v="27"/>
    <x v="27"/>
    <x v="637"/>
    <x v="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0"/>
    <x v="4"/>
    <x v="24"/>
  </r>
  <r>
    <x v="27"/>
    <x v="27"/>
    <x v="638"/>
    <x v="638"/>
    <n v="0"/>
    <n v="0"/>
    <n v="0"/>
    <n v="0"/>
    <n v="0"/>
    <n v="0"/>
    <n v="23.39"/>
    <n v="111.72"/>
    <n v="184.5"/>
    <n v="46.8"/>
    <n v="33.799999999999997"/>
    <n v="31.19"/>
    <n v="36.4"/>
    <n v="44.2"/>
    <n v="98.81"/>
    <n v="67.569999999999993"/>
    <n v="33.799999999999997"/>
    <n v="48.98"/>
    <n v="93.74"/>
    <n v="79.38"/>
    <n v="128.84"/>
    <n v="97.48"/>
    <n v="77.13"/>
    <n v="90.53"/>
    <n v="57.4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277.5"/>
    <n v="143.31"/>
    <n v="128.46"/>
    <n v="161.71"/>
    <n v="230.62"/>
    <n v="230.62"/>
    <n v="265.68"/>
    <n v="223.47"/>
    <n v="277.5"/>
    <n v="277.5"/>
    <n v="277.5"/>
    <n v="277.5"/>
    <n v="84.2"/>
    <n v="84.83"/>
    <n v="98.8"/>
    <n v="67.599999999999994"/>
    <n v="33.799999999999997"/>
    <n v="48.98"/>
    <n v="250.92"/>
    <n v="207.4"/>
    <n v="304.10000000000002"/>
    <n v="167.56"/>
    <n v="172.42"/>
    <n v="181.98"/>
    <x v="0"/>
    <x v="1"/>
    <s v="61100                   "/>
    <x v="20"/>
    <x v="0"/>
    <x v="24"/>
  </r>
  <r>
    <x v="27"/>
    <x v="27"/>
    <x v="641"/>
    <x v="641"/>
    <n v="1584.89"/>
    <n v="1498.76"/>
    <n v="476.77"/>
    <n v="415.59"/>
    <n v="689.43"/>
    <n v="567.88"/>
    <n v="546.65"/>
    <n v="541.67999999999995"/>
    <n v="574.80999999999995"/>
    <n v="489.95"/>
    <n v="395.87"/>
    <n v="576.42999999999995"/>
    <n v="960.86"/>
    <n v="955.9"/>
    <n v="1198.6300000000001"/>
    <n v="525.41"/>
    <n v="540.65"/>
    <n v="619.35"/>
    <n v="870.59"/>
    <n v="540.28"/>
    <n v="832.44"/>
    <n v="534.62"/>
    <n v="387.71"/>
    <n v="796.28"/>
    <n v="462.35"/>
    <n v="0"/>
    <x v="0"/>
    <x v="0"/>
    <x v="0"/>
    <x v="0"/>
    <x v="0"/>
    <x v="0"/>
    <x v="0"/>
    <x v="0"/>
    <x v="0"/>
    <x v="0"/>
    <n v="832.66"/>
    <n v="904.84"/>
    <n v="638.58000000000004"/>
    <n v="459.77"/>
    <n v="566.99"/>
    <n v="416.47"/>
    <n v="597.41999999999996"/>
    <n v="582.29"/>
    <n v="1071.3499999999999"/>
    <n v="364.08"/>
    <n v="469.63"/>
    <n v="615.07000000000005"/>
    <n v="1464.74"/>
    <n v="1315.79"/>
    <n v="638.02"/>
    <n v="530.01"/>
    <n v="744.1"/>
    <n v="623.98"/>
    <n v="619.54"/>
    <n v="608.24"/>
    <n v="670.82"/>
    <n v="542.54"/>
    <n v="427.66"/>
    <n v="591.21"/>
    <n v="972.55"/>
    <n v="949.44"/>
    <n v="1193.1099999999999"/>
    <n v="525.74"/>
    <n v="538.75"/>
    <n v="637.54"/>
    <n v="573.45000000000005"/>
    <n v="548.01"/>
    <n v="584.04"/>
    <n v="548.1"/>
    <n v="419.87"/>
    <n v="623.22"/>
    <x v="0"/>
    <x v="1"/>
    <s v="61100                   "/>
    <x v="20"/>
    <x v="1"/>
    <x v="24"/>
  </r>
  <r>
    <x v="27"/>
    <x v="27"/>
    <x v="642"/>
    <x v="642"/>
    <n v="5802.2"/>
    <n v="5123.62"/>
    <n v="5071.7"/>
    <n v="4597.33"/>
    <n v="5573.43"/>
    <n v="5060.7299999999996"/>
    <n v="5829.54"/>
    <n v="4739.22"/>
    <n v="5828.12"/>
    <n v="5129.78"/>
    <n v="4621.78"/>
    <n v="5509.02"/>
    <n v="5497.83"/>
    <n v="5099.09"/>
    <n v="4581.84"/>
    <n v="5352.66"/>
    <n v="5255.38"/>
    <n v="4827.67"/>
    <n v="5024.37"/>
    <n v="5250.81"/>
    <n v="6533.12"/>
    <n v="4996.6899999999996"/>
    <n v="5312.21"/>
    <n v="5945.75"/>
    <n v="5555.58"/>
    <n v="0"/>
    <x v="0"/>
    <x v="0"/>
    <x v="0"/>
    <x v="0"/>
    <x v="0"/>
    <x v="0"/>
    <x v="0"/>
    <x v="0"/>
    <x v="0"/>
    <x v="0"/>
    <n v="5594.3"/>
    <n v="4899.26"/>
    <n v="5371.58"/>
    <n v="5111.8999999999996"/>
    <n v="5443.1"/>
    <n v="5036.1499999999996"/>
    <n v="5087.8999999999996"/>
    <n v="6039.26"/>
    <n v="5188.2"/>
    <n v="2348.96"/>
    <n v="4403.8100000000004"/>
    <n v="4467.28"/>
    <n v="5773.03"/>
    <n v="5642.9"/>
    <n v="5396.82"/>
    <n v="4891.25"/>
    <n v="5863.87"/>
    <n v="5210.17"/>
    <n v="5712.28"/>
    <n v="5341.21"/>
    <n v="6584.06"/>
    <n v="5407.48"/>
    <n v="4948.45"/>
    <n v="5888.15"/>
    <n v="5695.32"/>
    <n v="5486.61"/>
    <n v="5049.16"/>
    <n v="5919.88"/>
    <n v="5745.72"/>
    <n v="5787.73"/>
    <n v="5777.16"/>
    <n v="5237.9399999999996"/>
    <n v="6384.02"/>
    <n v="5543.33"/>
    <n v="5523.6"/>
    <n v="5982.38"/>
    <x v="0"/>
    <x v="1"/>
    <s v="61100                   "/>
    <x v="20"/>
    <x v="7"/>
    <x v="24"/>
  </r>
  <r>
    <x v="27"/>
    <x v="27"/>
    <x v="643"/>
    <x v="643"/>
    <n v="1018.42"/>
    <n v="679.53"/>
    <n v="1559.35"/>
    <n v="531.9"/>
    <n v="651.67999999999995"/>
    <n v="447.26"/>
    <n v="0.03"/>
    <n v="417.9"/>
    <n v="3099.65"/>
    <n v="701.47"/>
    <n v="997.75"/>
    <n v="983.24"/>
    <n v="2165.64"/>
    <n v="2801.72"/>
    <n v="782.7"/>
    <n v="950.63"/>
    <n v="907.4"/>
    <n v="926.26"/>
    <n v="989.36"/>
    <n v="632.33000000000004"/>
    <n v="1985.09"/>
    <n v="1170.6199999999999"/>
    <n v="913.37"/>
    <n v="756.73"/>
    <n v="698.67"/>
    <n v="0"/>
    <x v="0"/>
    <x v="0"/>
    <x v="0"/>
    <x v="0"/>
    <x v="0"/>
    <x v="0"/>
    <x v="0"/>
    <x v="0"/>
    <x v="0"/>
    <x v="0"/>
    <n v="391.01"/>
    <n v="552.01"/>
    <n v="415.66"/>
    <n v="443.16"/>
    <n v="1583.07"/>
    <n v="972.59"/>
    <n v="1005.55"/>
    <n v="803.48"/>
    <n v="976.7"/>
    <n v="249.13"/>
    <n v="451.68"/>
    <n v="642.34"/>
    <n v="976.94"/>
    <n v="648.97"/>
    <n v="1239.02"/>
    <n v="512.9"/>
    <n v="679"/>
    <n v="466.21"/>
    <n v="524.4"/>
    <n v="435.01"/>
    <n v="3297.46"/>
    <n v="776.7"/>
    <n v="851.48"/>
    <n v="1234.48"/>
    <n v="902.47"/>
    <n v="634.65"/>
    <n v="638.66999999999996"/>
    <n v="1056.4100000000001"/>
    <n v="973.39"/>
    <n v="889.74"/>
    <n v="388.71"/>
    <n v="284.29000000000002"/>
    <n v="838.95"/>
    <n v="375.54"/>
    <n v="435.69"/>
    <n v="712.79"/>
    <x v="0"/>
    <x v="1"/>
    <s v="61100                   "/>
    <x v="20"/>
    <x v="8"/>
    <x v="24"/>
  </r>
  <r>
    <x v="27"/>
    <x v="27"/>
    <x v="644"/>
    <x v="644"/>
    <n v="843.89"/>
    <n v="682.7"/>
    <n v="734.4"/>
    <n v="640.86"/>
    <n v="734.86"/>
    <n v="858.24"/>
    <n v="605.48"/>
    <n v="540.07000000000005"/>
    <n v="1809.35"/>
    <n v="510.98"/>
    <n v="791.9"/>
    <n v="1470.26"/>
    <n v="955.5"/>
    <n v="1277"/>
    <n v="1423.04"/>
    <n v="831.21"/>
    <n v="829.99"/>
    <n v="461.43"/>
    <n v="568.34"/>
    <n v="268.27"/>
    <n v="1154.3900000000001"/>
    <n v="722.29"/>
    <n v="355.66"/>
    <n v="1374.92"/>
    <n v="937.99"/>
    <n v="0"/>
    <x v="0"/>
    <x v="0"/>
    <x v="0"/>
    <x v="0"/>
    <x v="0"/>
    <x v="0"/>
    <x v="0"/>
    <x v="0"/>
    <x v="0"/>
    <x v="0"/>
    <n v="2712.74"/>
    <n v="2186.69"/>
    <n v="2876.39"/>
    <n v="1883.67"/>
    <n v="2172.33"/>
    <n v="1961.58"/>
    <n v="2130.84"/>
    <n v="1166.19"/>
    <n v="1304.94"/>
    <n v="286.12"/>
    <n v="1400.79"/>
    <n v="2688.9"/>
    <n v="831.49"/>
    <n v="645.63"/>
    <n v="804.91"/>
    <n v="716.35"/>
    <n v="918.72"/>
    <n v="946.77"/>
    <n v="672.33"/>
    <n v="599.45000000000005"/>
    <n v="1719.14"/>
    <n v="567.58000000000004"/>
    <n v="728.5"/>
    <n v="1072.1199999999999"/>
    <n v="955.41"/>
    <n v="1276.96"/>
    <n v="1422.92"/>
    <n v="831.19"/>
    <n v="829.69"/>
    <n v="461.5"/>
    <n v="642.84"/>
    <n v="549.4"/>
    <n v="1971.53"/>
    <n v="605.94000000000005"/>
    <n v="898.6"/>
    <n v="1503.66"/>
    <x v="0"/>
    <x v="1"/>
    <s v="61100                   "/>
    <x v="20"/>
    <x v="9"/>
    <x v="24"/>
  </r>
  <r>
    <x v="27"/>
    <x v="27"/>
    <x v="645"/>
    <x v="645"/>
    <n v="304.77"/>
    <n v="94.5"/>
    <n v="77"/>
    <n v="56"/>
    <n v="112"/>
    <n v="154"/>
    <n v="318.48"/>
    <n v="342.95"/>
    <n v="307.98"/>
    <n v="52.5"/>
    <n v="98"/>
    <n v="171.49"/>
    <n v="129.5"/>
    <n v="98"/>
    <n v="52.5"/>
    <n v="164.49"/>
    <n v="332.5"/>
    <n v="619.47"/>
    <n v="535.48"/>
    <n v="440.99"/>
    <n v="577.48"/>
    <n v="3.5"/>
    <n v="0"/>
    <n v="0"/>
    <n v="0"/>
    <n v="0"/>
    <x v="0"/>
    <x v="0"/>
    <x v="0"/>
    <x v="0"/>
    <x v="0"/>
    <x v="0"/>
    <x v="0"/>
    <x v="0"/>
    <x v="0"/>
    <x v="0"/>
    <n v="290.56"/>
    <n v="413.87"/>
    <n v="219.18"/>
    <n v="271.44"/>
    <n v="295.17"/>
    <n v="427.73"/>
    <n v="299.95999999999998"/>
    <n v="355.89"/>
    <n v="563.78"/>
    <n v="179.8"/>
    <n v="407.56"/>
    <n v="281.76"/>
    <n v="259.27"/>
    <n v="102.14"/>
    <n v="102.13"/>
    <n v="72.62"/>
    <n v="108.96"/>
    <n v="120.89"/>
    <n v="264.8"/>
    <n v="245.47"/>
    <n v="350.72"/>
    <n v="118.66"/>
    <n v="174.52"/>
    <n v="169.49"/>
    <n v="0"/>
    <n v="0"/>
    <n v="0"/>
    <n v="0"/>
    <n v="0"/>
    <n v="0"/>
    <n v="0"/>
    <n v="0"/>
    <n v="0"/>
    <n v="0"/>
    <n v="0"/>
    <n v="0"/>
    <x v="0"/>
    <x v="1"/>
    <s v="61100                   "/>
    <x v="20"/>
    <x v="10"/>
    <x v="24"/>
  </r>
  <r>
    <x v="27"/>
    <x v="27"/>
    <x v="646"/>
    <x v="646"/>
    <n v="0"/>
    <n v="0"/>
    <n v="0"/>
    <n v="29.16"/>
    <n v="270.95999999999998"/>
    <n v="211.02"/>
    <n v="378.62"/>
    <n v="489.73"/>
    <n v="486.8"/>
    <n v="158.80000000000001"/>
    <n v="204.94"/>
    <n v="162.84"/>
    <n v="80.62"/>
    <n v="80.69"/>
    <n v="194.08"/>
    <n v="209.48"/>
    <n v="66.86"/>
    <n v="86.6"/>
    <n v="100.43"/>
    <n v="204.49"/>
    <n v="106.55"/>
    <n v="114.01"/>
    <n v="153.53"/>
    <n v="131.30000000000001"/>
    <n v="49.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9.690000000000001"/>
    <n v="146.27000000000001"/>
    <n v="115.96"/>
    <n v="349.97"/>
    <n v="637.27"/>
    <n v="479.15"/>
    <n v="234.95"/>
    <n v="253.67"/>
    <n v="275.58"/>
    <n v="476.46"/>
    <n v="590.75"/>
    <n v="413.4"/>
    <n v="543.88"/>
    <n v="274.01"/>
    <n v="462.42"/>
    <n v="823.66"/>
    <n v="1630.42"/>
    <n v="1231.93"/>
    <n v="614.72"/>
    <n v="626.79999999999995"/>
    <n v="832.44"/>
    <x v="0"/>
    <x v="1"/>
    <s v="61100                   "/>
    <x v="20"/>
    <x v="11"/>
    <x v="24"/>
  </r>
  <r>
    <x v="27"/>
    <x v="27"/>
    <x v="647"/>
    <x v="647"/>
    <n v="22.49"/>
    <n v="14.98"/>
    <n v="42.91"/>
    <n v="29.98"/>
    <n v="59.96"/>
    <n v="15.84"/>
    <n v="33.71"/>
    <n v="41.2"/>
    <n v="120.74"/>
    <n v="11.25"/>
    <n v="37.479999999999997"/>
    <n v="29.99"/>
    <n v="18.75"/>
    <n v="11.25"/>
    <n v="15"/>
    <n v="34.24"/>
    <n v="22.5"/>
    <n v="38.33"/>
    <n v="41.22"/>
    <n v="29.97"/>
    <n v="64.540000000000006"/>
    <n v="33.72"/>
    <n v="14.98"/>
    <n v="3.75"/>
    <n v="33.71"/>
    <n v="0"/>
    <x v="0"/>
    <x v="0"/>
    <x v="0"/>
    <x v="0"/>
    <x v="0"/>
    <x v="0"/>
    <x v="0"/>
    <x v="0"/>
    <x v="0"/>
    <x v="0"/>
    <n v="109.03"/>
    <n v="43.78"/>
    <n v="55.48"/>
    <n v="90.34"/>
    <n v="54.08"/>
    <n v="61.65"/>
    <n v="105.47"/>
    <n v="96.15"/>
    <n v="159.72"/>
    <n v="70.94"/>
    <n v="51.9"/>
    <n v="64.260000000000005"/>
    <n v="36.39"/>
    <n v="18.63"/>
    <n v="34.25"/>
    <n v="32.590000000000003"/>
    <n v="51.46"/>
    <n v="20.48"/>
    <n v="30.85"/>
    <n v="37.78"/>
    <n v="116.69"/>
    <n v="2.06"/>
    <n v="49.53"/>
    <n v="29.82"/>
    <n v="58.03"/>
    <n v="35.49"/>
    <n v="24.2"/>
    <n v="20.45"/>
    <n v="39.22"/>
    <n v="42.95"/>
    <n v="50.47"/>
    <n v="73.010000000000005"/>
    <n v="313.45"/>
    <n v="20.45"/>
    <n v="144.46"/>
    <n v="114.38"/>
    <x v="0"/>
    <x v="1"/>
    <s v="61100                   "/>
    <x v="20"/>
    <x v="12"/>
    <x v="24"/>
  </r>
  <r>
    <x v="27"/>
    <x v="27"/>
    <x v="2700"/>
    <x v="2700"/>
    <n v="6.17"/>
    <n v="0"/>
    <n v="8.2100000000000009"/>
    <n v="2.0499999999999998"/>
    <n v="4.1100000000000003"/>
    <n v="0"/>
    <n v="12.29"/>
    <n v="6.17"/>
    <n v="2.0499999999999998"/>
    <n v="4.0999999999999996"/>
    <n v="0"/>
    <n v="8.2200000000000006"/>
    <n v="0"/>
    <n v="12.34"/>
    <n v="8.2200000000000006"/>
    <n v="4.1100000000000003"/>
    <n v="4.110000000000000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16.63"/>
    <n v="52.73"/>
    <n v="24.95"/>
    <n v="4.1500000000000004"/>
    <n v="0"/>
    <n v="0"/>
    <n v="28.23"/>
    <n v="20.79"/>
    <n v="0"/>
    <n v="4.4000000000000004"/>
    <n v="0"/>
    <n v="3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0"/>
    <x v="20"/>
    <x v="24"/>
  </r>
  <r>
    <x v="27"/>
    <x v="27"/>
    <x v="649"/>
    <x v="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0"/>
    <x v="14"/>
    <x v="24"/>
  </r>
  <r>
    <x v="27"/>
    <x v="27"/>
    <x v="650"/>
    <x v="650"/>
    <n v="0"/>
    <n v="339.15"/>
    <n v="1095.98"/>
    <n v="929.41"/>
    <n v="2228.59"/>
    <n v="1419.95"/>
    <n v="1122.71"/>
    <n v="1032.97"/>
    <n v="850.35"/>
    <n v="669.86"/>
    <n v="568.30999999999995"/>
    <n v="840.88"/>
    <n v="676.32"/>
    <n v="298.14"/>
    <n v="119.01"/>
    <n v="1417.08"/>
    <n v="2796.2"/>
    <n v="1933.43"/>
    <n v="2825.79"/>
    <n v="1718.46"/>
    <n v="1598.73"/>
    <n v="1293.6300000000001"/>
    <n v="1130.48"/>
    <n v="1145.94"/>
    <n v="1509.68"/>
    <n v="0"/>
    <x v="0"/>
    <x v="0"/>
    <x v="0"/>
    <x v="0"/>
    <x v="0"/>
    <x v="0"/>
    <x v="0"/>
    <x v="0"/>
    <x v="0"/>
    <x v="0"/>
    <n v="933.52"/>
    <n v="859.92"/>
    <n v="1069.92"/>
    <n v="913.92"/>
    <n v="1059.92"/>
    <n v="979.92"/>
    <n v="991.92"/>
    <n v="859.92"/>
    <n v="2299.92"/>
    <n v="2735.92"/>
    <n v="899.92"/>
    <n v="831.04"/>
    <n v="942.25"/>
    <n v="1179.03"/>
    <n v="1288.27"/>
    <n v="884.72"/>
    <n v="1882.16"/>
    <n v="1206.67"/>
    <n v="933.57"/>
    <n v="818.38"/>
    <n v="665.11"/>
    <n v="665.11"/>
    <n v="471.83"/>
    <n v="644.79"/>
    <n v="393.12"/>
    <n v="393.12"/>
    <n v="393.12"/>
    <n v="554.19000000000005"/>
    <n v="1258.53"/>
    <n v="677.04"/>
    <n v="393.12"/>
    <n v="442.26"/>
    <n v="393.12"/>
    <n v="393.12"/>
    <n v="393.12"/>
    <n v="393.12"/>
    <x v="0"/>
    <x v="1"/>
    <s v="61100                   "/>
    <x v="20"/>
    <x v="15"/>
    <x v="24"/>
  </r>
  <r>
    <x v="27"/>
    <x v="27"/>
    <x v="651"/>
    <x v="651"/>
    <n v="1663.71"/>
    <n v="1376.77"/>
    <n v="1690.75"/>
    <n v="2705.49"/>
    <n v="1909.21"/>
    <n v="1402.52"/>
    <n v="2745.76"/>
    <n v="3380.41"/>
    <n v="3737.01"/>
    <n v="1668.84"/>
    <n v="1778.5"/>
    <n v="1721.46"/>
    <n v="1931.87"/>
    <n v="2057.02"/>
    <n v="2103.31"/>
    <n v="2025.93"/>
    <n v="1497.18"/>
    <n v="1612.24"/>
    <n v="2151.69"/>
    <n v="2717.91"/>
    <n v="3702.35"/>
    <n v="1722.07"/>
    <n v="1796.63"/>
    <n v="2002.08"/>
    <n v="2035.11"/>
    <n v="0"/>
    <x v="0"/>
    <x v="0"/>
    <x v="0"/>
    <x v="0"/>
    <x v="0"/>
    <x v="0"/>
    <x v="0"/>
    <x v="0"/>
    <x v="0"/>
    <x v="0"/>
    <n v="2294.25"/>
    <n v="1460.57"/>
    <n v="1704.69"/>
    <n v="2498.59"/>
    <n v="1951.87"/>
    <n v="835.31"/>
    <n v="1601.67"/>
    <n v="1713.87"/>
    <n v="2005.93"/>
    <n v="2352.4899999999998"/>
    <n v="2828.73"/>
    <n v="2364.46"/>
    <n v="1960.41"/>
    <n v="1749.84"/>
    <n v="2169.64"/>
    <n v="2529.71"/>
    <n v="1900.57"/>
    <n v="1431.39"/>
    <n v="2605.44"/>
    <n v="2999.93"/>
    <n v="3391.11"/>
    <n v="1548.79"/>
    <n v="1682.46"/>
    <n v="1811.13"/>
    <n v="1964.87"/>
    <n v="2086.65"/>
    <n v="2233.2399999999998"/>
    <n v="2063.08"/>
    <n v="1559.37"/>
    <n v="1656.29"/>
    <n v="2762.74"/>
    <n v="3508.44"/>
    <n v="3779.37"/>
    <n v="1829.32"/>
    <n v="2029.65"/>
    <n v="1983.04"/>
    <x v="0"/>
    <x v="1"/>
    <s v="61100                   "/>
    <x v="20"/>
    <x v="16"/>
    <x v="24"/>
  </r>
  <r>
    <x v="27"/>
    <x v="27"/>
    <x v="652"/>
    <x v="652"/>
    <n v="1053.75"/>
    <n v="1074.24"/>
    <n v="1106.19"/>
    <n v="1404.29"/>
    <n v="1165.95"/>
    <n v="1157.8399999999999"/>
    <n v="1280.3900000000001"/>
    <n v="1134.8499999999999"/>
    <n v="2491.5500000000002"/>
    <n v="1066.82"/>
    <n v="1121.4000000000001"/>
    <n v="972.04"/>
    <n v="886.16"/>
    <n v="949.76"/>
    <n v="1159.3"/>
    <n v="1218.48"/>
    <n v="1103.47"/>
    <n v="877.67"/>
    <n v="746.64"/>
    <n v="929.74"/>
    <n v="1601.72"/>
    <n v="787.81"/>
    <n v="726.02"/>
    <n v="1199.29"/>
    <n v="592.66"/>
    <n v="0"/>
    <x v="0"/>
    <x v="0"/>
    <x v="0"/>
    <x v="0"/>
    <x v="0"/>
    <x v="0"/>
    <x v="0"/>
    <x v="0"/>
    <x v="0"/>
    <x v="0"/>
    <n v="914.41"/>
    <n v="1413.4"/>
    <n v="1246.96"/>
    <n v="2255.7600000000002"/>
    <n v="1502.59"/>
    <n v="1141.3900000000001"/>
    <n v="1463.02"/>
    <n v="1145.0899999999999"/>
    <n v="3859.92"/>
    <n v="568.72"/>
    <n v="298.8"/>
    <n v="1373.7"/>
    <n v="1157.5"/>
    <n v="1155.55"/>
    <n v="1161.6099999999999"/>
    <n v="1155.3800000000001"/>
    <n v="1231.7"/>
    <n v="1236.48"/>
    <n v="1366.09"/>
    <n v="1200.54"/>
    <n v="2005.99"/>
    <n v="1149.1600000000001"/>
    <n v="1159.51"/>
    <n v="1049.82"/>
    <n v="888.39"/>
    <n v="953.01"/>
    <n v="1159.5899999999999"/>
    <n v="1222.8399999999999"/>
    <n v="1105.8699999999999"/>
    <n v="971.66"/>
    <n v="1305.1199999999999"/>
    <n v="1147.8900000000001"/>
    <n v="2600.41"/>
    <n v="1165.6500000000001"/>
    <n v="1124.6600000000001"/>
    <n v="972.31"/>
    <x v="0"/>
    <x v="1"/>
    <s v="61100                   "/>
    <x v="20"/>
    <x v="17"/>
    <x v="24"/>
  </r>
  <r>
    <x v="27"/>
    <x v="27"/>
    <x v="680"/>
    <x v="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3"/>
    <x v="7"/>
    <x v="19"/>
  </r>
  <r>
    <x v="27"/>
    <x v="27"/>
    <x v="682"/>
    <x v="682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3"/>
    <x v="9"/>
    <x v="19"/>
  </r>
  <r>
    <x v="27"/>
    <x v="27"/>
    <x v="689"/>
    <x v="689"/>
    <n v="0"/>
    <n v="0"/>
    <n v="0"/>
    <n v="0"/>
    <n v="0"/>
    <n v="0"/>
    <n v="0"/>
    <n v="0"/>
    <n v="0"/>
    <n v="0"/>
    <n v="0"/>
    <n v="0"/>
    <n v="0"/>
    <n v="78.430000000000007"/>
    <n v="0"/>
    <n v="0"/>
    <n v="0"/>
    <n v="0"/>
    <n v="0"/>
    <n v="0"/>
    <n v="0"/>
    <n v="0"/>
    <n v="33.68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100                   "/>
    <x v="23"/>
    <x v="16"/>
    <x v="19"/>
  </r>
  <r>
    <x v="27"/>
    <x v="27"/>
    <x v="716"/>
    <x v="716"/>
    <n v="176.34"/>
    <n v="118.81"/>
    <n v="212.3"/>
    <n v="448.94"/>
    <n v="166.07"/>
    <n v="163.91"/>
    <n v="703"/>
    <n v="325.97000000000003"/>
    <n v="954.94"/>
    <n v="145.02000000000001"/>
    <n v="65.010000000000005"/>
    <n v="243.26"/>
    <n v="76.42"/>
    <n v="115.36"/>
    <n v="105.78"/>
    <n v="173.24"/>
    <n v="258.86"/>
    <n v="111.76"/>
    <n v="232.32"/>
    <n v="310.68"/>
    <n v="954.79"/>
    <n v="164.31"/>
    <n v="233.24"/>
    <n v="332.2"/>
    <n v="290.82"/>
    <n v="143.18"/>
    <x v="0"/>
    <x v="0"/>
    <x v="0"/>
    <x v="0"/>
    <x v="0"/>
    <x v="0"/>
    <x v="0"/>
    <x v="0"/>
    <x v="0"/>
    <x v="0"/>
    <n v="284.77999999999997"/>
    <n v="635.70000000000005"/>
    <n v="323.60000000000002"/>
    <n v="310.64"/>
    <n v="322.08"/>
    <n v="800.8"/>
    <n v="800.8"/>
    <n v="413.52"/>
    <n v="1048.04"/>
    <n v="226.28"/>
    <n v="213.89"/>
    <n v="296.29000000000002"/>
    <n v="143.52000000000001"/>
    <n v="96.69"/>
    <n v="172.78"/>
    <n v="365.37"/>
    <n v="135.16"/>
    <n v="133.4"/>
    <n v="572.14"/>
    <n v="265.29000000000002"/>
    <n v="777.18"/>
    <n v="118.03"/>
    <n v="52.91"/>
    <n v="197.98"/>
    <n v="15.4"/>
    <n v="76.12"/>
    <n v="81.400000000000006"/>
    <n v="137.28"/>
    <n v="92.4"/>
    <n v="100.32"/>
    <n v="377.96"/>
    <n v="273.24"/>
    <n v="607.20000000000005"/>
    <n v="143.44"/>
    <n v="67.72"/>
    <n v="0"/>
    <x v="0"/>
    <x v="1"/>
    <s v="61200                   "/>
    <x v="20"/>
    <x v="2"/>
    <x v="24"/>
  </r>
  <r>
    <x v="27"/>
    <x v="27"/>
    <x v="720"/>
    <x v="720"/>
    <n v="0"/>
    <n v="0"/>
    <n v="0"/>
    <n v="0"/>
    <n v="0"/>
    <n v="0"/>
    <n v="0"/>
    <n v="0"/>
    <n v="0"/>
    <n v="0"/>
    <n v="0"/>
    <n v="0"/>
    <n v="0"/>
    <n v="-74.349999999999994"/>
    <n v="0"/>
    <n v="0"/>
    <n v="0"/>
    <n v="3000"/>
    <n v="0"/>
    <n v="-300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60                   "/>
    <x v="0"/>
    <x v="2"/>
    <x v="30"/>
  </r>
  <r>
    <x v="27"/>
    <x v="27"/>
    <x v="721"/>
    <x v="721"/>
    <n v="10.91"/>
    <n v="-0.01"/>
    <n v="-177.18"/>
    <n v="-1.1100000000000001"/>
    <n v="-1.1100000000000001"/>
    <n v="72.33"/>
    <n v="31.08"/>
    <n v="0"/>
    <n v="-25.34"/>
    <n v="0"/>
    <n v="-7.56"/>
    <n v="0.67"/>
    <n v="2.0499999999999998"/>
    <n v="0"/>
    <n v="344.59"/>
    <n v="-642.19000000000005"/>
    <n v="-2405.11"/>
    <n v="0"/>
    <n v="72.97"/>
    <n v="1.62"/>
    <n v="-46.11"/>
    <n v="800.48"/>
    <n v="0"/>
    <n v="52.73"/>
    <n v="0"/>
    <n v="0"/>
    <x v="0"/>
    <x v="0"/>
    <x v="0"/>
    <x v="0"/>
    <x v="0"/>
    <x v="0"/>
    <x v="0"/>
    <x v="0"/>
    <x v="0"/>
    <x v="0"/>
    <n v="23.54"/>
    <n v="28.03"/>
    <n v="40.81"/>
    <n v="25.72"/>
    <n v="36.24"/>
    <n v="27.58"/>
    <n v="41.04"/>
    <n v="62.75"/>
    <n v="81.489999999999995"/>
    <n v="88.41"/>
    <n v="25.6"/>
    <n v="29.41"/>
    <n v="22.75"/>
    <n v="29.27"/>
    <n v="25.41"/>
    <n v="24.68"/>
    <n v="23.77"/>
    <n v="21.28"/>
    <n v="20.260000000000002"/>
    <n v="17.809999999999999"/>
    <n v="24.45"/>
    <n v="10.199999999999999"/>
    <n v="11.55"/>
    <n v="15.04"/>
    <n v="0"/>
    <n v="0"/>
    <n v="0"/>
    <n v="0"/>
    <n v="0"/>
    <n v="0"/>
    <n v="0"/>
    <n v="0"/>
    <n v="0"/>
    <n v="0"/>
    <n v="0"/>
    <n v="0"/>
    <x v="0"/>
    <x v="1"/>
    <s v="61260                   "/>
    <x v="0"/>
    <x v="3"/>
    <x v="30"/>
  </r>
  <r>
    <x v="27"/>
    <x v="27"/>
    <x v="723"/>
    <x v="723"/>
    <n v="0"/>
    <n v="0"/>
    <n v="0"/>
    <n v="0"/>
    <n v="0"/>
    <n v="0"/>
    <n v="121.13"/>
    <n v="0"/>
    <n v="1217.99"/>
    <n v="0"/>
    <n v="7.0000000000000007E-2"/>
    <n v="-0.1"/>
    <n v="-0.5"/>
    <n v="0.06"/>
    <n v="-0.41"/>
    <n v="7.33"/>
    <n v="-0.22"/>
    <n v="0"/>
    <n v="-0.02"/>
    <n v="-0.42"/>
    <n v="0"/>
    <n v="0"/>
    <n v="0"/>
    <n v="0"/>
    <n v="0"/>
    <n v="0"/>
    <x v="0"/>
    <x v="0"/>
    <x v="0"/>
    <x v="0"/>
    <x v="0"/>
    <x v="0"/>
    <x v="0"/>
    <x v="0"/>
    <x v="0"/>
    <x v="0"/>
    <n v="6.49"/>
    <n v="6.49"/>
    <n v="6.49"/>
    <n v="6.49"/>
    <n v="6.49"/>
    <n v="6.49"/>
    <n v="6.49"/>
    <n v="6.49"/>
    <n v="6.49"/>
    <n v="6.79"/>
    <n v="6.74"/>
    <n v="6.31"/>
    <n v="2.97"/>
    <n v="-0.57999999999999996"/>
    <n v="-0.01"/>
    <n v="-0.04"/>
    <n v="-0.01"/>
    <n v="0"/>
    <n v="1.06"/>
    <n v="-0.05"/>
    <n v="-0.38"/>
    <n v="1.29"/>
    <n v="1.05"/>
    <n v="0.81"/>
    <n v="0"/>
    <n v="0"/>
    <n v="0"/>
    <n v="0"/>
    <n v="0"/>
    <n v="0"/>
    <n v="0"/>
    <n v="0"/>
    <n v="0"/>
    <n v="0"/>
    <n v="0"/>
    <n v="0"/>
    <x v="0"/>
    <x v="1"/>
    <s v="61260                   "/>
    <x v="0"/>
    <x v="0"/>
    <x v="30"/>
  </r>
  <r>
    <x v="27"/>
    <x v="27"/>
    <x v="726"/>
    <x v="726"/>
    <n v="-3.41"/>
    <n v="-22.72"/>
    <n v="-38.049999999999997"/>
    <n v="39.69"/>
    <n v="0"/>
    <n v="9.19"/>
    <n v="3.77"/>
    <n v="0"/>
    <n v="0.51"/>
    <n v="0"/>
    <n v="0.21"/>
    <n v="0.06"/>
    <n v="-1.37"/>
    <n v="0.25"/>
    <n v="-0.65"/>
    <n v="14.45"/>
    <n v="-0.61"/>
    <n v="0"/>
    <n v="-7.0000000000000007E-2"/>
    <n v="-0.91"/>
    <n v="0"/>
    <n v="0"/>
    <n v="0"/>
    <n v="0"/>
    <n v="0"/>
    <n v="0"/>
    <x v="0"/>
    <x v="0"/>
    <x v="0"/>
    <x v="0"/>
    <x v="0"/>
    <x v="0"/>
    <x v="0"/>
    <x v="0"/>
    <x v="0"/>
    <x v="0"/>
    <n v="23.79"/>
    <n v="25.85"/>
    <n v="18.239999999999998"/>
    <n v="13.13"/>
    <n v="16.190000000000001"/>
    <n v="11.89"/>
    <n v="17.059999999999999"/>
    <n v="16.63"/>
    <n v="30.61"/>
    <n v="10.4"/>
    <n v="13.41"/>
    <n v="17.57"/>
    <n v="14.88"/>
    <n v="14.32"/>
    <n v="5.51"/>
    <n v="3.7"/>
    <n v="8.0299999999999994"/>
    <n v="6.83"/>
    <n v="6.72"/>
    <n v="6.63"/>
    <n v="7.33"/>
    <n v="5.86"/>
    <n v="4.62"/>
    <n v="6.38"/>
    <n v="0"/>
    <n v="0"/>
    <n v="0"/>
    <n v="0"/>
    <n v="0"/>
    <n v="0"/>
    <n v="0"/>
    <n v="0"/>
    <n v="0"/>
    <n v="0"/>
    <n v="0"/>
    <n v="0"/>
    <x v="0"/>
    <x v="1"/>
    <s v="61260                   "/>
    <x v="0"/>
    <x v="1"/>
    <x v="30"/>
  </r>
  <r>
    <x v="27"/>
    <x v="27"/>
    <x v="727"/>
    <x v="727"/>
    <n v="-33.26"/>
    <n v="72.08"/>
    <n v="-241.99"/>
    <n v="-73.44"/>
    <n v="127.05"/>
    <n v="442.97"/>
    <n v="193.98"/>
    <n v="0"/>
    <n v="77.34"/>
    <n v="0"/>
    <n v="651.88"/>
    <n v="1184.98"/>
    <n v="-471.44"/>
    <n v="296.70999999999998"/>
    <n v="788.56"/>
    <n v="0"/>
    <n v="1435.68"/>
    <n v="0"/>
    <n v="42.34"/>
    <n v="-243.46"/>
    <n v="-33.54"/>
    <n v="0"/>
    <n v="0"/>
    <n v="143.85"/>
    <n v="0"/>
    <n v="0"/>
    <x v="0"/>
    <x v="0"/>
    <x v="0"/>
    <x v="0"/>
    <x v="0"/>
    <x v="0"/>
    <x v="0"/>
    <x v="0"/>
    <x v="0"/>
    <x v="0"/>
    <n v="116.54"/>
    <n v="102.06"/>
    <n v="111.9"/>
    <n v="106.49"/>
    <n v="113.39"/>
    <n v="104.91"/>
    <n v="105.99"/>
    <n v="125.81"/>
    <n v="108.08"/>
    <n v="48.93"/>
    <n v="91.74"/>
    <n v="93.06"/>
    <n v="42.34"/>
    <n v="43.23"/>
    <n v="34.74"/>
    <n v="31.26"/>
    <n v="38.19"/>
    <n v="31.96"/>
    <n v="40.61"/>
    <n v="28.95"/>
    <n v="46.23"/>
    <n v="26.7"/>
    <n v="29.11"/>
    <n v="41.23"/>
    <n v="0"/>
    <n v="0"/>
    <n v="0"/>
    <n v="0"/>
    <n v="0"/>
    <n v="0"/>
    <n v="0"/>
    <n v="0"/>
    <n v="0"/>
    <n v="0"/>
    <n v="0"/>
    <n v="0"/>
    <x v="0"/>
    <x v="1"/>
    <s v="61260                   "/>
    <x v="0"/>
    <x v="7"/>
    <x v="30"/>
  </r>
  <r>
    <x v="27"/>
    <x v="27"/>
    <x v="728"/>
    <x v="728"/>
    <n v="-11.6"/>
    <n v="-0.13"/>
    <n v="-126.3"/>
    <n v="275.91000000000003"/>
    <n v="0"/>
    <n v="15.41"/>
    <n v="6.02"/>
    <n v="0"/>
    <n v="587.88"/>
    <n v="0"/>
    <n v="0.18"/>
    <n v="0.33"/>
    <n v="3.49"/>
    <n v="-0.27"/>
    <n v="0.55000000000000004"/>
    <n v="0"/>
    <n v="22.56"/>
    <n v="0"/>
    <n v="0.01"/>
    <n v="-0.04"/>
    <n v="-0.01"/>
    <n v="0"/>
    <n v="0"/>
    <n v="95.89"/>
    <n v="0"/>
    <n v="0"/>
    <x v="0"/>
    <x v="0"/>
    <x v="0"/>
    <x v="0"/>
    <x v="0"/>
    <x v="0"/>
    <x v="0"/>
    <x v="0"/>
    <x v="0"/>
    <x v="0"/>
    <n v="16.29"/>
    <n v="23"/>
    <n v="17.309999999999999"/>
    <n v="18.46"/>
    <n v="65.959999999999994"/>
    <n v="40.520000000000003"/>
    <n v="41.89"/>
    <n v="33.47"/>
    <n v="40.69"/>
    <n v="10.38"/>
    <n v="18.82"/>
    <n v="26.76"/>
    <n v="14.18"/>
    <n v="9.2799999999999994"/>
    <n v="17.84"/>
    <n v="7.45"/>
    <n v="9.68"/>
    <n v="6.76"/>
    <n v="7.47"/>
    <n v="6.26"/>
    <n v="51.36"/>
    <n v="11.07"/>
    <n v="12.14"/>
    <n v="10.75"/>
    <n v="0"/>
    <n v="0"/>
    <n v="0"/>
    <n v="0"/>
    <n v="0"/>
    <n v="0"/>
    <n v="0"/>
    <n v="0"/>
    <n v="0"/>
    <n v="0"/>
    <n v="0"/>
    <n v="0"/>
    <x v="0"/>
    <x v="1"/>
    <s v="61260                   "/>
    <x v="0"/>
    <x v="8"/>
    <x v="30"/>
  </r>
  <r>
    <x v="27"/>
    <x v="27"/>
    <x v="729"/>
    <x v="729"/>
    <n v="-249"/>
    <n v="2.38"/>
    <n v="-54.55"/>
    <n v="0.04"/>
    <n v="7.34"/>
    <n v="7.02"/>
    <n v="9.99"/>
    <n v="0"/>
    <n v="-655.16"/>
    <n v="0"/>
    <n v="-0.21"/>
    <n v="0.21"/>
    <n v="0.82"/>
    <n v="-0.14000000000000001"/>
    <n v="0.46"/>
    <n v="0"/>
    <n v="563.13"/>
    <n v="0"/>
    <n v="-0.03"/>
    <n v="0.71"/>
    <n v="-0.01"/>
    <n v="0"/>
    <n v="0"/>
    <n v="47.95"/>
    <n v="0"/>
    <n v="0"/>
    <x v="0"/>
    <x v="0"/>
    <x v="0"/>
    <x v="0"/>
    <x v="0"/>
    <x v="0"/>
    <x v="0"/>
    <x v="0"/>
    <x v="0"/>
    <x v="0"/>
    <n v="90.42"/>
    <n v="72.88"/>
    <n v="95.87"/>
    <n v="62.78"/>
    <n v="72.41"/>
    <n v="65.38"/>
    <n v="71.02"/>
    <n v="38.869999999999997"/>
    <n v="43.49"/>
    <n v="9.5299999999999994"/>
    <n v="46.69"/>
    <n v="89.63"/>
    <n v="8.83"/>
    <n v="6.62"/>
    <n v="7.42"/>
    <n v="6.6"/>
    <n v="7.54"/>
    <n v="8.8800000000000008"/>
    <n v="6.07"/>
    <n v="5.33"/>
    <n v="15.23"/>
    <n v="5.56"/>
    <n v="7.1"/>
    <n v="10.58"/>
    <n v="0"/>
    <n v="0"/>
    <n v="0"/>
    <n v="0"/>
    <n v="0"/>
    <n v="0"/>
    <n v="0"/>
    <n v="0"/>
    <n v="0"/>
    <n v="0"/>
    <n v="0"/>
    <n v="0"/>
    <x v="0"/>
    <x v="1"/>
    <s v="61260                   "/>
    <x v="0"/>
    <x v="9"/>
    <x v="30"/>
  </r>
  <r>
    <x v="27"/>
    <x v="27"/>
    <x v="730"/>
    <x v="730"/>
    <n v="1.44"/>
    <n v="0.01"/>
    <n v="-6.24"/>
    <n v="-0.01"/>
    <n v="0"/>
    <n v="-4.4800000000000004"/>
    <n v="-1.74"/>
    <n v="0"/>
    <n v="0"/>
    <n v="0"/>
    <n v="0"/>
    <n v="-0.03"/>
    <n v="-0.1"/>
    <n v="0.01"/>
    <n v="-0.1"/>
    <n v="1.52"/>
    <n v="-0.18"/>
    <n v="0"/>
    <n v="-0.01"/>
    <n v="-0.3"/>
    <n v="0"/>
    <n v="0"/>
    <n v="0"/>
    <n v="0"/>
    <n v="0"/>
    <n v="0"/>
    <x v="0"/>
    <x v="0"/>
    <x v="0"/>
    <x v="0"/>
    <x v="0"/>
    <x v="0"/>
    <x v="0"/>
    <x v="0"/>
    <x v="0"/>
    <x v="0"/>
    <n v="7.45"/>
    <n v="10.61"/>
    <n v="5.62"/>
    <n v="6.96"/>
    <n v="7.56"/>
    <n v="10.96"/>
    <n v="7.69"/>
    <n v="9.1199999999999992"/>
    <n v="14.45"/>
    <n v="4.6100000000000003"/>
    <n v="10.45"/>
    <n v="7.22"/>
    <n v="3.1"/>
    <n v="1.04"/>
    <n v="0.85"/>
    <n v="0.62"/>
    <n v="1.24"/>
    <n v="1.52"/>
    <n v="3.43"/>
    <n v="3.52"/>
    <n v="2.76"/>
    <n v="0.79"/>
    <n v="1.1100000000000001"/>
    <n v="2.89"/>
    <n v="0"/>
    <n v="0"/>
    <n v="0"/>
    <n v="0"/>
    <n v="0"/>
    <n v="0"/>
    <n v="0"/>
    <n v="0"/>
    <n v="0"/>
    <n v="0"/>
    <n v="0"/>
    <n v="0"/>
    <x v="0"/>
    <x v="1"/>
    <s v="61260                   "/>
    <x v="0"/>
    <x v="10"/>
    <x v="30"/>
  </r>
  <r>
    <x v="27"/>
    <x v="27"/>
    <x v="731"/>
    <x v="731"/>
    <n v="0"/>
    <n v="0"/>
    <n v="0"/>
    <n v="4.5999999999999996"/>
    <n v="0"/>
    <n v="4.32"/>
    <n v="1.7"/>
    <n v="0"/>
    <n v="0.41"/>
    <n v="0"/>
    <n v="0"/>
    <n v="-0.1"/>
    <n v="0.1"/>
    <n v="-0.03"/>
    <n v="-4.76"/>
    <n v="0"/>
    <n v="-0.34"/>
    <n v="0"/>
    <n v="-0.06"/>
    <n v="0.54"/>
    <n v="-0.02"/>
    <n v="127.63"/>
    <n v="0"/>
    <n v="-0.3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.5"/>
    <n v="3.73"/>
    <n v="2.96"/>
    <n v="5.49"/>
    <n v="6.96"/>
    <n v="6.09"/>
    <n v="2.2599999999999998"/>
    <n v="3.01"/>
    <n v="2.5"/>
    <n v="0"/>
    <n v="0"/>
    <n v="0"/>
    <n v="0"/>
    <n v="0"/>
    <n v="0"/>
    <n v="0"/>
    <n v="0"/>
    <n v="0"/>
    <n v="0"/>
    <n v="0"/>
    <n v="0"/>
    <x v="0"/>
    <x v="1"/>
    <s v="61260                   "/>
    <x v="0"/>
    <x v="11"/>
    <x v="30"/>
  </r>
  <r>
    <x v="27"/>
    <x v="27"/>
    <x v="732"/>
    <x v="732"/>
    <n v="1.06"/>
    <n v="3.47"/>
    <n v="-62.73"/>
    <n v="-0.02"/>
    <n v="0"/>
    <n v="0"/>
    <n v="0"/>
    <n v="0"/>
    <n v="132.13"/>
    <n v="0"/>
    <n v="-18.260000000000002"/>
    <n v="-7.0000000000000007E-2"/>
    <n v="-0.2"/>
    <n v="0.02"/>
    <n v="-0.05"/>
    <n v="0.97"/>
    <n v="-0.14000000000000001"/>
    <n v="0"/>
    <n v="10.6"/>
    <n v="-522.35"/>
    <n v="0"/>
    <n v="0"/>
    <n v="0"/>
    <n v="0"/>
    <n v="0"/>
    <n v="0"/>
    <x v="0"/>
    <x v="0"/>
    <x v="0"/>
    <x v="0"/>
    <x v="0"/>
    <x v="0"/>
    <x v="0"/>
    <x v="0"/>
    <x v="0"/>
    <x v="0"/>
    <n v="4.95"/>
    <n v="1.99"/>
    <n v="2.52"/>
    <n v="4.0999999999999996"/>
    <n v="2.4500000000000002"/>
    <n v="2.8"/>
    <n v="4.79"/>
    <n v="4.37"/>
    <n v="7.26"/>
    <n v="3.22"/>
    <n v="2.35"/>
    <n v="2.92"/>
    <n v="0.38"/>
    <n v="0.26"/>
    <n v="8.77"/>
    <n v="17.55"/>
    <n v="24.46"/>
    <n v="24.7"/>
    <n v="0.73"/>
    <n v="0.71"/>
    <n v="1.51"/>
    <n v="0.05"/>
    <n v="0.54"/>
    <n v="0.47"/>
    <n v="0"/>
    <n v="0"/>
    <n v="0"/>
    <n v="0"/>
    <n v="0"/>
    <n v="0"/>
    <n v="0"/>
    <n v="0"/>
    <n v="0"/>
    <n v="0"/>
    <n v="0"/>
    <n v="0"/>
    <x v="0"/>
    <x v="1"/>
    <s v="61260                   "/>
    <x v="0"/>
    <x v="12"/>
    <x v="30"/>
  </r>
  <r>
    <x v="27"/>
    <x v="27"/>
    <x v="2701"/>
    <x v="2701"/>
    <n v="0.46"/>
    <n v="0"/>
    <n v="-0.85"/>
    <n v="-0.01"/>
    <n v="0"/>
    <n v="0"/>
    <n v="0"/>
    <n v="0"/>
    <n v="0.09"/>
    <n v="0"/>
    <n v="0.01"/>
    <n v="-0.01"/>
    <n v="-0.11"/>
    <n v="0"/>
    <n v="0"/>
    <n v="3.14"/>
    <n v="-0.05"/>
    <n v="0"/>
    <n v="0"/>
    <n v="0"/>
    <n v="0"/>
    <n v="8.1999999999999993"/>
    <n v="0"/>
    <n v="0"/>
    <n v="0"/>
    <n v="0"/>
    <x v="0"/>
    <x v="0"/>
    <x v="0"/>
    <x v="0"/>
    <x v="0"/>
    <x v="0"/>
    <x v="0"/>
    <x v="0"/>
    <x v="0"/>
    <x v="0"/>
    <n v="0.36"/>
    <n v="1.1399999999999999"/>
    <n v="0.54"/>
    <n v="0.09"/>
    <n v="0"/>
    <n v="0"/>
    <n v="0.61"/>
    <n v="0.45"/>
    <n v="0"/>
    <n v="0.09"/>
    <n v="0"/>
    <n v="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60                   "/>
    <x v="0"/>
    <x v="20"/>
    <x v="30"/>
  </r>
  <r>
    <x v="27"/>
    <x v="27"/>
    <x v="734"/>
    <x v="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5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60                   "/>
    <x v="0"/>
    <x v="14"/>
    <x v="30"/>
  </r>
  <r>
    <x v="27"/>
    <x v="27"/>
    <x v="735"/>
    <x v="735"/>
    <n v="0"/>
    <n v="-92.43"/>
    <n v="-79.069999999999993"/>
    <n v="0.48"/>
    <n v="6.96"/>
    <n v="-23.2"/>
    <n v="4.33"/>
    <n v="0"/>
    <n v="-7.82"/>
    <n v="0"/>
    <n v="-0.78"/>
    <n v="1.61"/>
    <n v="4.9400000000000004"/>
    <n v="-0.22"/>
    <n v="0.21"/>
    <n v="-115.01"/>
    <n v="0"/>
    <n v="0"/>
    <n v="0.75"/>
    <n v="7.33"/>
    <n v="0"/>
    <n v="0"/>
    <n v="0"/>
    <n v="0"/>
    <n v="0"/>
    <n v="0"/>
    <x v="0"/>
    <x v="0"/>
    <x v="0"/>
    <x v="0"/>
    <x v="0"/>
    <x v="0"/>
    <x v="0"/>
    <x v="0"/>
    <x v="0"/>
    <x v="0"/>
    <n v="23.33"/>
    <n v="21.49"/>
    <n v="26.74"/>
    <n v="22.84"/>
    <n v="26.49"/>
    <n v="24.49"/>
    <n v="24.79"/>
    <n v="21.49"/>
    <n v="57.49"/>
    <n v="68.39"/>
    <n v="22.49"/>
    <n v="20.77"/>
    <n v="1.1000000000000001"/>
    <n v="2.74"/>
    <n v="9.77"/>
    <n v="9.89"/>
    <n v="21.03"/>
    <n v="5.91"/>
    <n v="10.43"/>
    <n v="9.15"/>
    <n v="1.75"/>
    <n v="3.59"/>
    <n v="0.27"/>
    <n v="0.79"/>
    <n v="0"/>
    <n v="0"/>
    <n v="0"/>
    <n v="0"/>
    <n v="0"/>
    <n v="0"/>
    <n v="0"/>
    <n v="0"/>
    <n v="0"/>
    <n v="0"/>
    <n v="0"/>
    <n v="0"/>
    <x v="0"/>
    <x v="1"/>
    <s v="61260                   "/>
    <x v="0"/>
    <x v="15"/>
    <x v="30"/>
  </r>
  <r>
    <x v="27"/>
    <x v="27"/>
    <x v="736"/>
    <x v="736"/>
    <n v="17.579999999999998"/>
    <n v="0"/>
    <n v="-151.55000000000001"/>
    <n v="141.07"/>
    <n v="0"/>
    <n v="-1.18"/>
    <n v="0.35"/>
    <n v="0"/>
    <n v="-75.209999999999994"/>
    <n v="0"/>
    <n v="-174.83"/>
    <n v="-219.66"/>
    <n v="-79.89"/>
    <n v="-9.02"/>
    <n v="-5.3"/>
    <n v="0"/>
    <n v="154.19"/>
    <n v="0"/>
    <n v="0.17"/>
    <n v="-35.07"/>
    <n v="-0.47"/>
    <n v="0"/>
    <n v="-21.75"/>
    <n v="95.89"/>
    <n v="0"/>
    <n v="0"/>
    <x v="0"/>
    <x v="0"/>
    <x v="0"/>
    <x v="0"/>
    <x v="0"/>
    <x v="0"/>
    <x v="0"/>
    <x v="0"/>
    <x v="0"/>
    <x v="0"/>
    <n v="67.47"/>
    <n v="42.95"/>
    <n v="50.13"/>
    <n v="73.48"/>
    <n v="57.4"/>
    <n v="24.56"/>
    <n v="47.1"/>
    <n v="50.4"/>
    <n v="58.99"/>
    <n v="69.19"/>
    <n v="83.19"/>
    <n v="69.540000000000006"/>
    <n v="20.03"/>
    <n v="15.83"/>
    <n v="20.27"/>
    <n v="30.29"/>
    <n v="22.3"/>
    <n v="20.07"/>
    <n v="30.06"/>
    <n v="36.92"/>
    <n v="39.18"/>
    <n v="17.79"/>
    <n v="19.38"/>
    <n v="20.81"/>
    <n v="0"/>
    <n v="0"/>
    <n v="0"/>
    <n v="0"/>
    <n v="0"/>
    <n v="0"/>
    <n v="0"/>
    <n v="0"/>
    <n v="0"/>
    <n v="0"/>
    <n v="0"/>
    <n v="0"/>
    <x v="0"/>
    <x v="1"/>
    <s v="61260                   "/>
    <x v="0"/>
    <x v="16"/>
    <x v="30"/>
  </r>
  <r>
    <x v="27"/>
    <x v="27"/>
    <x v="737"/>
    <x v="737"/>
    <n v="11.38"/>
    <n v="0"/>
    <n v="-56.62"/>
    <n v="15.62"/>
    <n v="-13.63"/>
    <n v="21.55"/>
    <n v="18.89"/>
    <n v="0"/>
    <n v="0"/>
    <n v="0"/>
    <n v="0.37"/>
    <n v="-0.28999999999999998"/>
    <n v="-191.12"/>
    <n v="-20.34"/>
    <n v="-1.38"/>
    <n v="25.22"/>
    <n v="-0.46"/>
    <n v="0"/>
    <n v="-0.03"/>
    <n v="-1.43"/>
    <n v="0.01"/>
    <n v="0"/>
    <n v="0"/>
    <n v="43.15"/>
    <n v="0"/>
    <n v="0"/>
    <x v="0"/>
    <x v="0"/>
    <x v="0"/>
    <x v="0"/>
    <x v="0"/>
    <x v="0"/>
    <x v="0"/>
    <x v="0"/>
    <x v="0"/>
    <x v="0"/>
    <n v="22.86"/>
    <n v="35.33"/>
    <n v="31.17"/>
    <n v="56.39"/>
    <n v="37.56"/>
    <n v="28.53"/>
    <n v="36.57"/>
    <n v="28.62"/>
    <n v="96.49"/>
    <n v="14.21"/>
    <n v="7.47"/>
    <n v="34.3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60                   "/>
    <x v="0"/>
    <x v="17"/>
    <x v="30"/>
  </r>
  <r>
    <x v="27"/>
    <x v="27"/>
    <x v="760"/>
    <x v="760"/>
    <n v="5.91"/>
    <n v="0"/>
    <n v="1.48"/>
    <n v="5.92"/>
    <n v="0"/>
    <n v="0"/>
    <n v="1.48"/>
    <n v="0"/>
    <n v="0"/>
    <n v="0"/>
    <n v="0"/>
    <n v="0"/>
    <n v="0"/>
    <n v="0"/>
    <n v="0"/>
    <n v="0"/>
    <n v="0"/>
    <n v="5.91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390                   "/>
    <x v="28"/>
    <x v="2"/>
    <x v="30"/>
  </r>
  <r>
    <x v="3"/>
    <x v="3"/>
    <x v="777"/>
    <x v="776"/>
    <n v="0"/>
    <n v="0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4"/>
    <s v="71550                   "/>
    <x v="1"/>
    <x v="2"/>
    <x v="32"/>
  </r>
  <r>
    <x v="3"/>
    <x v="3"/>
    <x v="783"/>
    <x v="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4"/>
    <s v="71550                   "/>
    <x v="10"/>
    <x v="11"/>
    <x v="34"/>
  </r>
  <r>
    <x v="3"/>
    <x v="3"/>
    <x v="793"/>
    <x v="792"/>
    <n v="0"/>
    <n v="0"/>
    <n v="0"/>
    <n v="0"/>
    <n v="0"/>
    <n v="0"/>
    <n v="0"/>
    <n v="0"/>
    <n v="0"/>
    <n v="0"/>
    <n v="0"/>
    <n v="0"/>
    <n v="0"/>
    <n v="0"/>
    <n v="0"/>
    <n v="32"/>
    <n v="10.5"/>
    <n v="73.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0.5"/>
    <n v="73.5"/>
    <n v="0"/>
    <n v="0"/>
    <n v="0"/>
    <n v="0"/>
    <n v="0"/>
    <n v="0"/>
    <x v="0"/>
    <x v="4"/>
    <s v="71550                   "/>
    <x v="20"/>
    <x v="11"/>
    <x v="32"/>
  </r>
  <r>
    <x v="3"/>
    <x v="3"/>
    <x v="804"/>
    <x v="803"/>
    <n v="0"/>
    <n v="748.46"/>
    <n v="0"/>
    <n v="657.35"/>
    <n v="0"/>
    <n v="75"/>
    <n v="0"/>
    <n v="1364"/>
    <n v="0"/>
    <n v="0"/>
    <n v="1415.73"/>
    <n v="799"/>
    <n v="0"/>
    <n v="0"/>
    <n v="0"/>
    <n v="150.01"/>
    <n v="0"/>
    <n v="0"/>
    <n v="0"/>
    <n v="2000"/>
    <n v="1859"/>
    <n v="0"/>
    <n v="425.75"/>
    <n v="-2000"/>
    <n v="395.32"/>
    <n v="0"/>
    <x v="0"/>
    <x v="0"/>
    <x v="0"/>
    <x v="0"/>
    <x v="0"/>
    <x v="0"/>
    <x v="0"/>
    <x v="0"/>
    <x v="0"/>
    <x v="0"/>
    <n v="1687.5"/>
    <n v="0"/>
    <n v="2500"/>
    <n v="995"/>
    <n v="2950"/>
    <n v="-1000"/>
    <n v="0"/>
    <n v="0"/>
    <n v="821.9"/>
    <n v="75"/>
    <n v="1475.99"/>
    <n v="1379.76"/>
    <n v="0"/>
    <n v="1122.69"/>
    <n v="0"/>
    <n v="986.03"/>
    <n v="0"/>
    <n v="112.5"/>
    <n v="0"/>
    <n v="2046"/>
    <n v="0"/>
    <n v="0"/>
    <n v="2123.6"/>
    <n v="1198.5"/>
    <n v="0"/>
    <n v="0"/>
    <n v="0"/>
    <n v="180.01"/>
    <n v="0"/>
    <n v="0"/>
    <n v="0"/>
    <n v="2400"/>
    <n v="0"/>
    <n v="0"/>
    <n v="1699.2"/>
    <n v="958.8"/>
    <x v="0"/>
    <x v="4"/>
    <s v="81100                   "/>
    <x v="20"/>
    <x v="2"/>
    <x v="32"/>
  </r>
  <r>
    <x v="3"/>
    <x v="3"/>
    <x v="1665"/>
    <x v="1667"/>
    <n v="800"/>
    <n v="25"/>
    <n v="25"/>
    <n v="25"/>
    <n v="1300"/>
    <n v="50"/>
    <n v="0"/>
    <n v="0"/>
    <n v="0"/>
    <n v="50"/>
    <n v="75"/>
    <n v="0"/>
    <n v="0"/>
    <n v="0"/>
    <n v="0"/>
    <n v="0"/>
    <n v="2175"/>
    <n v="0"/>
    <n v="925"/>
    <n v="0"/>
    <n v="0"/>
    <n v="0"/>
    <n v="0"/>
    <n v="-1489.45"/>
    <n v="1861"/>
    <n v="0"/>
    <x v="0"/>
    <x v="0"/>
    <x v="0"/>
    <x v="0"/>
    <x v="0"/>
    <x v="0"/>
    <x v="0"/>
    <x v="0"/>
    <x v="0"/>
    <x v="0"/>
    <n v="25"/>
    <n v="25"/>
    <n v="0"/>
    <n v="0"/>
    <n v="0"/>
    <n v="0"/>
    <n v="0"/>
    <n v="0"/>
    <n v="0"/>
    <n v="0"/>
    <n v="0"/>
    <n v="0"/>
    <n v="800"/>
    <n v="25"/>
    <n v="25"/>
    <n v="25"/>
    <n v="1300"/>
    <n v="50"/>
    <n v="0"/>
    <n v="0"/>
    <n v="0"/>
    <n v="50"/>
    <n v="75"/>
    <n v="0"/>
    <n v="0"/>
    <n v="0"/>
    <n v="0"/>
    <n v="0"/>
    <n v="2175"/>
    <n v="0"/>
    <n v="925"/>
    <n v="0"/>
    <n v="0"/>
    <n v="50"/>
    <n v="75"/>
    <n v="0"/>
    <x v="0"/>
    <x v="4"/>
    <s v="81340                   "/>
    <x v="1"/>
    <x v="2"/>
    <x v="32"/>
  </r>
  <r>
    <x v="3"/>
    <x v="3"/>
    <x v="1739"/>
    <x v="1741"/>
    <n v="0"/>
    <n v="0"/>
    <n v="0"/>
    <n v="0"/>
    <n v="38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129.22999999999999"/>
    <n v="0"/>
    <n v="0"/>
    <n v="0"/>
    <n v="0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4"/>
    <s v="81390                   "/>
    <x v="1"/>
    <x v="2"/>
    <x v="32"/>
  </r>
  <r>
    <x v="3"/>
    <x v="3"/>
    <x v="1752"/>
    <x v="1754"/>
    <n v="0"/>
    <n v="0"/>
    <n v="0"/>
    <n v="0"/>
    <n v="0"/>
    <n v="0"/>
    <n v="0"/>
    <n v="0"/>
    <n v="0"/>
    <n v="390"/>
    <n v="0"/>
    <n v="0"/>
    <n v="112.5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228.76"/>
    <n v="0"/>
    <n v="0"/>
    <n v="0"/>
    <n v="0"/>
    <n v="0"/>
    <n v="0"/>
    <n v="0"/>
    <n v="0"/>
    <n v="0"/>
    <n v="0"/>
    <n v="0"/>
    <n v="0"/>
    <n v="0"/>
    <n v="0"/>
    <n v="390"/>
    <n v="0"/>
    <n v="0"/>
    <n v="123.75"/>
    <n v="0"/>
    <n v="0"/>
    <n v="0"/>
    <n v="0"/>
    <n v="0"/>
    <n v="0"/>
    <n v="0"/>
    <n v="0"/>
    <n v="429"/>
    <n v="0"/>
    <n v="0"/>
    <x v="0"/>
    <x v="4"/>
    <s v="81430                   "/>
    <x v="1"/>
    <x v="2"/>
    <x v="32"/>
  </r>
  <r>
    <x v="3"/>
    <x v="3"/>
    <x v="2702"/>
    <x v="2702"/>
    <n v="0"/>
    <n v="0"/>
    <n v="0"/>
    <n v="0"/>
    <n v="0"/>
    <n v="0"/>
    <n v="0"/>
    <n v="0"/>
    <n v="0"/>
    <n v="0"/>
    <n v="0"/>
    <n v="0"/>
    <n v="0"/>
    <n v="252.5"/>
    <n v="0"/>
    <n v="0"/>
    <n v="0"/>
    <n v="178"/>
    <n v="0"/>
    <n v="0"/>
    <n v="0"/>
    <n v="145"/>
    <n v="0"/>
    <n v="0"/>
    <n v="2275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7.5"/>
    <n v="0"/>
    <n v="0"/>
    <n v="0"/>
    <n v="534"/>
    <n v="0"/>
    <n v="0"/>
    <n v="0"/>
    <n v="0"/>
    <n v="0"/>
    <n v="0"/>
    <x v="0"/>
    <x v="4"/>
    <s v="81450                   "/>
    <x v="1"/>
    <x v="2"/>
    <x v="32"/>
  </r>
  <r>
    <x v="3"/>
    <x v="3"/>
    <x v="1776"/>
    <x v="1778"/>
    <n v="0"/>
    <n v="0"/>
    <n v="0"/>
    <n v="0"/>
    <n v="0"/>
    <n v="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4"/>
    <s v="81460                   "/>
    <x v="17"/>
    <x v="16"/>
    <x v="38"/>
  </r>
  <r>
    <x v="3"/>
    <x v="3"/>
    <x v="1785"/>
    <x v="1787"/>
    <n v="0"/>
    <n v="0"/>
    <n v="0"/>
    <n v="0"/>
    <n v="0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520                   "/>
    <x v="11"/>
    <x v="2"/>
    <x v="45"/>
  </r>
  <r>
    <x v="3"/>
    <x v="3"/>
    <x v="2563"/>
    <x v="2569"/>
    <n v="0"/>
    <n v="0"/>
    <n v="0"/>
    <n v="0"/>
    <n v="0"/>
    <n v="0"/>
    <n v="0"/>
    <n v="0"/>
    <n v="0"/>
    <n v="0"/>
    <n v="0"/>
    <n v="0"/>
    <n v="0"/>
    <n v="0"/>
    <n v="0"/>
    <n v="0"/>
    <n v="17.96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n v="0"/>
    <n v="0"/>
    <n v="0"/>
    <n v="0"/>
    <n v="0"/>
    <n v="0"/>
    <n v="0"/>
    <x v="0"/>
    <x v="2"/>
    <s v="71520                   "/>
    <x v="20"/>
    <x v="2"/>
    <x v="32"/>
  </r>
  <r>
    <x v="3"/>
    <x v="3"/>
    <x v="1789"/>
    <x v="1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33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570                   "/>
    <x v="20"/>
    <x v="2"/>
    <x v="47"/>
  </r>
  <r>
    <x v="3"/>
    <x v="3"/>
    <x v="1790"/>
    <x v="1792"/>
    <n v="0"/>
    <n v="0"/>
    <n v="0"/>
    <n v="0"/>
    <n v="10.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580                   "/>
    <x v="9"/>
    <x v="2"/>
    <x v="48"/>
  </r>
  <r>
    <x v="3"/>
    <x v="3"/>
    <x v="1798"/>
    <x v="2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.7700000000000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3"/>
    <x v="8"/>
    <x v="34"/>
  </r>
  <r>
    <x v="3"/>
    <x v="3"/>
    <x v="1806"/>
    <x v="1808"/>
    <n v="0"/>
    <n v="0"/>
    <n v="0"/>
    <n v="0"/>
    <n v="0"/>
    <n v="0"/>
    <n v="54.68"/>
    <n v="0"/>
    <n v="0"/>
    <n v="0"/>
    <n v="0"/>
    <n v="0"/>
    <n v="27.95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3"/>
    <x v="16"/>
    <x v="34"/>
  </r>
  <r>
    <x v="3"/>
    <x v="3"/>
    <x v="1809"/>
    <x v="1811"/>
    <n v="8.15"/>
    <n v="44.62"/>
    <n v="16.02"/>
    <n v="0"/>
    <n v="0"/>
    <n v="4.54"/>
    <n v="0"/>
    <n v="0"/>
    <n v="0"/>
    <n v="0"/>
    <n v="0"/>
    <n v="0"/>
    <n v="0"/>
    <n v="0"/>
    <n v="0"/>
    <n v="17.53"/>
    <n v="0"/>
    <n v="14.15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.15"/>
    <n v="44.62"/>
    <n v="16.02"/>
    <n v="0"/>
    <n v="0"/>
    <n v="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3"/>
    <x v="34"/>
  </r>
  <r>
    <x v="3"/>
    <x v="3"/>
    <x v="1814"/>
    <x v="1816"/>
    <n v="89.81"/>
    <n v="136.4"/>
    <n v="19.059999999999999"/>
    <n v="117.76"/>
    <n v="18.91"/>
    <n v="0"/>
    <n v="0"/>
    <n v="0.01"/>
    <n v="0"/>
    <n v="9.23"/>
    <n v="0"/>
    <n v="0"/>
    <n v="0"/>
    <n v="0"/>
    <n v="4.8600000000000003"/>
    <n v="4.45"/>
    <n v="0"/>
    <n v="0"/>
    <n v="0"/>
    <n v="4.3600000000000003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9.81"/>
    <n v="136.4"/>
    <n v="19.059999999999999"/>
    <n v="117.76"/>
    <n v="18.91"/>
    <n v="0"/>
    <n v="0"/>
    <n v="0.01"/>
    <n v="0"/>
    <n v="9.23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"/>
    <x v="34"/>
  </r>
  <r>
    <x v="3"/>
    <x v="3"/>
    <x v="1815"/>
    <x v="1817"/>
    <n v="13.02"/>
    <n v="17.07"/>
    <n v="0"/>
    <n v="0"/>
    <n v="11.26"/>
    <n v="0"/>
    <n v="0"/>
    <n v="-0.01"/>
    <n v="55.39"/>
    <n v="0"/>
    <n v="0"/>
    <n v="4.0999999999999996"/>
    <n v="0"/>
    <n v="0"/>
    <n v="1769.72"/>
    <n v="17.39"/>
    <n v="0"/>
    <n v="0"/>
    <n v="0"/>
    <n v="0"/>
    <n v="6.41"/>
    <n v="12.49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13.02"/>
    <n v="17.07"/>
    <n v="0"/>
    <n v="0"/>
    <n v="11.26"/>
    <n v="0"/>
    <n v="0"/>
    <n v="-0.01"/>
    <n v="55.39"/>
    <n v="0"/>
    <n v="0"/>
    <n v="4.0999999999999996"/>
    <n v="0"/>
    <n v="0"/>
    <n v="0"/>
    <n v="0"/>
    <n v="0"/>
    <n v="0"/>
    <n v="0"/>
    <n v="0"/>
    <n v="0"/>
    <n v="0"/>
    <n v="0"/>
    <n v="0"/>
    <x v="0"/>
    <x v="2"/>
    <s v="71800                   "/>
    <x v="10"/>
    <x v="7"/>
    <x v="34"/>
  </r>
  <r>
    <x v="3"/>
    <x v="3"/>
    <x v="1816"/>
    <x v="1818"/>
    <n v="83.58"/>
    <n v="42.39"/>
    <n v="67.33"/>
    <n v="4.32"/>
    <n v="43.47"/>
    <n v="8.8800000000000008"/>
    <n v="0"/>
    <n v="0"/>
    <n v="8.4600000000000009"/>
    <n v="4.9000000000000004"/>
    <n v="4.9000000000000004"/>
    <n v="0"/>
    <n v="0"/>
    <n v="50.79"/>
    <n v="16.88"/>
    <n v="0"/>
    <n v="0"/>
    <n v="0"/>
    <n v="0"/>
    <n v="0"/>
    <n v="16.77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3.58"/>
    <n v="42.39"/>
    <n v="67.33"/>
    <n v="4.32"/>
    <n v="43.47"/>
    <n v="8.8800000000000008"/>
    <n v="0"/>
    <n v="0"/>
    <n v="8.4600000000000009"/>
    <n v="4.9000000000000004"/>
    <n v="4.9000000000000004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8"/>
    <x v="34"/>
  </r>
  <r>
    <x v="3"/>
    <x v="3"/>
    <x v="1817"/>
    <x v="1819"/>
    <n v="8.81"/>
    <n v="17.079999999999998"/>
    <n v="0"/>
    <n v="0"/>
    <n v="0"/>
    <n v="0"/>
    <n v="4.26"/>
    <n v="0"/>
    <n v="0"/>
    <n v="0"/>
    <n v="0"/>
    <n v="10.46"/>
    <n v="0"/>
    <n v="106.74"/>
    <n v="0"/>
    <n v="0"/>
    <n v="0"/>
    <n v="0"/>
    <n v="0"/>
    <n v="0"/>
    <n v="0"/>
    <n v="0"/>
    <n v="60.84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8.81"/>
    <n v="17.079999999999998"/>
    <n v="0"/>
    <n v="0"/>
    <n v="0"/>
    <n v="0"/>
    <n v="4.26"/>
    <n v="0"/>
    <n v="0"/>
    <n v="0"/>
    <n v="0"/>
    <n v="10.46"/>
    <n v="0"/>
    <n v="0"/>
    <n v="0"/>
    <n v="0"/>
    <n v="0"/>
    <n v="0"/>
    <n v="0"/>
    <n v="0"/>
    <n v="0"/>
    <n v="0"/>
    <n v="0"/>
    <n v="0"/>
    <x v="0"/>
    <x v="2"/>
    <s v="71800                   "/>
    <x v="10"/>
    <x v="9"/>
    <x v="34"/>
  </r>
  <r>
    <x v="3"/>
    <x v="3"/>
    <x v="1818"/>
    <x v="1820"/>
    <n v="9.5500000000000007"/>
    <n v="4.6399999999999997"/>
    <n v="0"/>
    <n v="0"/>
    <n v="0"/>
    <n v="0"/>
    <n v="0"/>
    <n v="0"/>
    <n v="0"/>
    <n v="0"/>
    <n v="0"/>
    <n v="0"/>
    <n v="0"/>
    <n v="0"/>
    <n v="0"/>
    <n v="0"/>
    <n v="8.92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9.5500000000000007"/>
    <n v="4.63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0"/>
    <x v="34"/>
  </r>
  <r>
    <x v="3"/>
    <x v="3"/>
    <x v="1819"/>
    <x v="1821"/>
    <n v="0"/>
    <n v="0"/>
    <n v="0"/>
    <n v="8.61"/>
    <n v="0"/>
    <n v="0"/>
    <n v="0"/>
    <n v="4.58"/>
    <n v="0"/>
    <n v="0"/>
    <n v="0"/>
    <n v="0"/>
    <n v="0"/>
    <n v="0"/>
    <n v="0"/>
    <n v="0"/>
    <n v="0"/>
    <n v="0"/>
    <n v="0"/>
    <n v="0"/>
    <n v="8.5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.61"/>
    <n v="0"/>
    <n v="0"/>
    <n v="0"/>
    <n v="4.58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1"/>
    <x v="34"/>
  </r>
  <r>
    <x v="3"/>
    <x v="3"/>
    <x v="1820"/>
    <x v="1822"/>
    <n v="5.05"/>
    <n v="0"/>
    <n v="0"/>
    <n v="0"/>
    <n v="0"/>
    <n v="0"/>
    <n v="0"/>
    <n v="0"/>
    <n v="0"/>
    <n v="4.8899999999999997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.05"/>
    <n v="0"/>
    <n v="0"/>
    <n v="0"/>
    <n v="0"/>
    <n v="0"/>
    <n v="0"/>
    <n v="0"/>
    <n v="0"/>
    <n v="4.8899999999999997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2"/>
    <x v="34"/>
  </r>
  <r>
    <x v="3"/>
    <x v="3"/>
    <x v="1823"/>
    <x v="1825"/>
    <n v="0"/>
    <n v="0"/>
    <n v="0"/>
    <n v="4.3899999999999997"/>
    <n v="0"/>
    <n v="0"/>
    <n v="0"/>
    <n v="0"/>
    <n v="0"/>
    <n v="8.789999999999999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4.3899999999999997"/>
    <n v="0"/>
    <n v="0"/>
    <n v="0"/>
    <n v="0"/>
    <n v="0"/>
    <n v="8.7899999999999991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5"/>
    <x v="34"/>
  </r>
  <r>
    <x v="3"/>
    <x v="3"/>
    <x v="1824"/>
    <x v="1826"/>
    <n v="78.5"/>
    <n v="124.45"/>
    <n v="0"/>
    <n v="14.58"/>
    <n v="9.6"/>
    <n v="1.62"/>
    <n v="0"/>
    <n v="28.01"/>
    <n v="0"/>
    <n v="0"/>
    <n v="5.08"/>
    <n v="0"/>
    <n v="9.5"/>
    <n v="23.31"/>
    <n v="0"/>
    <n v="9.81"/>
    <n v="0"/>
    <n v="5.08"/>
    <n v="0"/>
    <n v="0"/>
    <n v="108.55"/>
    <n v="0"/>
    <n v="9.32"/>
    <n v="8.9499999999999993"/>
    <n v="60.91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78.5"/>
    <n v="124.45"/>
    <n v="0"/>
    <n v="14.58"/>
    <n v="9.6"/>
    <n v="1.62"/>
    <n v="0"/>
    <n v="28.01"/>
    <n v="0"/>
    <n v="0"/>
    <n v="5.08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6"/>
    <x v="34"/>
  </r>
  <r>
    <x v="3"/>
    <x v="3"/>
    <x v="1825"/>
    <x v="1827"/>
    <n v="0"/>
    <n v="15.88"/>
    <n v="0"/>
    <n v="0"/>
    <n v="0"/>
    <n v="0"/>
    <n v="0"/>
    <n v="0.01"/>
    <n v="0"/>
    <n v="0"/>
    <n v="0"/>
    <n v="0"/>
    <n v="0"/>
    <n v="0"/>
    <n v="0"/>
    <n v="7.41"/>
    <n v="3.71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15.88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800                   "/>
    <x v="10"/>
    <x v="17"/>
    <x v="34"/>
  </r>
  <r>
    <x v="3"/>
    <x v="3"/>
    <x v="1827"/>
    <x v="1829"/>
    <n v="0"/>
    <n v="0"/>
    <n v="4.5599999999999996"/>
    <n v="29.57"/>
    <n v="35.04"/>
    <n v="25.33"/>
    <n v="42.66"/>
    <n v="17.690000000000001"/>
    <n v="12.24"/>
    <n v="0"/>
    <n v="13.04"/>
    <n v="8.92"/>
    <n v="12.81"/>
    <n v="4.5599999999999996"/>
    <n v="26.72"/>
    <n v="21.87"/>
    <n v="26.73"/>
    <n v="41.52"/>
    <n v="3.9"/>
    <n v="8.5399999999999991"/>
    <n v="72.98"/>
    <n v="9.6"/>
    <n v="38.06"/>
    <n v="0"/>
    <n v="34.450000000000003"/>
    <n v="0"/>
    <x v="0"/>
    <x v="0"/>
    <x v="0"/>
    <x v="0"/>
    <x v="0"/>
    <x v="0"/>
    <x v="0"/>
    <x v="0"/>
    <x v="0"/>
    <x v="0"/>
    <n v="11.83"/>
    <n v="14.09"/>
    <n v="20.51"/>
    <n v="12.93"/>
    <n v="18.21"/>
    <n v="13.86"/>
    <n v="20.63"/>
    <n v="31.54"/>
    <n v="40.96"/>
    <n v="44.43"/>
    <n v="12.86"/>
    <n v="14.78"/>
    <n v="16.47"/>
    <n v="20.96"/>
    <n v="18.59"/>
    <n v="18.600000000000001"/>
    <n v="17.3"/>
    <n v="14.84"/>
    <n v="14.8"/>
    <n v="12.61"/>
    <n v="19.54"/>
    <n v="14.17"/>
    <n v="12.85"/>
    <n v="17.78"/>
    <n v="305.52"/>
    <n v="292.94"/>
    <n v="305.77999999999997"/>
    <n v="312.3"/>
    <n v="300.35000000000002"/>
    <n v="353.88"/>
    <n v="303.49"/>
    <n v="262.58"/>
    <n v="335.36"/>
    <n v="274.5"/>
    <n v="258.77"/>
    <n v="356.37"/>
    <x v="0"/>
    <x v="2"/>
    <s v="71800                   "/>
    <x v="20"/>
    <x v="3"/>
    <x v="49"/>
  </r>
  <r>
    <x v="3"/>
    <x v="3"/>
    <x v="1829"/>
    <x v="1831"/>
    <n v="0"/>
    <n v="0"/>
    <n v="0"/>
    <n v="0"/>
    <n v="0"/>
    <n v="0"/>
    <n v="0"/>
    <n v="0"/>
    <n v="0"/>
    <n v="0"/>
    <n v="0"/>
    <n v="0"/>
    <n v="0"/>
    <n v="0"/>
    <n v="7.16"/>
    <n v="3.59"/>
    <n v="0"/>
    <n v="0"/>
    <n v="0"/>
    <n v="3.38"/>
    <n v="0"/>
    <n v="0"/>
    <n v="0"/>
    <n v="7.16"/>
    <n v="0"/>
    <n v="0"/>
    <x v="0"/>
    <x v="0"/>
    <x v="0"/>
    <x v="0"/>
    <x v="0"/>
    <x v="0"/>
    <x v="0"/>
    <x v="0"/>
    <x v="0"/>
    <x v="0"/>
    <n v="3.26"/>
    <n v="3.26"/>
    <n v="3.26"/>
    <n v="3.26"/>
    <n v="3.26"/>
    <n v="3.26"/>
    <n v="3.26"/>
    <n v="3.26"/>
    <n v="3.26"/>
    <n v="3.41"/>
    <n v="3.39"/>
    <n v="3.17"/>
    <n v="0"/>
    <n v="0"/>
    <n v="0"/>
    <n v="0"/>
    <n v="0"/>
    <n v="0"/>
    <n v="0"/>
    <n v="0"/>
    <n v="0"/>
    <n v="0"/>
    <n v="0"/>
    <n v="0"/>
    <n v="12.45"/>
    <n v="12.57"/>
    <n v="14.85"/>
    <n v="10.16"/>
    <n v="5.08"/>
    <n v="7.34"/>
    <n v="37.01"/>
    <n v="30.76"/>
    <n v="45.19"/>
    <n v="24.73"/>
    <n v="25.32"/>
    <n v="26.71"/>
    <x v="0"/>
    <x v="2"/>
    <s v="71800                   "/>
    <x v="20"/>
    <x v="0"/>
    <x v="49"/>
  </r>
  <r>
    <x v="3"/>
    <x v="3"/>
    <x v="1832"/>
    <x v="1834"/>
    <n v="0"/>
    <n v="0"/>
    <n v="14.02"/>
    <n v="9.81"/>
    <n v="4.45"/>
    <n v="9.5"/>
    <n v="13.89"/>
    <n v="9.64"/>
    <n v="38.28"/>
    <n v="9.48"/>
    <n v="84.73"/>
    <n v="13.97"/>
    <n v="4.8600000000000003"/>
    <n v="14.22"/>
    <n v="18.96"/>
    <n v="15.62"/>
    <n v="13.72"/>
    <n v="0"/>
    <n v="4.74"/>
    <n v="21.77"/>
    <n v="60.63"/>
    <n v="4.6399999999999997"/>
    <n v="9.27"/>
    <n v="18.55"/>
    <n v="52.96"/>
    <n v="0"/>
    <x v="0"/>
    <x v="0"/>
    <x v="0"/>
    <x v="0"/>
    <x v="0"/>
    <x v="0"/>
    <x v="0"/>
    <x v="0"/>
    <x v="0"/>
    <x v="0"/>
    <n v="11.95"/>
    <n v="12.99"/>
    <n v="9.17"/>
    <n v="6.6"/>
    <n v="8.14"/>
    <n v="5.98"/>
    <n v="8.57"/>
    <n v="8.36"/>
    <n v="15.38"/>
    <n v="5.22"/>
    <n v="6.74"/>
    <n v="8.83"/>
    <n v="36.409999999999997"/>
    <n v="32.71"/>
    <n v="15.86"/>
    <n v="13.17"/>
    <n v="18.5"/>
    <n v="15.51"/>
    <n v="15.4"/>
    <n v="15.12"/>
    <n v="16.670000000000002"/>
    <n v="13.49"/>
    <n v="10.63"/>
    <n v="14.7"/>
    <n v="128.18"/>
    <n v="132.22"/>
    <n v="160.36000000000001"/>
    <n v="77.930000000000007"/>
    <n v="77.180000000000007"/>
    <n v="90.2"/>
    <n v="85.9"/>
    <n v="84.57"/>
    <n v="84.34"/>
    <n v="85.54"/>
    <n v="59.82"/>
    <n v="93.07"/>
    <x v="0"/>
    <x v="2"/>
    <s v="71800                   "/>
    <x v="20"/>
    <x v="1"/>
    <x v="49"/>
  </r>
  <r>
    <x v="3"/>
    <x v="3"/>
    <x v="1833"/>
    <x v="1835"/>
    <n v="0"/>
    <n v="0"/>
    <n v="19.78"/>
    <n v="0"/>
    <n v="2.0099999999999998"/>
    <n v="0"/>
    <n v="10.51"/>
    <n v="12.52"/>
    <n v="29.24"/>
    <n v="0"/>
    <n v="22.9"/>
    <n v="15.18"/>
    <n v="0"/>
    <n v="6.41"/>
    <n v="4.0199999999999996"/>
    <n v="0"/>
    <n v="14.83"/>
    <n v="6.41"/>
    <n v="0"/>
    <n v="50.69"/>
    <n v="0"/>
    <n v="113.16"/>
    <n v="32.46"/>
    <n v="60.47"/>
    <n v="98.55"/>
    <n v="0"/>
    <x v="0"/>
    <x v="0"/>
    <x v="0"/>
    <x v="0"/>
    <x v="0"/>
    <x v="0"/>
    <x v="0"/>
    <x v="0"/>
    <x v="0"/>
    <x v="0"/>
    <n v="58.57"/>
    <n v="51.29"/>
    <n v="56.24"/>
    <n v="53.52"/>
    <n v="56.99"/>
    <n v="52.73"/>
    <n v="53.27"/>
    <n v="63.23"/>
    <n v="54.32"/>
    <n v="24.59"/>
    <n v="46.11"/>
    <n v="46.77"/>
    <n v="10.29"/>
    <n v="10.06"/>
    <n v="9.6199999999999992"/>
    <n v="8.7200000000000006"/>
    <n v="10.46"/>
    <n v="9.2899999999999991"/>
    <n v="10.19"/>
    <n v="9.52"/>
    <n v="11.74"/>
    <n v="9.64"/>
    <n v="8.82"/>
    <n v="10.5"/>
    <n v="559.57000000000005"/>
    <n v="542.38"/>
    <n v="504.57"/>
    <n v="577.65"/>
    <n v="563.35"/>
    <n v="571.86"/>
    <n v="568.71"/>
    <n v="519.77"/>
    <n v="641.77"/>
    <n v="537.64"/>
    <n v="539.9"/>
    <n v="587.96"/>
    <x v="0"/>
    <x v="2"/>
    <s v="71800                   "/>
    <x v="20"/>
    <x v="7"/>
    <x v="49"/>
  </r>
  <r>
    <x v="3"/>
    <x v="3"/>
    <x v="1834"/>
    <x v="1836"/>
    <n v="0"/>
    <n v="0"/>
    <n v="22.77"/>
    <n v="18.75"/>
    <n v="13.94"/>
    <n v="0"/>
    <n v="49.18"/>
    <n v="29.53"/>
    <n v="74.72"/>
    <n v="10.18"/>
    <n v="68.260000000000005"/>
    <n v="20.36"/>
    <n v="22.98"/>
    <n v="8.2799999999999994"/>
    <n v="8.43"/>
    <n v="52.65"/>
    <n v="25.85"/>
    <n v="58.77"/>
    <n v="23.67"/>
    <n v="23.92"/>
    <n v="69.27"/>
    <n v="82.77"/>
    <n v="47.28"/>
    <n v="25.82"/>
    <n v="77.34"/>
    <n v="0"/>
    <x v="0"/>
    <x v="0"/>
    <x v="0"/>
    <x v="0"/>
    <x v="0"/>
    <x v="0"/>
    <x v="0"/>
    <x v="0"/>
    <x v="0"/>
    <x v="0"/>
    <n v="8.18"/>
    <n v="11.55"/>
    <n v="8.6999999999999993"/>
    <n v="9.2799999999999994"/>
    <n v="33.15"/>
    <n v="20.36"/>
    <n v="21.05"/>
    <n v="16.82"/>
    <n v="20.45"/>
    <n v="5.21"/>
    <n v="9.4499999999999993"/>
    <n v="13.45"/>
    <n v="27.11"/>
    <n v="18.010000000000002"/>
    <n v="34.380000000000003"/>
    <n v="14.23"/>
    <n v="18.84"/>
    <n v="12.94"/>
    <n v="14.55"/>
    <n v="12.07"/>
    <n v="91.5"/>
    <n v="21.55"/>
    <n v="23.63"/>
    <n v="34.26"/>
    <n v="176.62"/>
    <n v="118.73"/>
    <n v="116.93"/>
    <n v="194.53"/>
    <n v="182.85"/>
    <n v="165.78"/>
    <n v="71.400000000000006"/>
    <n v="52.52"/>
    <n v="153.58000000000001"/>
    <n v="69.62"/>
    <n v="81.41"/>
    <n v="141.69999999999999"/>
    <x v="0"/>
    <x v="2"/>
    <s v="71800                   "/>
    <x v="20"/>
    <x v="8"/>
    <x v="49"/>
  </r>
  <r>
    <x v="3"/>
    <x v="3"/>
    <x v="1835"/>
    <x v="1837"/>
    <n v="0"/>
    <n v="0"/>
    <n v="18.21"/>
    <n v="13.65"/>
    <n v="35.43"/>
    <n v="4.95"/>
    <n v="0"/>
    <n v="22.08"/>
    <n v="0"/>
    <n v="0"/>
    <n v="54.39"/>
    <n v="54.19"/>
    <n v="0"/>
    <n v="4.26"/>
    <n v="4.26"/>
    <n v="18.600000000000001"/>
    <n v="14.35"/>
    <n v="13.35"/>
    <n v="0"/>
    <n v="4.45"/>
    <n v="4.45"/>
    <n v="0"/>
    <n v="17.39"/>
    <n v="41.52"/>
    <n v="0"/>
    <n v="0"/>
    <x v="0"/>
    <x v="0"/>
    <x v="0"/>
    <x v="0"/>
    <x v="0"/>
    <x v="0"/>
    <x v="0"/>
    <x v="0"/>
    <x v="0"/>
    <x v="0"/>
    <n v="45.44"/>
    <n v="36.630000000000003"/>
    <n v="48.18"/>
    <n v="31.55"/>
    <n v="36.39"/>
    <n v="32.86"/>
    <n v="35.69"/>
    <n v="19.53"/>
    <n v="21.86"/>
    <n v="4.79"/>
    <n v="23.46"/>
    <n v="45.04"/>
    <n v="16.5"/>
    <n v="12.81"/>
    <n v="15.98"/>
    <n v="14.22"/>
    <n v="18.23"/>
    <n v="18.79"/>
    <n v="13.34"/>
    <n v="11.9"/>
    <n v="34.119999999999997"/>
    <n v="11.26"/>
    <n v="14.46"/>
    <n v="21.28"/>
    <n v="114.6"/>
    <n v="143.47"/>
    <n v="159.47"/>
    <n v="97.52"/>
    <n v="95.52"/>
    <n v="61.08"/>
    <n v="81.33"/>
    <n v="67.75"/>
    <n v="213.66"/>
    <n v="71.52"/>
    <n v="102.45"/>
    <n v="164.75"/>
    <x v="0"/>
    <x v="2"/>
    <s v="71800                   "/>
    <x v="20"/>
    <x v="9"/>
    <x v="49"/>
  </r>
  <r>
    <x v="3"/>
    <x v="3"/>
    <x v="1836"/>
    <x v="1838"/>
    <n v="0"/>
    <n v="0"/>
    <n v="105.5"/>
    <n v="9.27"/>
    <n v="0"/>
    <n v="11.45"/>
    <n v="4.6399999999999997"/>
    <n v="9.27"/>
    <n v="4.6399999999999997"/>
    <n v="0"/>
    <n v="10.27"/>
    <n v="0"/>
    <n v="0"/>
    <n v="0"/>
    <n v="0"/>
    <n v="4.5"/>
    <n v="22.29"/>
    <n v="17.989999999999998"/>
    <n v="8.99"/>
    <n v="8.99"/>
    <n v="8.99"/>
    <n v="4.5"/>
    <n v="0"/>
    <n v="0"/>
    <n v="0"/>
    <n v="0"/>
    <x v="0"/>
    <x v="0"/>
    <x v="0"/>
    <x v="0"/>
    <x v="0"/>
    <x v="0"/>
    <x v="0"/>
    <x v="0"/>
    <x v="0"/>
    <x v="0"/>
    <n v="3.74"/>
    <n v="5.33"/>
    <n v="2.82"/>
    <n v="3.49"/>
    <n v="3.8"/>
    <n v="5.51"/>
    <n v="3.86"/>
    <n v="4.58"/>
    <n v="7.26"/>
    <n v="2.31"/>
    <n v="5.25"/>
    <n v="3.63"/>
    <n v="19.239999999999998"/>
    <n v="7.58"/>
    <n v="7.58"/>
    <n v="5.39"/>
    <n v="8.08"/>
    <n v="8.9700000000000006"/>
    <n v="19.649999999999999"/>
    <n v="18.21"/>
    <n v="26.02"/>
    <n v="8.8000000000000007"/>
    <n v="12.95"/>
    <n v="12.57"/>
    <n v="0"/>
    <n v="0"/>
    <n v="0"/>
    <n v="0"/>
    <n v="0"/>
    <n v="0"/>
    <n v="0"/>
    <n v="0"/>
    <n v="0"/>
    <n v="0"/>
    <n v="0"/>
    <n v="0"/>
    <x v="0"/>
    <x v="2"/>
    <s v="71800                   "/>
    <x v="20"/>
    <x v="10"/>
    <x v="49"/>
  </r>
  <r>
    <x v="3"/>
    <x v="3"/>
    <x v="1837"/>
    <x v="1839"/>
    <n v="0"/>
    <n v="0"/>
    <n v="0"/>
    <n v="0"/>
    <n v="0"/>
    <n v="8.61"/>
    <n v="30.81"/>
    <n v="53.64"/>
    <n v="31.08"/>
    <n v="22.49"/>
    <n v="58.25"/>
    <n v="22.49"/>
    <n v="0"/>
    <n v="4.29"/>
    <n v="70.87"/>
    <n v="13.73"/>
    <n v="0"/>
    <n v="8.5399999999999991"/>
    <n v="13.73"/>
    <n v="22.41"/>
    <n v="4.63"/>
    <n v="8.8800000000000008"/>
    <n v="0"/>
    <n v="34.119999999999997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.87"/>
    <n v="13.9"/>
    <n v="11.02"/>
    <n v="33.25"/>
    <n v="60.55"/>
    <n v="45.53"/>
    <n v="22.32"/>
    <n v="24.1"/>
    <n v="26.19"/>
    <n v="56.94"/>
    <n v="70.55"/>
    <n v="58.66"/>
    <n v="70.959999999999994"/>
    <n v="32.909999999999997"/>
    <n v="55.41"/>
    <n v="110.45"/>
    <n v="207.25"/>
    <n v="163.09"/>
    <n v="76.790000000000006"/>
    <n v="80.47"/>
    <n v="101.93"/>
    <x v="0"/>
    <x v="2"/>
    <s v="71800                   "/>
    <x v="20"/>
    <x v="11"/>
    <x v="49"/>
  </r>
  <r>
    <x v="3"/>
    <x v="3"/>
    <x v="1838"/>
    <x v="1840"/>
    <n v="0"/>
    <n v="0"/>
    <n v="4.95"/>
    <n v="5.05"/>
    <n v="10.08"/>
    <n v="0"/>
    <n v="0"/>
    <n v="15.14"/>
    <n v="0"/>
    <n v="0"/>
    <n v="17.52"/>
    <n v="25.23"/>
    <n v="5.05"/>
    <n v="5.05"/>
    <n v="9.8800000000000008"/>
    <n v="5.0999999999999996"/>
    <n v="10.19"/>
    <n v="15.06"/>
    <n v="15.29"/>
    <n v="0"/>
    <n v="0"/>
    <n v="0"/>
    <n v="15.29"/>
    <n v="30.57"/>
    <n v="20.69"/>
    <n v="0"/>
    <x v="0"/>
    <x v="0"/>
    <x v="0"/>
    <x v="0"/>
    <x v="0"/>
    <x v="0"/>
    <x v="0"/>
    <x v="0"/>
    <x v="0"/>
    <x v="0"/>
    <n v="2.4900000000000002"/>
    <n v="1"/>
    <n v="1.26"/>
    <n v="2.06"/>
    <n v="1.23"/>
    <n v="1.4"/>
    <n v="2.4"/>
    <n v="2.19"/>
    <n v="3.64"/>
    <n v="1.62"/>
    <n v="1.18"/>
    <n v="1.46"/>
    <n v="6.16"/>
    <n v="3.15"/>
    <n v="5.8"/>
    <n v="5.52"/>
    <n v="8.7100000000000009"/>
    <n v="3.47"/>
    <n v="5.22"/>
    <n v="6.4"/>
    <n v="19.760000000000002"/>
    <n v="0.84"/>
    <n v="8.2799999999999994"/>
    <n v="5.18"/>
    <n v="11.24"/>
    <n v="8.08"/>
    <n v="7.62"/>
    <n v="6.72"/>
    <n v="10.1"/>
    <n v="12.12"/>
    <n v="12.8"/>
    <n v="15.96"/>
    <n v="48.93"/>
    <n v="6.72"/>
    <n v="21.86"/>
    <n v="19.14"/>
    <x v="0"/>
    <x v="2"/>
    <s v="71800                   "/>
    <x v="20"/>
    <x v="12"/>
    <x v="49"/>
  </r>
  <r>
    <x v="3"/>
    <x v="3"/>
    <x v="1841"/>
    <x v="1843"/>
    <n v="0"/>
    <n v="0"/>
    <n v="24.84"/>
    <n v="11.8"/>
    <n v="16.670000000000002"/>
    <n v="39.25"/>
    <n v="52.77"/>
    <n v="70.569999999999993"/>
    <n v="6.98"/>
    <n v="0"/>
    <n v="0.93"/>
    <n v="13.18"/>
    <n v="4.3899999999999997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11.72"/>
    <n v="10.8"/>
    <n v="13.44"/>
    <n v="11.48"/>
    <n v="13.31"/>
    <n v="12.31"/>
    <n v="12.46"/>
    <n v="10.8"/>
    <n v="28.89"/>
    <n v="34.369999999999997"/>
    <n v="11.3"/>
    <n v="10.44"/>
    <n v="20.12"/>
    <n v="25.18"/>
    <n v="27.51"/>
    <n v="18.89"/>
    <n v="40.19"/>
    <n v="25.77"/>
    <n v="19.940000000000001"/>
    <n v="17.48"/>
    <n v="14.2"/>
    <n v="14.2"/>
    <n v="10.08"/>
    <n v="13.77"/>
    <n v="40.950000000000003"/>
    <n v="40.950000000000003"/>
    <n v="40.950000000000003"/>
    <n v="57.73"/>
    <n v="131.1"/>
    <n v="70.53"/>
    <n v="40.950000000000003"/>
    <n v="46.07"/>
    <n v="40.950000000000003"/>
    <n v="40.950000000000003"/>
    <n v="40.950000000000003"/>
    <n v="40.950000000000003"/>
    <x v="0"/>
    <x v="2"/>
    <s v="71800                   "/>
    <x v="20"/>
    <x v="15"/>
    <x v="49"/>
  </r>
  <r>
    <x v="3"/>
    <x v="3"/>
    <x v="1842"/>
    <x v="1844"/>
    <n v="0"/>
    <n v="0"/>
    <n v="57.4"/>
    <n v="78.099999999999994"/>
    <n v="122.99"/>
    <n v="47.47"/>
    <n v="149.66"/>
    <n v="392.8"/>
    <n v="86.37"/>
    <n v="39.659999999999997"/>
    <n v="49.53"/>
    <n v="137.06"/>
    <n v="95.01"/>
    <n v="52.2"/>
    <n v="175.54"/>
    <n v="117.58"/>
    <n v="50.92"/>
    <n v="33.04"/>
    <n v="24.15"/>
    <n v="181.06"/>
    <n v="179.15"/>
    <n v="63.51"/>
    <n v="183.59"/>
    <n v="73.09"/>
    <n v="474.05"/>
    <n v="0"/>
    <x v="0"/>
    <x v="0"/>
    <x v="0"/>
    <x v="0"/>
    <x v="0"/>
    <x v="0"/>
    <x v="0"/>
    <x v="0"/>
    <x v="0"/>
    <x v="0"/>
    <n v="33.909999999999997"/>
    <n v="21.59"/>
    <n v="25.19"/>
    <n v="36.93"/>
    <n v="28.85"/>
    <n v="12.34"/>
    <n v="23.67"/>
    <n v="25.33"/>
    <n v="29.65"/>
    <n v="34.770000000000003"/>
    <n v="41.81"/>
    <n v="34.950000000000003"/>
    <n v="88.29"/>
    <n v="78.81"/>
    <n v="97.71"/>
    <n v="113.93"/>
    <n v="85.59"/>
    <n v="64.459999999999994"/>
    <n v="117.34"/>
    <n v="135.1"/>
    <n v="152.72"/>
    <n v="69.75"/>
    <n v="75.77"/>
    <n v="81.569999999999993"/>
    <n v="100.01"/>
    <n v="108.29"/>
    <n v="149.68"/>
    <n v="139.94999999999999"/>
    <n v="123.2"/>
    <n v="108.65"/>
    <n v="145.11000000000001"/>
    <n v="126.56"/>
    <n v="311.36"/>
    <n v="137.35"/>
    <n v="130.18"/>
    <n v="108.57"/>
    <x v="0"/>
    <x v="2"/>
    <s v="71800                   "/>
    <x v="20"/>
    <x v="16"/>
    <x v="49"/>
  </r>
  <r>
    <x v="3"/>
    <x v="3"/>
    <x v="1843"/>
    <x v="1845"/>
    <n v="0"/>
    <n v="0"/>
    <n v="2.77"/>
    <n v="11.47"/>
    <n v="7.75"/>
    <n v="0"/>
    <n v="15.84"/>
    <n v="0"/>
    <n v="34.86"/>
    <n v="0"/>
    <n v="7.75"/>
    <n v="11.8"/>
    <n v="0"/>
    <n v="0"/>
    <n v="0"/>
    <n v="4.04"/>
    <n v="3.71"/>
    <n v="3.71"/>
    <n v="0"/>
    <n v="0"/>
    <n v="15.48"/>
    <n v="0"/>
    <n v="0"/>
    <n v="7.41"/>
    <n v="0"/>
    <n v="0"/>
    <x v="0"/>
    <x v="0"/>
    <x v="0"/>
    <x v="0"/>
    <x v="0"/>
    <x v="0"/>
    <x v="0"/>
    <x v="0"/>
    <x v="0"/>
    <x v="0"/>
    <n v="11.48"/>
    <n v="17.75"/>
    <n v="15.66"/>
    <n v="28.34"/>
    <n v="18.87"/>
    <n v="14.34"/>
    <n v="18.38"/>
    <n v="14.38"/>
    <n v="48.49"/>
    <n v="7.14"/>
    <n v="3.75"/>
    <n v="17.260000000000002"/>
    <n v="7.1"/>
    <n v="7.09"/>
    <n v="7.13"/>
    <n v="7.09"/>
    <n v="7.56"/>
    <n v="7.59"/>
    <n v="8.3800000000000008"/>
    <n v="7.37"/>
    <n v="12.31"/>
    <n v="7.05"/>
    <n v="7.12"/>
    <n v="6.44"/>
    <n v="300.17"/>
    <n v="312.36"/>
    <n v="351.1"/>
    <n v="318.61"/>
    <n v="243.88"/>
    <n v="254.43"/>
    <n v="419.61"/>
    <n v="527.45000000000005"/>
    <n v="564.62"/>
    <n v="279.17"/>
    <n v="301.27999999999997"/>
    <n v="304.87"/>
    <x v="0"/>
    <x v="2"/>
    <s v="71800                   "/>
    <x v="20"/>
    <x v="17"/>
    <x v="49"/>
  </r>
  <r>
    <x v="3"/>
    <x v="3"/>
    <x v="1894"/>
    <x v="1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8"/>
    <x v="16"/>
    <x v="51"/>
  </r>
  <r>
    <x v="3"/>
    <x v="3"/>
    <x v="1896"/>
    <x v="1898"/>
    <n v="0"/>
    <n v="0"/>
    <n v="0"/>
    <n v="0"/>
    <n v="0"/>
    <n v="0"/>
    <n v="0"/>
    <n v="0"/>
    <n v="0"/>
    <n v="0"/>
    <n v="0"/>
    <n v="0"/>
    <n v="185.13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3"/>
    <x v="46"/>
  </r>
  <r>
    <x v="3"/>
    <x v="3"/>
    <x v="1901"/>
    <x v="1903"/>
    <n v="28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1"/>
    <x v="46"/>
  </r>
  <r>
    <x v="3"/>
    <x v="3"/>
    <x v="1902"/>
    <x v="1904"/>
    <n v="0"/>
    <n v="0"/>
    <n v="0"/>
    <n v="0"/>
    <n v="0"/>
    <n v="0"/>
    <n v="0"/>
    <n v="0"/>
    <n v="0"/>
    <n v="0"/>
    <n v="0"/>
    <n v="50.47"/>
    <n v="0"/>
    <n v="0"/>
    <n v="0"/>
    <n v="0"/>
    <n v="94.45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7"/>
    <x v="46"/>
  </r>
  <r>
    <x v="3"/>
    <x v="3"/>
    <x v="1904"/>
    <x v="1906"/>
    <n v="49.49"/>
    <n v="0"/>
    <n v="0"/>
    <n v="0"/>
    <n v="0"/>
    <n v="0"/>
    <n v="29.69"/>
    <n v="29.69"/>
    <n v="0"/>
    <n v="59.39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9"/>
    <x v="46"/>
  </r>
  <r>
    <x v="3"/>
    <x v="3"/>
    <x v="1906"/>
    <x v="1908"/>
    <n v="0"/>
    <n v="0"/>
    <n v="0"/>
    <n v="0"/>
    <n v="0"/>
    <n v="0"/>
    <n v="0"/>
    <n v="-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11"/>
    <x v="46"/>
  </r>
  <r>
    <x v="3"/>
    <x v="3"/>
    <x v="1911"/>
    <x v="1913"/>
    <n v="0"/>
    <n v="0"/>
    <n v="0"/>
    <n v="0"/>
    <n v="0"/>
    <n v="58.62"/>
    <n v="164.14"/>
    <n v="96.29"/>
    <n v="0"/>
    <n v="38.270000000000003"/>
    <n v="0"/>
    <n v="0"/>
    <n v="0"/>
    <n v="13.98"/>
    <n v="104.47"/>
    <n v="55.22"/>
    <n v="0"/>
    <n v="0"/>
    <n v="0"/>
    <n v="0"/>
    <n v="39.4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16"/>
    <x v="46"/>
  </r>
  <r>
    <x v="3"/>
    <x v="3"/>
    <x v="1912"/>
    <x v="1914"/>
    <n v="24.26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1340                   "/>
    <x v="11"/>
    <x v="17"/>
    <x v="46"/>
  </r>
  <r>
    <x v="3"/>
    <x v="3"/>
    <x v="1927"/>
    <x v="1929"/>
    <n v="0"/>
    <n v="0"/>
    <n v="0"/>
    <n v="0"/>
    <n v="0"/>
    <n v="0"/>
    <n v="0"/>
    <n v="0"/>
    <n v="0"/>
    <n v="0"/>
    <n v="0"/>
    <n v="0"/>
    <n v="0"/>
    <n v="0"/>
    <n v="0"/>
    <n v="0"/>
    <n v="0"/>
    <n v="53.03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50"/>
    <n v="50"/>
    <n v="50"/>
    <n v="50"/>
    <n v="50"/>
    <n v="50"/>
    <n v="50"/>
    <n v="50"/>
    <n v="50"/>
    <n v="5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6"/>
    <s v="71500                   "/>
    <x v="1"/>
    <x v="2"/>
    <x v="13"/>
  </r>
  <r>
    <x v="3"/>
    <x v="3"/>
    <x v="1929"/>
    <x v="1931"/>
    <n v="0"/>
    <n v="265"/>
    <n v="0"/>
    <n v="0"/>
    <n v="40"/>
    <n v="0"/>
    <n v="0"/>
    <n v="0"/>
    <n v="0"/>
    <n v="0"/>
    <n v="0"/>
    <n v="0"/>
    <n v="403.75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3.75"/>
    <n v="0"/>
    <n v="0"/>
    <n v="0"/>
    <n v="0"/>
    <n v="0"/>
    <n v="0"/>
    <n v="0"/>
    <n v="0"/>
    <n v="0"/>
    <n v="0"/>
    <n v="0"/>
    <x v="0"/>
    <x v="6"/>
    <s v="71810                   "/>
    <x v="1"/>
    <x v="2"/>
    <x v="48"/>
  </r>
  <r>
    <x v="4"/>
    <x v="4"/>
    <x v="2569"/>
    <x v="2575"/>
    <n v="0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700000000000003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6"/>
    <s v="71100                   "/>
    <x v="1"/>
    <x v="2"/>
    <x v="47"/>
  </r>
  <r>
    <x v="4"/>
    <x v="4"/>
    <x v="2570"/>
    <x v="2576"/>
    <n v="0"/>
    <n v="11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6"/>
    <s v="71100                   "/>
    <x v="9"/>
    <x v="2"/>
    <x v="48"/>
  </r>
  <r>
    <x v="5"/>
    <x v="5"/>
    <x v="1952"/>
    <x v="1954"/>
    <n v="0"/>
    <n v="0"/>
    <n v="0"/>
    <n v="0"/>
    <n v="0"/>
    <n v="0"/>
    <n v="0"/>
    <n v="0"/>
    <n v="0"/>
    <n v="0"/>
    <n v="0"/>
    <n v="420.87"/>
    <n v="0"/>
    <n v="0"/>
    <n v="0"/>
    <n v="0"/>
    <n v="0"/>
    <n v="0"/>
    <n v="0"/>
    <n v="0"/>
    <n v="0"/>
    <n v="0"/>
    <n v="0"/>
    <n v="351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210                   "/>
    <x v="1"/>
    <x v="2"/>
    <x v="52"/>
  </r>
  <r>
    <x v="6"/>
    <x v="6"/>
    <x v="1966"/>
    <x v="1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3"/>
    <x v="3"/>
    <x v="53"/>
  </r>
  <r>
    <x v="6"/>
    <x v="6"/>
    <x v="1970"/>
    <x v="1976"/>
    <n v="78.849999999999994"/>
    <n v="52.57"/>
    <n v="65.709999999999994"/>
    <n v="0"/>
    <n v="0"/>
    <n v="0"/>
    <n v="52.57"/>
    <n v="0"/>
    <n v="93.58"/>
    <n v="146.08000000000001"/>
    <n v="0"/>
    <n v="39.11"/>
    <n v="0"/>
    <n v="103.01"/>
    <n v="26.28"/>
    <n v="0"/>
    <n v="23.63"/>
    <n v="0"/>
    <n v="26.28"/>
    <n v="0"/>
    <n v="26.28"/>
    <n v="40.619999999999997"/>
    <n v="30.46"/>
    <n v="0"/>
    <n v="68.8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58"/>
    <n v="146.08000000000001"/>
    <n v="0"/>
    <n v="39.11"/>
    <n v="0"/>
    <n v="0"/>
    <n v="0"/>
    <n v="0"/>
    <n v="0"/>
    <n v="0"/>
    <n v="0"/>
    <n v="0"/>
    <n v="0"/>
    <n v="0"/>
    <n v="0"/>
    <n v="0"/>
    <x v="0"/>
    <x v="2"/>
    <s v="71470                   "/>
    <x v="3"/>
    <x v="7"/>
    <x v="53"/>
  </r>
  <r>
    <x v="6"/>
    <x v="6"/>
    <x v="1979"/>
    <x v="1985"/>
    <n v="0"/>
    <n v="0"/>
    <n v="0"/>
    <n v="0"/>
    <n v="0"/>
    <n v="0"/>
    <n v="0"/>
    <n v="0"/>
    <n v="12.54"/>
    <n v="36.909999999999997"/>
    <n v="9.36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54"/>
    <n v="36.909999999999997"/>
    <n v="9.36"/>
    <n v="0"/>
    <n v="0"/>
    <n v="0"/>
    <n v="0"/>
    <n v="0"/>
    <n v="0"/>
    <n v="0"/>
    <n v="0"/>
    <n v="0"/>
    <n v="0"/>
    <n v="0"/>
    <n v="0"/>
    <n v="0"/>
    <x v="0"/>
    <x v="2"/>
    <s v="71470                   "/>
    <x v="3"/>
    <x v="16"/>
    <x v="53"/>
  </r>
  <r>
    <x v="6"/>
    <x v="6"/>
    <x v="2023"/>
    <x v="2029"/>
    <n v="0"/>
    <n v="36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1"/>
    <x v="45"/>
  </r>
  <r>
    <x v="6"/>
    <x v="6"/>
    <x v="2024"/>
    <x v="2030"/>
    <n v="12.92"/>
    <n v="6.46"/>
    <n v="0"/>
    <n v="0"/>
    <n v="0"/>
    <n v="0"/>
    <n v="0"/>
    <n v="0"/>
    <n v="0"/>
    <n v="57.86"/>
    <n v="43.5"/>
    <n v="11.81"/>
    <n v="55.37"/>
    <n v="93.17"/>
    <n v="9.6300000000000008"/>
    <n v="0"/>
    <n v="11.27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7"/>
    <x v="45"/>
  </r>
  <r>
    <x v="6"/>
    <x v="6"/>
    <x v="2025"/>
    <x v="2031"/>
    <n v="0"/>
    <n v="0"/>
    <n v="0"/>
    <n v="0"/>
    <n v="0"/>
    <n v="0"/>
    <n v="0"/>
    <n v="0"/>
    <n v="13.93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8"/>
    <x v="45"/>
  </r>
  <r>
    <x v="6"/>
    <x v="6"/>
    <x v="2026"/>
    <x v="2032"/>
    <n v="158.04"/>
    <n v="61.74"/>
    <n v="0"/>
    <n v="0"/>
    <n v="0"/>
    <n v="0"/>
    <n v="0"/>
    <n v="79.02"/>
    <n v="158.04"/>
    <n v="0"/>
    <n v="79.02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9"/>
    <x v="45"/>
  </r>
  <r>
    <x v="6"/>
    <x v="6"/>
    <x v="2028"/>
    <x v="2034"/>
    <n v="0"/>
    <n v="0"/>
    <n v="0"/>
    <n v="0"/>
    <n v="0"/>
    <n v="0"/>
    <n v="0"/>
    <n v="55.72"/>
    <n v="13.42"/>
    <n v="71.38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11"/>
    <x v="45"/>
  </r>
  <r>
    <x v="6"/>
    <x v="6"/>
    <x v="2032"/>
    <x v="2038"/>
    <n v="0"/>
    <n v="0"/>
    <n v="0"/>
    <n v="0"/>
    <n v="0"/>
    <n v="0"/>
    <n v="0"/>
    <n v="0"/>
    <n v="0"/>
    <n v="0"/>
    <n v="0"/>
    <n v="29.63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15"/>
    <x v="45"/>
  </r>
  <r>
    <x v="6"/>
    <x v="6"/>
    <x v="2033"/>
    <x v="2039"/>
    <n v="660.28"/>
    <n v="167.66"/>
    <n v="62.69"/>
    <n v="181.55"/>
    <n v="27.04"/>
    <n v="27.86"/>
    <n v="58.51"/>
    <n v="305.07"/>
    <n v="370.58"/>
    <n v="142.19"/>
    <n v="101.44"/>
    <n v="101"/>
    <n v="0"/>
    <n v="6.97"/>
    <n v="97.51"/>
    <n v="177.83"/>
    <n v="0"/>
    <n v="60.11"/>
    <n v="3.1"/>
    <n v="7.88"/>
    <n v="0"/>
    <n v="0"/>
    <n v="19.760000000000002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16"/>
    <x v="45"/>
  </r>
  <r>
    <x v="6"/>
    <x v="6"/>
    <x v="2034"/>
    <x v="2040"/>
    <n v="0"/>
    <n v="37.04"/>
    <n v="0"/>
    <n v="0"/>
    <n v="0"/>
    <n v="0"/>
    <n v="0"/>
    <n v="0"/>
    <n v="26.5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1"/>
    <x v="17"/>
    <x v="45"/>
  </r>
  <r>
    <x v="6"/>
    <x v="6"/>
    <x v="2054"/>
    <x v="2060"/>
    <n v="0"/>
    <n v="0"/>
    <n v="0"/>
    <n v="0"/>
    <n v="56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70                   "/>
    <x v="14"/>
    <x v="16"/>
    <x v="50"/>
  </r>
  <r>
    <x v="6"/>
    <x v="6"/>
    <x v="2107"/>
    <x v="2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3"/>
    <x v="45"/>
  </r>
  <r>
    <x v="6"/>
    <x v="6"/>
    <x v="2108"/>
    <x v="2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4"/>
    <x v="45"/>
  </r>
  <r>
    <x v="6"/>
    <x v="6"/>
    <x v="2109"/>
    <x v="2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0"/>
    <x v="45"/>
  </r>
  <r>
    <x v="6"/>
    <x v="6"/>
    <x v="2110"/>
    <x v="2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5"/>
    <x v="45"/>
  </r>
  <r>
    <x v="6"/>
    <x v="6"/>
    <x v="2111"/>
    <x v="2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6"/>
    <x v="45"/>
  </r>
  <r>
    <x v="6"/>
    <x v="6"/>
    <x v="2112"/>
    <x v="2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"/>
    <x v="45"/>
  </r>
  <r>
    <x v="6"/>
    <x v="6"/>
    <x v="2703"/>
    <x v="2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n v="11.27"/>
    <n v="0"/>
    <n v="25.26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21"/>
    <x v="45"/>
  </r>
  <r>
    <x v="6"/>
    <x v="6"/>
    <x v="2114"/>
    <x v="2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8"/>
    <x v="45"/>
  </r>
  <r>
    <x v="6"/>
    <x v="6"/>
    <x v="2115"/>
    <x v="2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9"/>
    <x v="45"/>
  </r>
  <r>
    <x v="6"/>
    <x v="6"/>
    <x v="2116"/>
    <x v="2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2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0"/>
    <x v="45"/>
  </r>
  <r>
    <x v="6"/>
    <x v="6"/>
    <x v="2117"/>
    <x v="2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1"/>
    <x v="45"/>
  </r>
  <r>
    <x v="6"/>
    <x v="6"/>
    <x v="2118"/>
    <x v="2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2"/>
    <x v="45"/>
  </r>
  <r>
    <x v="6"/>
    <x v="6"/>
    <x v="2120"/>
    <x v="2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4"/>
    <x v="45"/>
  </r>
  <r>
    <x v="6"/>
    <x v="6"/>
    <x v="2121"/>
    <x v="2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5"/>
    <x v="45"/>
  </r>
  <r>
    <x v="6"/>
    <x v="6"/>
    <x v="2122"/>
    <x v="2128"/>
    <n v="0"/>
    <n v="0"/>
    <n v="0"/>
    <n v="0"/>
    <n v="0"/>
    <n v="0"/>
    <n v="0"/>
    <n v="0"/>
    <n v="0"/>
    <n v="0"/>
    <n v="0"/>
    <n v="0"/>
    <n v="0"/>
    <n v="0"/>
    <n v="0"/>
    <n v="0"/>
    <n v="0"/>
    <n v="146.77000000000001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6"/>
    <x v="45"/>
  </r>
  <r>
    <x v="6"/>
    <x v="6"/>
    <x v="2123"/>
    <x v="2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480                   "/>
    <x v="11"/>
    <x v="17"/>
    <x v="45"/>
  </r>
  <r>
    <x v="7"/>
    <x v="7"/>
    <x v="2150"/>
    <x v="2156"/>
    <n v="0"/>
    <n v="112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71700                   "/>
    <x v="9"/>
    <x v="2"/>
    <x v="48"/>
  </r>
  <r>
    <x v="7"/>
    <x v="7"/>
    <x v="2152"/>
    <x v="2158"/>
    <n v="6268.42"/>
    <n v="5946.71"/>
    <n v="6751.18"/>
    <n v="6612.87"/>
    <n v="6407.64"/>
    <n v="5889.29"/>
    <n v="5131.28"/>
    <n v="5933.49"/>
    <n v="7368.35"/>
    <n v="5938.4"/>
    <n v="5535.01"/>
    <n v="8096.11"/>
    <n v="4873.18"/>
    <n v="6258.13"/>
    <n v="6451.23"/>
    <n v="6970.68"/>
    <n v="6477.41"/>
    <n v="5860.78"/>
    <n v="6782.24"/>
    <n v="7727.29"/>
    <n v="4253.34"/>
    <n v="10964.16"/>
    <n v="6359.75"/>
    <n v="6997.78"/>
    <n v="5623.76"/>
    <n v="-1066.97"/>
    <x v="0"/>
    <x v="0"/>
    <x v="0"/>
    <x v="0"/>
    <x v="0"/>
    <x v="0"/>
    <x v="0"/>
    <x v="0"/>
    <x v="0"/>
    <x v="0"/>
    <n v="5919.71"/>
    <n v="6661.28"/>
    <n v="6330.12"/>
    <n v="6603.32"/>
    <n v="5598.74"/>
    <n v="5523.18"/>
    <n v="9095.41"/>
    <n v="11428.29"/>
    <n v="7697.09"/>
    <n v="6563.95"/>
    <n v="6085.58"/>
    <n v="6537.45"/>
    <n v="6322.51"/>
    <n v="6322.51"/>
    <n v="6322.51"/>
    <n v="6322.51"/>
    <n v="6322.51"/>
    <n v="6322.51"/>
    <n v="6322.51"/>
    <n v="6322.51"/>
    <n v="6322.51"/>
    <n v="6322.51"/>
    <n v="6322.51"/>
    <n v="6322.51"/>
    <n v="4970.6400000000003"/>
    <n v="6383.29"/>
    <n v="6580.25"/>
    <n v="7110.09"/>
    <n v="6606.96"/>
    <n v="5978"/>
    <n v="6917.88"/>
    <n v="7881.84"/>
    <n v="7515.36"/>
    <n v="6056.76"/>
    <n v="5645.7"/>
    <n v="8257.92"/>
    <x v="0"/>
    <x v="2"/>
    <s v="71700                   "/>
    <x v="20"/>
    <x v="2"/>
    <x v="47"/>
  </r>
  <r>
    <x v="7"/>
    <x v="7"/>
    <x v="2154"/>
    <x v="2160"/>
    <n v="247.29"/>
    <n v="237.67"/>
    <n v="280.83999999999997"/>
    <n v="264.74"/>
    <n v="353.56"/>
    <n v="254.72"/>
    <n v="210.63"/>
    <n v="272.97000000000003"/>
    <n v="321.14"/>
    <n v="342.37"/>
    <n v="236.94"/>
    <n v="256.76"/>
    <n v="308"/>
    <n v="270.89999999999998"/>
    <n v="269.81"/>
    <n v="295.89"/>
    <n v="273.54000000000002"/>
    <n v="271.14"/>
    <n v="399.03"/>
    <n v="304.94"/>
    <n v="287.36"/>
    <n v="279.49"/>
    <n v="245.38"/>
    <n v="291.89"/>
    <n v="214.46"/>
    <n v="-39.950000000000003"/>
    <x v="0"/>
    <x v="0"/>
    <x v="0"/>
    <x v="0"/>
    <x v="0"/>
    <x v="0"/>
    <x v="0"/>
    <x v="0"/>
    <x v="0"/>
    <x v="0"/>
    <n v="226.9"/>
    <n v="273.62"/>
    <n v="280.81"/>
    <n v="302.32"/>
    <n v="324.16000000000003"/>
    <n v="275.69"/>
    <n v="316.37"/>
    <n v="475.62"/>
    <n v="223.66"/>
    <n v="252.22"/>
    <n v="316.67"/>
    <n v="331.83"/>
    <n v="269.64999999999998"/>
    <n v="269.64999999999998"/>
    <n v="269.64999999999998"/>
    <n v="269.64999999999998"/>
    <n v="269.64999999999998"/>
    <n v="269.64999999999998"/>
    <n v="269.64999999999998"/>
    <n v="269.64999999999998"/>
    <n v="269.64999999999998"/>
    <n v="269.64999999999998"/>
    <n v="269.64999999999998"/>
    <n v="269.64999999999998"/>
    <n v="172.52"/>
    <n v="157.99"/>
    <n v="162.86000000000001"/>
    <n v="175.97"/>
    <n v="163.52000000000001"/>
    <n v="147.96"/>
    <n v="171.22"/>
    <n v="195.08"/>
    <n v="235.51"/>
    <n v="149.9"/>
    <n v="139.72999999999999"/>
    <n v="204.38"/>
    <x v="0"/>
    <x v="2"/>
    <s v="71705                   "/>
    <x v="20"/>
    <x v="2"/>
    <x v="47"/>
  </r>
  <r>
    <x v="7"/>
    <x v="7"/>
    <x v="2156"/>
    <x v="2162"/>
    <n v="119.68"/>
    <n v="116.84"/>
    <n v="132.30000000000001"/>
    <n v="126.4"/>
    <n v="158.16"/>
    <n v="112.67"/>
    <n v="98.49"/>
    <n v="123.2"/>
    <n v="91.32"/>
    <n v="0"/>
    <n v="0"/>
    <n v="111.55"/>
    <n v="141.1"/>
    <n v="119.43"/>
    <n v="122.94"/>
    <n v="138.36000000000001"/>
    <n v="125.34"/>
    <n v="111.65"/>
    <n v="185.69"/>
    <n v="139.28"/>
    <n v="91.57"/>
    <n v="0"/>
    <n v="0"/>
    <n v="127.49"/>
    <n v="118.07"/>
    <n v="-20.420000000000002"/>
    <x v="0"/>
    <x v="0"/>
    <x v="0"/>
    <x v="0"/>
    <x v="0"/>
    <x v="0"/>
    <x v="0"/>
    <x v="0"/>
    <x v="0"/>
    <x v="0"/>
    <n v="111.69"/>
    <n v="130.97"/>
    <n v="117.89"/>
    <n v="130.68"/>
    <n v="143.58000000000001"/>
    <n v="103.14"/>
    <n v="172.48"/>
    <n v="261.61"/>
    <n v="124.27"/>
    <n v="0"/>
    <n v="134.19"/>
    <n v="151.96"/>
    <n v="123.29"/>
    <n v="123.29"/>
    <n v="123.29"/>
    <n v="123.29"/>
    <n v="123.29"/>
    <n v="123.29"/>
    <n v="123.29"/>
    <n v="123.29"/>
    <n v="123.29"/>
    <n v="0"/>
    <n v="0"/>
    <n v="123.29"/>
    <n v="135.93"/>
    <n v="124.47"/>
    <n v="128.31"/>
    <n v="138.65"/>
    <n v="128.84"/>
    <n v="116.57"/>
    <n v="134.9"/>
    <n v="153.69999999999999"/>
    <n v="185.55"/>
    <n v="118.11"/>
    <n v="110.09"/>
    <n v="161.03"/>
    <x v="0"/>
    <x v="2"/>
    <s v="71710                   "/>
    <x v="20"/>
    <x v="2"/>
    <x v="47"/>
  </r>
  <r>
    <x v="7"/>
    <x v="7"/>
    <x v="2158"/>
    <x v="2164"/>
    <n v="161.55000000000001"/>
    <n v="157.69"/>
    <n v="178.57"/>
    <n v="170.61"/>
    <n v="213.45"/>
    <n v="160.83000000000001"/>
    <n v="132.93"/>
    <n v="174.82"/>
    <n v="199.3"/>
    <n v="214.8"/>
    <n v="143.53"/>
    <n v="156.59"/>
    <n v="190.42"/>
    <n v="172.57"/>
    <n v="173.53"/>
    <n v="190.25"/>
    <n v="178.76"/>
    <n v="173.96"/>
    <n v="251.6"/>
    <n v="200.3"/>
    <n v="198.48"/>
    <n v="186.22"/>
    <n v="168.16"/>
    <n v="166.27"/>
    <n v="159.38"/>
    <n v="-27.57"/>
    <x v="0"/>
    <x v="0"/>
    <x v="0"/>
    <x v="0"/>
    <x v="0"/>
    <x v="0"/>
    <x v="0"/>
    <x v="0"/>
    <x v="0"/>
    <x v="0"/>
    <n v="150.76"/>
    <n v="176.77"/>
    <n v="179.4"/>
    <n v="188.48"/>
    <n v="195.84"/>
    <n v="165.97"/>
    <n v="195.19"/>
    <n v="290.11"/>
    <n v="238.68"/>
    <n v="165.07"/>
    <n v="196.37"/>
    <n v="207.49"/>
    <n v="166.41"/>
    <n v="166.41"/>
    <n v="166.41"/>
    <n v="166.41"/>
    <n v="166.41"/>
    <n v="166.41"/>
    <n v="166.41"/>
    <n v="166.41"/>
    <n v="166.41"/>
    <n v="166.41"/>
    <n v="166.41"/>
    <n v="166.41"/>
    <n v="183.47"/>
    <n v="168.01"/>
    <n v="173.19"/>
    <n v="187.14"/>
    <n v="173.9"/>
    <n v="157.34"/>
    <n v="182.08"/>
    <n v="207.45"/>
    <n v="250.44"/>
    <n v="159.41"/>
    <n v="148.59"/>
    <n v="217.35"/>
    <x v="0"/>
    <x v="2"/>
    <s v="71715                   "/>
    <x v="20"/>
    <x v="2"/>
    <x v="47"/>
  </r>
  <r>
    <x v="7"/>
    <x v="7"/>
    <x v="2162"/>
    <x v="2168"/>
    <n v="135.03"/>
    <n v="131.82"/>
    <n v="149.25"/>
    <n v="142.61000000000001"/>
    <n v="178.43"/>
    <n v="134.43"/>
    <n v="111.12"/>
    <n v="146.12"/>
    <n v="166.6"/>
    <n v="80.349999999999994"/>
    <n v="119.98"/>
    <n v="230.07"/>
    <n v="159.19"/>
    <n v="144.24"/>
    <n v="145.05000000000001"/>
    <n v="159.02000000000001"/>
    <n v="149.43"/>
    <n v="145.38999999999999"/>
    <n v="210.29"/>
    <n v="167.42"/>
    <n v="3912.29"/>
    <n v="-3590.72"/>
    <n v="140.58000000000001"/>
    <n v="138.97999999999999"/>
    <n v="133.19999999999999"/>
    <n v="-23.04"/>
    <x v="0"/>
    <x v="0"/>
    <x v="0"/>
    <x v="0"/>
    <x v="0"/>
    <x v="0"/>
    <x v="0"/>
    <x v="0"/>
    <x v="0"/>
    <x v="0"/>
    <n v="70.19"/>
    <n v="147.76"/>
    <n v="149.94"/>
    <n v="157.53"/>
    <n v="163.69"/>
    <n v="93.72"/>
    <n v="194.6"/>
    <n v="321.08"/>
    <n v="161.15"/>
    <n v="92.24"/>
    <n v="121.68"/>
    <n v="262.68"/>
    <n v="139.1"/>
    <n v="139.1"/>
    <n v="139.1"/>
    <n v="139.1"/>
    <n v="139.1"/>
    <n v="139.1"/>
    <n v="139.1"/>
    <n v="139.1"/>
    <n v="139.1"/>
    <n v="139.1"/>
    <n v="139.1"/>
    <n v="139.1"/>
    <n v="153.35"/>
    <n v="140.43"/>
    <n v="144.77000000000001"/>
    <n v="156.41999999999999"/>
    <n v="145.35"/>
    <n v="131.52000000000001"/>
    <n v="152.19"/>
    <n v="173.4"/>
    <n v="209.34"/>
    <n v="133.25"/>
    <n v="124.21"/>
    <n v="181.67"/>
    <x v="0"/>
    <x v="2"/>
    <s v="71725                   "/>
    <x v="20"/>
    <x v="2"/>
    <x v="47"/>
  </r>
  <r>
    <x v="7"/>
    <x v="7"/>
    <x v="2165"/>
    <x v="2171"/>
    <n v="375.41"/>
    <n v="375.41"/>
    <n v="375.41"/>
    <n v="322.22000000000003"/>
    <n v="321.19"/>
    <n v="321.19"/>
    <n v="321.19"/>
    <n v="321.19"/>
    <n v="321.19"/>
    <n v="321.19"/>
    <n v="321.19"/>
    <n v="321.19"/>
    <n v="321.19"/>
    <n v="321.19"/>
    <n v="321.19"/>
    <n v="321.19"/>
    <n v="252.05"/>
    <n v="252.05"/>
    <n v="252.05"/>
    <n v="252.05"/>
    <n v="252.05"/>
    <n v="250.03"/>
    <n v="500.06"/>
    <n v="0"/>
    <n v="250.03"/>
    <n v="250.03"/>
    <x v="0"/>
    <x v="0"/>
    <x v="0"/>
    <x v="0"/>
    <x v="0"/>
    <x v="0"/>
    <x v="0"/>
    <x v="0"/>
    <x v="0"/>
    <x v="0"/>
    <n v="233.42"/>
    <n v="233.42"/>
    <n v="233.42"/>
    <n v="233.42"/>
    <n v="233.42"/>
    <n v="233.42"/>
    <n v="233.42"/>
    <n v="375.41"/>
    <n v="233.42"/>
    <n v="233.42"/>
    <n v="233.42"/>
    <n v="233.42"/>
    <n v="321.19"/>
    <n v="321.19"/>
    <n v="321.19"/>
    <n v="321.19"/>
    <n v="321.19"/>
    <n v="321.19"/>
    <n v="321.19"/>
    <n v="321.19"/>
    <n v="321.19"/>
    <n v="321.19"/>
    <n v="321.19"/>
    <n v="321.19"/>
    <n v="471.78"/>
    <n v="471.78"/>
    <n v="471.78"/>
    <n v="471.78"/>
    <n v="471.78"/>
    <n v="471.78"/>
    <n v="471.78"/>
    <n v="471.78"/>
    <n v="471.78"/>
    <n v="471.78"/>
    <n v="471.78"/>
    <n v="471.78"/>
    <x v="0"/>
    <x v="2"/>
    <s v="71735                   "/>
    <x v="20"/>
    <x v="2"/>
    <x v="47"/>
  </r>
  <r>
    <x v="7"/>
    <x v="7"/>
    <x v="2167"/>
    <x v="2173"/>
    <n v="0"/>
    <n v="0"/>
    <n v="0"/>
    <n v="0"/>
    <n v="1300"/>
    <n v="0"/>
    <n v="0"/>
    <n v="0"/>
    <n v="2000"/>
    <n v="0"/>
    <n v="0"/>
    <n v="0"/>
    <n v="2000"/>
    <n v="0"/>
    <n v="0"/>
    <n v="0"/>
    <n v="0"/>
    <n v="0"/>
    <n v="857.14"/>
    <n v="-857.14"/>
    <n v="0"/>
    <n v="0"/>
    <n v="0"/>
    <n v="2000"/>
    <n v="0"/>
    <n v="0"/>
    <x v="0"/>
    <x v="0"/>
    <x v="0"/>
    <x v="0"/>
    <x v="0"/>
    <x v="0"/>
    <x v="0"/>
    <x v="0"/>
    <x v="0"/>
    <x v="0"/>
    <n v="0"/>
    <n v="0"/>
    <n v="0"/>
    <n v="0"/>
    <n v="2000"/>
    <n v="0"/>
    <n v="0"/>
    <n v="2000"/>
    <n v="2000"/>
    <n v="0"/>
    <n v="0"/>
    <n v="2000"/>
    <n v="0"/>
    <n v="0"/>
    <n v="2000"/>
    <n v="0"/>
    <n v="0"/>
    <n v="2000"/>
    <n v="0"/>
    <n v="0"/>
    <n v="2000"/>
    <n v="0"/>
    <n v="0"/>
    <n v="2000"/>
    <n v="2000"/>
    <n v="0"/>
    <n v="0"/>
    <n v="0"/>
    <n v="0"/>
    <n v="0"/>
    <n v="0"/>
    <n v="0"/>
    <n v="2000"/>
    <n v="0"/>
    <n v="0"/>
    <n v="0"/>
    <x v="0"/>
    <x v="2"/>
    <s v="71740                   "/>
    <x v="20"/>
    <x v="2"/>
    <x v="47"/>
  </r>
  <r>
    <x v="8"/>
    <x v="8"/>
    <x v="2176"/>
    <x v="2181"/>
    <n v="24.21"/>
    <n v="24.21"/>
    <n v="24.21"/>
    <n v="24.21"/>
    <n v="24.21"/>
    <n v="24.21"/>
    <n v="24.21"/>
    <n v="24.21"/>
    <n v="24.21"/>
    <n v="24.21"/>
    <n v="24.21"/>
    <n v="24.21"/>
    <n v="24.21"/>
    <n v="24.21"/>
    <n v="24.21"/>
    <n v="24.21"/>
    <n v="24.21"/>
    <n v="0"/>
    <n v="0"/>
    <n v="0"/>
    <n v="109.34"/>
    <n v="109.34"/>
    <n v="0"/>
    <n v="54.67"/>
    <n v="54.67"/>
    <n v="0"/>
    <x v="0"/>
    <x v="0"/>
    <x v="0"/>
    <x v="0"/>
    <x v="0"/>
    <x v="0"/>
    <x v="0"/>
    <x v="0"/>
    <x v="0"/>
    <x v="0"/>
    <n v="25.03"/>
    <n v="25.03"/>
    <n v="25.03"/>
    <n v="25.03"/>
    <n v="25.03"/>
    <n v="25.03"/>
    <n v="24.21"/>
    <n v="24.21"/>
    <n v="25.03"/>
    <n v="25.03"/>
    <n v="25.03"/>
    <n v="25.03"/>
    <n v="24"/>
    <n v="24"/>
    <n v="24"/>
    <n v="24"/>
    <n v="24"/>
    <n v="24"/>
    <n v="24"/>
    <n v="24"/>
    <n v="24"/>
    <n v="24"/>
    <n v="24"/>
    <n v="24"/>
    <n v="54.67"/>
    <n v="54.67"/>
    <n v="54.67"/>
    <n v="54.67"/>
    <n v="54.67"/>
    <n v="54.67"/>
    <n v="54.67"/>
    <n v="54.67"/>
    <n v="54.67"/>
    <n v="54.67"/>
    <n v="54.67"/>
    <n v="54.67"/>
    <x v="0"/>
    <x v="3"/>
    <s v="71360                   "/>
    <x v="1"/>
    <x v="2"/>
    <x v="58"/>
  </r>
  <r>
    <x v="9"/>
    <x v="9"/>
    <x v="2178"/>
    <x v="2183"/>
    <n v="0"/>
    <n v="0"/>
    <n v="0"/>
    <n v="0"/>
    <n v="9450"/>
    <n v="2130"/>
    <n v="2469"/>
    <n v="1932"/>
    <n v="2102"/>
    <n v="1715"/>
    <n v="1885"/>
    <n v="2176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330                   "/>
    <x v="1"/>
    <x v="2"/>
    <x v="59"/>
  </r>
  <r>
    <x v="10"/>
    <x v="10"/>
    <x v="2179"/>
    <x v="2184"/>
    <n v="956"/>
    <n v="956"/>
    <n v="956"/>
    <n v="956"/>
    <n v="956"/>
    <n v="956"/>
    <n v="956"/>
    <n v="956"/>
    <n v="956"/>
    <n v="965.56"/>
    <n v="965.56"/>
    <n v="965.56"/>
    <n v="965.56"/>
    <n v="965.56"/>
    <n v="965.56"/>
    <n v="965.56"/>
    <n v="965.56"/>
    <n v="965.56"/>
    <n v="965.56"/>
    <n v="965.56"/>
    <n v="965.56"/>
    <n v="841"/>
    <n v="841"/>
    <n v="841"/>
    <n v="841"/>
    <n v="841"/>
    <x v="21"/>
    <x v="2"/>
    <x v="2"/>
    <x v="2"/>
    <x v="0"/>
    <x v="0"/>
    <x v="0"/>
    <x v="0"/>
    <x v="0"/>
    <x v="0"/>
    <n v="913"/>
    <n v="913"/>
    <n v="913"/>
    <n v="913"/>
    <n v="913"/>
    <n v="913"/>
    <n v="913"/>
    <n v="913"/>
    <n v="891"/>
    <n v="913"/>
    <n v="913"/>
    <n v="913"/>
    <n v="966"/>
    <n v="966"/>
    <n v="966"/>
    <n v="966"/>
    <n v="966"/>
    <n v="966"/>
    <n v="966"/>
    <n v="966"/>
    <n v="966"/>
    <n v="966"/>
    <n v="966"/>
    <n v="966"/>
    <n v="965.56"/>
    <n v="965.56"/>
    <n v="965.56"/>
    <n v="965.56"/>
    <n v="965.56"/>
    <n v="965.56"/>
    <n v="965.56"/>
    <n v="965.56"/>
    <n v="965.56"/>
    <n v="965.56"/>
    <n v="965.56"/>
    <n v="965.56"/>
    <x v="0"/>
    <x v="3"/>
    <s v="71430                   "/>
    <x v="1"/>
    <x v="2"/>
    <x v="57"/>
  </r>
  <r>
    <x v="10"/>
    <x v="10"/>
    <x v="2181"/>
    <x v="2704"/>
    <n v="3178.33"/>
    <n v="3178.33"/>
    <n v="3178.33"/>
    <n v="3178.33"/>
    <n v="3178.33"/>
    <n v="3178.33"/>
    <n v="3178.33"/>
    <n v="3178.33"/>
    <n v="3718.59"/>
    <n v="3212.83"/>
    <n v="3212.83"/>
    <n v="3212.83"/>
    <n v="3212.83"/>
    <n v="3212.83"/>
    <n v="3212.83"/>
    <n v="2764.1"/>
    <n v="3212.83"/>
    <n v="3212.83"/>
    <n v="3212.83"/>
    <n v="3212.83"/>
    <n v="3212.83"/>
    <n v="3286.33"/>
    <n v="3286.33"/>
    <n v="3286.33"/>
    <n v="3286.33"/>
    <n v="3286.33"/>
    <x v="22"/>
    <x v="3"/>
    <x v="3"/>
    <x v="3"/>
    <x v="0"/>
    <x v="0"/>
    <x v="0"/>
    <x v="0"/>
    <x v="0"/>
    <x v="0"/>
    <n v="3160.33"/>
    <n v="3160.33"/>
    <n v="3160.33"/>
    <n v="3160.33"/>
    <n v="3160.33"/>
    <n v="3160.33"/>
    <n v="3160.33"/>
    <n v="3597.36"/>
    <n v="3147.33"/>
    <n v="3160.33"/>
    <n v="3160.33"/>
    <n v="3160.33"/>
    <n v="3213"/>
    <n v="3213"/>
    <n v="3213"/>
    <n v="3213"/>
    <n v="3213"/>
    <n v="3213"/>
    <n v="3213"/>
    <n v="3213"/>
    <n v="3213"/>
    <n v="3213"/>
    <n v="3213"/>
    <n v="3213"/>
    <n v="3462.83"/>
    <n v="3462.83"/>
    <n v="3462.83"/>
    <n v="3462.83"/>
    <n v="3462.83"/>
    <n v="3462.83"/>
    <n v="3462.83"/>
    <n v="3462.83"/>
    <n v="3462.83"/>
    <n v="3462.83"/>
    <n v="3462.83"/>
    <n v="3462.83"/>
    <x v="0"/>
    <x v="3"/>
    <s v="71490                   "/>
    <x v="1"/>
    <x v="2"/>
    <x v="31"/>
  </r>
  <r>
    <x v="11"/>
    <x v="11"/>
    <x v="2183"/>
    <x v="2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270                   "/>
    <x v="1"/>
    <x v="2"/>
    <x v="59"/>
  </r>
  <r>
    <x v="11"/>
    <x v="11"/>
    <x v="2184"/>
    <x v="2189"/>
    <n v="284"/>
    <n v="284"/>
    <n v="284"/>
    <n v="284"/>
    <n v="284"/>
    <n v="284"/>
    <n v="284"/>
    <n v="284"/>
    <n v="284"/>
    <n v="284"/>
    <n v="314"/>
    <n v="314"/>
    <n v="314"/>
    <n v="0"/>
    <n v="628"/>
    <n v="314"/>
    <n v="0"/>
    <n v="314"/>
    <n v="314"/>
    <n v="314"/>
    <n v="314"/>
    <n v="314"/>
    <n v="314"/>
    <n v="314"/>
    <n v="314"/>
    <n v="0"/>
    <x v="0"/>
    <x v="0"/>
    <x v="0"/>
    <x v="0"/>
    <x v="0"/>
    <x v="0"/>
    <x v="0"/>
    <x v="0"/>
    <x v="0"/>
    <x v="0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284"/>
    <n v="314"/>
    <n v="314"/>
    <n v="314"/>
    <n v="314"/>
    <n v="314"/>
    <n v="314"/>
    <n v="314"/>
    <n v="314"/>
    <n v="314"/>
    <n v="314"/>
    <n v="314"/>
    <n v="314"/>
    <x v="0"/>
    <x v="3"/>
    <s v="71280                   "/>
    <x v="1"/>
    <x v="2"/>
    <x v="59"/>
  </r>
  <r>
    <x v="11"/>
    <x v="11"/>
    <x v="2185"/>
    <x v="2190"/>
    <n v="0"/>
    <n v="0"/>
    <n v="0"/>
    <n v="0"/>
    <n v="0"/>
    <n v="0"/>
    <n v="0"/>
    <n v="0"/>
    <n v="0"/>
    <n v="0"/>
    <n v="0"/>
    <n v="0"/>
    <n v="0"/>
    <n v="0"/>
    <n v="0"/>
    <n v="0"/>
    <n v="314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290                   "/>
    <x v="1"/>
    <x v="2"/>
    <x v="59"/>
  </r>
  <r>
    <x v="11"/>
    <x v="11"/>
    <x v="2189"/>
    <x v="2194"/>
    <n v="0"/>
    <n v="0"/>
    <n v="0"/>
    <n v="0"/>
    <n v="0"/>
    <n v="0"/>
    <n v="0"/>
    <n v="0"/>
    <n v="0"/>
    <n v="0"/>
    <n v="0"/>
    <n v="0"/>
    <n v="0"/>
    <n v="0"/>
    <n v="0"/>
    <n v="43.05"/>
    <n v="0"/>
    <n v="83.88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5"/>
    <n v="0"/>
    <n v="83.88"/>
    <n v="0"/>
    <n v="0"/>
    <n v="0"/>
    <n v="0"/>
    <n v="0"/>
    <n v="0"/>
    <x v="0"/>
    <x v="3"/>
    <s v="71450                   "/>
    <x v="1"/>
    <x v="2"/>
    <x v="59"/>
  </r>
  <r>
    <x v="11"/>
    <x v="11"/>
    <x v="2202"/>
    <x v="2207"/>
    <n v="0"/>
    <n v="0"/>
    <n v="0"/>
    <n v="0"/>
    <n v="0"/>
    <n v="0"/>
    <n v="0"/>
    <n v="0"/>
    <n v="0"/>
    <n v="0"/>
    <n v="0"/>
    <n v="0"/>
    <n v="0"/>
    <n v="367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482.36"/>
    <n v="0"/>
    <n v="0"/>
    <n v="0"/>
    <n v="98.11"/>
    <n v="0"/>
    <n v="0"/>
    <n v="0"/>
    <n v="0"/>
    <n v="0"/>
    <n v="0"/>
    <n v="0"/>
    <n v="0"/>
    <n v="0"/>
    <n v="0"/>
    <n v="0"/>
    <n v="0"/>
    <n v="0"/>
    <n v="0"/>
    <n v="374.34"/>
    <n v="0"/>
    <n v="0"/>
    <n v="0"/>
    <n v="0"/>
    <n v="0"/>
    <n v="0"/>
    <n v="0"/>
    <n v="0"/>
    <n v="0"/>
    <n v="0"/>
    <x v="0"/>
    <x v="2"/>
    <s v="61390                   "/>
    <x v="20"/>
    <x v="2"/>
    <x v="56"/>
  </r>
  <r>
    <x v="11"/>
    <x v="11"/>
    <x v="2204"/>
    <x v="2209"/>
    <n v="58.69"/>
    <n v="35"/>
    <n v="185.44"/>
    <n v="277.99"/>
    <n v="652.64"/>
    <n v="239.86"/>
    <n v="14.99"/>
    <n v="-462.62"/>
    <n v="548.6"/>
    <n v="212.98"/>
    <n v="156.37"/>
    <n v="461.69"/>
    <n v="108.54"/>
    <n v="151.54"/>
    <n v="330.22"/>
    <n v="345.22"/>
    <n v="229.31"/>
    <n v="0"/>
    <n v="440.9"/>
    <n v="293.93"/>
    <n v="97.38"/>
    <n v="322.98"/>
    <n v="554.98"/>
    <n v="194.78"/>
    <n v="205.1"/>
    <n v="0"/>
    <x v="0"/>
    <x v="0"/>
    <x v="0"/>
    <x v="0"/>
    <x v="0"/>
    <x v="0"/>
    <x v="0"/>
    <x v="0"/>
    <x v="0"/>
    <x v="0"/>
    <n v="80.16"/>
    <n v="348.37"/>
    <n v="0"/>
    <n v="52"/>
    <n v="827.34"/>
    <n v="335.21"/>
    <n v="41.63"/>
    <n v="270"/>
    <n v="0"/>
    <n v="226.3"/>
    <n v="0"/>
    <n v="657.56"/>
    <n v="58.69"/>
    <n v="35"/>
    <n v="185.44"/>
    <n v="277.99"/>
    <n v="652.64"/>
    <n v="239.86"/>
    <n v="14.99"/>
    <n v="-462.62"/>
    <n v="548.6"/>
    <n v="212.98"/>
    <n v="156.37"/>
    <n v="461.69"/>
    <n v="110.71"/>
    <n v="154.57"/>
    <n v="336.82"/>
    <n v="352.12"/>
    <n v="233.9"/>
    <n v="0"/>
    <n v="449.72"/>
    <n v="299.81"/>
    <n v="559.98"/>
    <n v="217.26"/>
    <n v="159.12"/>
    <n v="471.24"/>
    <x v="0"/>
    <x v="2"/>
    <s v="71450                   "/>
    <x v="1"/>
    <x v="2"/>
    <x v="56"/>
  </r>
  <r>
    <x v="11"/>
    <x v="11"/>
    <x v="2210"/>
    <x v="2215"/>
    <n v="760"/>
    <n v="0"/>
    <n v="0"/>
    <n v="0"/>
    <n v="234.92"/>
    <n v="0"/>
    <n v="460.5"/>
    <n v="171.44"/>
    <n v="243.44"/>
    <n v="0"/>
    <n v="0"/>
    <n v="0"/>
    <n v="249.49"/>
    <n v="239.16"/>
    <n v="0"/>
    <n v="0"/>
    <n v="551.29999999999995"/>
    <n v="0"/>
    <n v="0"/>
    <n v="0"/>
    <n v="209.97"/>
    <n v="0"/>
    <n v="0"/>
    <n v="0"/>
    <n v="0"/>
    <n v="0"/>
    <x v="0"/>
    <x v="0"/>
    <x v="0"/>
    <x v="0"/>
    <x v="0"/>
    <x v="0"/>
    <x v="0"/>
    <x v="0"/>
    <x v="0"/>
    <x v="0"/>
    <n v="243.33"/>
    <n v="243.33"/>
    <n v="243.34"/>
    <n v="0"/>
    <n v="0"/>
    <n v="0"/>
    <n v="0"/>
    <n v="0"/>
    <n v="130"/>
    <n v="0"/>
    <n v="0"/>
    <n v="0"/>
    <n v="760"/>
    <n v="0"/>
    <n v="0"/>
    <n v="0"/>
    <n v="234.92"/>
    <n v="0"/>
    <n v="460.5"/>
    <n v="171.44"/>
    <n v="243.44"/>
    <n v="0"/>
    <n v="0"/>
    <n v="0"/>
    <n v="254.48"/>
    <n v="243.94"/>
    <n v="0"/>
    <n v="0"/>
    <n v="562.33000000000004"/>
    <n v="0"/>
    <n v="0"/>
    <n v="0"/>
    <n v="247.86"/>
    <n v="0"/>
    <n v="0"/>
    <n v="0"/>
    <x v="0"/>
    <x v="2"/>
    <s v="71830                   "/>
    <x v="1"/>
    <x v="2"/>
    <x v="56"/>
  </r>
  <r>
    <x v="11"/>
    <x v="11"/>
    <x v="2216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9998                   "/>
    <x v="1"/>
    <x v="2"/>
    <x v="2"/>
  </r>
  <r>
    <x v="11"/>
    <x v="11"/>
    <x v="2217"/>
    <x v="2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2"/>
    <s v="89999                   "/>
    <x v="1"/>
    <x v="2"/>
    <x v="2"/>
  </r>
  <r>
    <x v="12"/>
    <x v="12"/>
    <x v="2659"/>
    <x v="2661"/>
    <n v="-6.7"/>
    <n v="2.4900000000000002"/>
    <n v="19.2"/>
    <n v="-13.42"/>
    <n v="-0.53"/>
    <n v="2.4300000000000002"/>
    <n v="2.97"/>
    <n v="10.68"/>
    <n v="-100.14"/>
    <n v="84.51"/>
    <n v="-8.6300000000000008"/>
    <n v="-812.42"/>
    <n v="-56.78"/>
    <n v="0.73"/>
    <n v="-0.9"/>
    <n v="-11"/>
    <n v="-12.13"/>
    <n v="-21.03"/>
    <n v="0.2"/>
    <n v="39.409999999999997"/>
    <n v="-46.81"/>
    <n v="3.24"/>
    <n v="-311.31"/>
    <n v="3.88"/>
    <n v="3.76"/>
    <n v="0.0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230                   "/>
    <x v="1"/>
    <x v="2"/>
    <x v="66"/>
  </r>
  <r>
    <x v="13"/>
    <x v="13"/>
    <x v="2224"/>
    <x v="2230"/>
    <n v="1582.99"/>
    <n v="22.99"/>
    <n v="22.99"/>
    <n v="22.99"/>
    <n v="22.99"/>
    <n v="22.99"/>
    <n v="22.99"/>
    <n v="22.99"/>
    <n v="22.99"/>
    <n v="22.99"/>
    <n v="22.99"/>
    <n v="22.99"/>
    <n v="22.99"/>
    <n v="22.99"/>
    <n v="248.47"/>
    <n v="3220.99"/>
    <n v="337.99"/>
    <n v="22.99"/>
    <n v="22.99"/>
    <n v="21.22"/>
    <n v="21.22"/>
    <n v="21.22"/>
    <n v="21.22"/>
    <n v="21.22"/>
    <n v="175.94"/>
    <n v="0"/>
    <x v="0"/>
    <x v="0"/>
    <x v="0"/>
    <x v="0"/>
    <x v="0"/>
    <x v="0"/>
    <x v="0"/>
    <x v="0"/>
    <x v="0"/>
    <x v="0"/>
    <n v="300"/>
    <n v="300"/>
    <n v="300"/>
    <n v="300"/>
    <n v="300"/>
    <n v="300"/>
    <n v="300"/>
    <n v="300"/>
    <n v="300"/>
    <n v="300"/>
    <n v="300"/>
    <n v="300"/>
    <n v="153"/>
    <n v="153"/>
    <n v="153"/>
    <n v="153"/>
    <n v="153"/>
    <n v="153"/>
    <n v="153"/>
    <n v="153"/>
    <n v="153"/>
    <n v="153"/>
    <n v="153"/>
    <n v="153"/>
    <n v="22.99"/>
    <n v="22.99"/>
    <n v="248.47"/>
    <n v="3220.99"/>
    <n v="337.99"/>
    <n v="22.99"/>
    <n v="22.99"/>
    <n v="21.22"/>
    <n v="23"/>
    <n v="23"/>
    <n v="23"/>
    <n v="23"/>
    <x v="0"/>
    <x v="3"/>
    <s v="71440                   "/>
    <x v="1"/>
    <x v="2"/>
    <x v="57"/>
  </r>
  <r>
    <x v="14"/>
    <x v="14"/>
    <x v="2226"/>
    <x v="2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3"/>
    <s v="71250                   "/>
    <x v="1"/>
    <x v="2"/>
    <x v="57"/>
  </r>
  <r>
    <x v="14"/>
    <x v="14"/>
    <x v="2227"/>
    <x v="2233"/>
    <n v="190.64"/>
    <n v="190.89"/>
    <n v="188.88"/>
    <n v="194.35"/>
    <n v="188.74"/>
    <n v="188.54"/>
    <n v="188.54"/>
    <n v="188.54"/>
    <n v="191.47"/>
    <n v="188.54"/>
    <n v="191.38"/>
    <n v="191.38"/>
    <n v="191.35"/>
    <n v="190.7"/>
    <n v="190.73"/>
    <n v="195.39"/>
    <n v="191.6"/>
    <n v="191.6"/>
    <n v="191.6"/>
    <n v="191.6"/>
    <n v="191.6"/>
    <n v="191.6"/>
    <n v="194.41"/>
    <n v="143.75"/>
    <n v="201.31"/>
    <n v="99"/>
    <x v="0"/>
    <x v="0"/>
    <x v="0"/>
    <x v="0"/>
    <x v="0"/>
    <x v="0"/>
    <x v="0"/>
    <x v="0"/>
    <x v="0"/>
    <x v="0"/>
    <n v="183.14"/>
    <n v="183.14"/>
    <n v="186.38"/>
    <n v="183.14"/>
    <n v="183.14"/>
    <n v="183.14"/>
    <n v="183.14"/>
    <n v="188.96"/>
    <n v="183.41"/>
    <n v="184.6"/>
    <n v="87.29"/>
    <n v="186.34"/>
    <n v="191"/>
    <n v="191"/>
    <n v="191"/>
    <n v="191"/>
    <n v="191"/>
    <n v="191"/>
    <n v="191"/>
    <n v="191"/>
    <n v="191"/>
    <n v="191"/>
    <n v="191"/>
    <n v="191"/>
    <n v="191.35"/>
    <n v="190.7"/>
    <n v="190.73"/>
    <n v="195.39"/>
    <n v="191.6"/>
    <n v="191.6"/>
    <n v="191.6"/>
    <n v="191.6"/>
    <n v="191"/>
    <n v="189"/>
    <n v="191"/>
    <n v="191"/>
    <x v="0"/>
    <x v="3"/>
    <s v="71460                   "/>
    <x v="1"/>
    <x v="2"/>
    <x v="57"/>
  </r>
  <r>
    <x v="15"/>
    <x v="15"/>
    <x v="2237"/>
    <x v="2243"/>
    <n v="208.59"/>
    <n v="124.55"/>
    <n v="71.739999999999995"/>
    <n v="76.680000000000007"/>
    <n v="75.88"/>
    <n v="78.47"/>
    <n v="0"/>
    <n v="239.28"/>
    <n v="180.5"/>
    <n v="263.92"/>
    <n v="279.55"/>
    <n v="254.71"/>
    <n v="128.24"/>
    <n v="94.03"/>
    <n v="72.31"/>
    <n v="78.11"/>
    <n v="80"/>
    <n v="152.63"/>
    <n v="7.75"/>
    <n v="127.2"/>
    <n v="119.24"/>
    <n v="211.69"/>
    <n v="174.91"/>
    <n v="150.69999999999999"/>
    <n v="136.18"/>
    <n v="0"/>
    <x v="0"/>
    <x v="0"/>
    <x v="0"/>
    <x v="0"/>
    <x v="0"/>
    <x v="0"/>
    <x v="0"/>
    <x v="0"/>
    <x v="0"/>
    <x v="0"/>
    <n v="158.66999999999999"/>
    <n v="81.34"/>
    <n v="78.83"/>
    <n v="76.84"/>
    <n v="75.599999999999994"/>
    <n v="77.05"/>
    <n v="78.95"/>
    <n v="113.46"/>
    <n v="127.2"/>
    <n v="174.2"/>
    <n v="167.65"/>
    <n v="119.28"/>
    <n v="160"/>
    <n v="160"/>
    <n v="160"/>
    <n v="160"/>
    <n v="160"/>
    <n v="160"/>
    <n v="160"/>
    <n v="160"/>
    <n v="160"/>
    <n v="160"/>
    <n v="160"/>
    <n v="160"/>
    <n v="128.24"/>
    <n v="94.03"/>
    <n v="72.31"/>
    <n v="78.11"/>
    <n v="80"/>
    <n v="152.63"/>
    <n v="7.75"/>
    <n v="127.2"/>
    <n v="181"/>
    <n v="264"/>
    <n v="280"/>
    <n v="255"/>
    <x v="0"/>
    <x v="3"/>
    <s v="71340                   "/>
    <x v="1"/>
    <x v="2"/>
    <x v="57"/>
  </r>
  <r>
    <x v="15"/>
    <x v="15"/>
    <x v="2239"/>
    <x v="2245"/>
    <n v="0"/>
    <n v="0"/>
    <n v="0"/>
    <n v="54.12"/>
    <n v="0"/>
    <n v="0"/>
    <n v="0"/>
    <n v="55.68"/>
    <n v="0"/>
    <n v="0"/>
    <n v="0"/>
    <n v="59.09"/>
    <n v="0"/>
    <n v="0"/>
    <n v="0"/>
    <n v="56.51"/>
    <n v="0"/>
    <n v="0"/>
    <n v="0"/>
    <n v="65.02"/>
    <n v="0"/>
    <n v="0"/>
    <n v="0"/>
    <n v="66.989999999999995"/>
    <n v="0"/>
    <n v="0"/>
    <x v="0"/>
    <x v="0"/>
    <x v="0"/>
    <x v="0"/>
    <x v="0"/>
    <x v="0"/>
    <x v="0"/>
    <x v="0"/>
    <x v="0"/>
    <x v="0"/>
    <n v="0"/>
    <n v="0"/>
    <n v="0"/>
    <n v="83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51"/>
    <n v="0"/>
    <n v="0"/>
    <n v="0"/>
    <n v="65.02"/>
    <n v="0"/>
    <n v="0"/>
    <n v="0"/>
    <n v="59"/>
    <x v="0"/>
    <x v="3"/>
    <s v="71940                   "/>
    <x v="1"/>
    <x v="2"/>
    <x v="57"/>
  </r>
  <r>
    <x v="15"/>
    <x v="15"/>
    <x v="2242"/>
    <x v="2248"/>
    <n v="221.57"/>
    <n v="230.13"/>
    <n v="479.21"/>
    <n v="505.71"/>
    <n v="594.70000000000005"/>
    <n v="509.92"/>
    <n v="469.42"/>
    <n v="409.08"/>
    <n v="481.36"/>
    <n v="427.36"/>
    <n v="300.39999999999998"/>
    <n v="294.63"/>
    <n v="317.95"/>
    <n v="486.76"/>
    <n v="567.91999999999996"/>
    <n v="535.6"/>
    <n v="614.01"/>
    <n v="572.17999999999995"/>
    <n v="368.34"/>
    <n v="313.64999999999998"/>
    <n v="342.59"/>
    <n v="409.61"/>
    <n v="348.36"/>
    <n v="386.32"/>
    <n v="503.98"/>
    <n v="0"/>
    <x v="0"/>
    <x v="0"/>
    <x v="0"/>
    <x v="0"/>
    <x v="0"/>
    <x v="0"/>
    <x v="0"/>
    <x v="0"/>
    <x v="0"/>
    <x v="0"/>
    <n v="391.7"/>
    <n v="387.21"/>
    <n v="452.37"/>
    <n v="534.96"/>
    <n v="513.88"/>
    <n v="451.46"/>
    <n v="365.9"/>
    <n v="294.13"/>
    <n v="299.58999999999997"/>
    <n v="448.1"/>
    <n v="361.87"/>
    <n v="393.29"/>
    <n v="480"/>
    <n v="480"/>
    <n v="480"/>
    <n v="480"/>
    <n v="480"/>
    <n v="480"/>
    <n v="480"/>
    <n v="480"/>
    <n v="480"/>
    <n v="427.36"/>
    <n v="300.39999999999998"/>
    <n v="294.63"/>
    <n v="317.95"/>
    <n v="486.76"/>
    <n v="567.91999999999996"/>
    <n v="535.6"/>
    <n v="614.01"/>
    <n v="572.17999999999995"/>
    <n v="368.34"/>
    <n v="313.64999999999998"/>
    <n v="481"/>
    <n v="427"/>
    <n v="300"/>
    <n v="295"/>
    <x v="0"/>
    <x v="6"/>
    <s v="71350                   "/>
    <x v="1"/>
    <x v="2"/>
    <x v="56"/>
  </r>
  <r>
    <x v="16"/>
    <x v="16"/>
    <x v="2277"/>
    <x v="2283"/>
    <n v="0"/>
    <n v="0"/>
    <n v="0"/>
    <n v="0"/>
    <n v="0"/>
    <n v="0"/>
    <n v="0"/>
    <n v="0"/>
    <n v="6.3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"/>
    <n v="0"/>
    <n v="0"/>
    <n v="0"/>
    <n v="0"/>
    <n v="0"/>
    <n v="0"/>
    <n v="0"/>
    <n v="0"/>
    <n v="0"/>
    <n v="0"/>
    <n v="0"/>
    <n v="0"/>
    <n v="0"/>
    <n v="0"/>
    <n v="0"/>
    <x v="0"/>
    <x v="1"/>
    <s v="61270                   "/>
    <x v="10"/>
    <x v="1"/>
    <x v="19"/>
  </r>
  <r>
    <x v="16"/>
    <x v="16"/>
    <x v="2278"/>
    <x v="2284"/>
    <n v="0"/>
    <n v="0"/>
    <n v="0"/>
    <n v="0"/>
    <n v="0"/>
    <n v="0"/>
    <n v="-14"/>
    <n v="0"/>
    <n v="-55"/>
    <n v="0"/>
    <n v="0"/>
    <n v="-51.5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-35.06"/>
    <n v="-18.559999999999999"/>
    <n v="-23.72"/>
    <n v="-16.5"/>
    <n v="-16.5"/>
    <n v="-14.44"/>
    <n v="-28.87"/>
    <n v="-17.53"/>
    <n v="-85.7"/>
    <n v="-32.869999999999997"/>
    <n v="-49.71"/>
    <n v="0"/>
    <n v="0"/>
    <n v="0"/>
    <n v="0"/>
    <n v="0"/>
    <n v="0"/>
    <n v="0"/>
    <n v="0"/>
    <n v="0"/>
    <n v="0"/>
    <n v="0"/>
    <n v="0"/>
    <n v="0"/>
    <x v="0"/>
    <x v="1"/>
    <s v="61270                   "/>
    <x v="10"/>
    <x v="10"/>
    <x v="19"/>
  </r>
  <r>
    <x v="16"/>
    <x v="16"/>
    <x v="2279"/>
    <x v="2285"/>
    <n v="0"/>
    <n v="0"/>
    <n v="0"/>
    <n v="0"/>
    <n v="0"/>
    <n v="0"/>
    <n v="0"/>
    <n v="0"/>
    <n v="0"/>
    <n v="0"/>
    <n v="0"/>
    <n v="0"/>
    <n v="0"/>
    <n v="0"/>
    <n v="-174.59"/>
    <n v="-174.59"/>
    <n v="0"/>
    <n v="0"/>
    <n v="0"/>
    <n v="0"/>
    <n v="0"/>
    <n v="0"/>
    <n v="0"/>
    <n v="34.67"/>
    <n v="44"/>
    <n v="0"/>
    <x v="3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1.62"/>
    <n v="-248.08"/>
    <n v="-163.57"/>
    <n v="-99.56"/>
    <n v="-92.45"/>
    <n v="-120.9"/>
    <n v="0"/>
    <n v="0"/>
    <n v="0"/>
    <n v="0"/>
    <n v="0"/>
    <n v="0"/>
    <n v="0"/>
    <n v="0"/>
    <n v="0"/>
    <n v="0"/>
    <n v="0"/>
    <n v="0"/>
    <x v="0"/>
    <x v="1"/>
    <s v="61270                   "/>
    <x v="10"/>
    <x v="11"/>
    <x v="19"/>
  </r>
  <r>
    <x v="16"/>
    <x v="16"/>
    <x v="2327"/>
    <x v="2333"/>
    <n v="426.69"/>
    <n v="363.31"/>
    <n v="79.44"/>
    <n v="69.77"/>
    <n v="203.36"/>
    <n v="190.17"/>
    <n v="170.37"/>
    <n v="180"/>
    <n v="166.87"/>
    <n v="200"/>
    <n v="0"/>
    <n v="192.02"/>
    <n v="0"/>
    <n v="0"/>
    <n v="845.46"/>
    <n v="158.35"/>
    <n v="158.71"/>
    <n v="182.46"/>
    <n v="0"/>
    <n v="157.83000000000001"/>
    <n v="457.9"/>
    <n v="175.74"/>
    <n v="171.97"/>
    <n v="204.04"/>
    <n v="152.32"/>
    <n v="0"/>
    <x v="23"/>
    <x v="0"/>
    <x v="0"/>
    <x v="0"/>
    <x v="0"/>
    <x v="0"/>
    <x v="0"/>
    <x v="0"/>
    <x v="0"/>
    <x v="0"/>
    <n v="190.32"/>
    <n v="206.82"/>
    <n v="145.96"/>
    <n v="105.09"/>
    <n v="129.59"/>
    <n v="95.19"/>
    <n v="136.55000000000001"/>
    <n v="133.09"/>
    <n v="244.88"/>
    <n v="83.21"/>
    <n v="107.34"/>
    <n v="140.58000000000001"/>
    <n v="421.61"/>
    <n v="378.74"/>
    <n v="183.65"/>
    <n v="152.56"/>
    <n v="214.18"/>
    <n v="179.6"/>
    <n v="178.33"/>
    <n v="175.07"/>
    <n v="193.09"/>
    <n v="156.16"/>
    <n v="123.1"/>
    <n v="170.17"/>
    <n v="0"/>
    <n v="0"/>
    <n v="0"/>
    <n v="0"/>
    <n v="0"/>
    <n v="0"/>
    <n v="0"/>
    <n v="0"/>
    <n v="0"/>
    <n v="0"/>
    <n v="0"/>
    <n v="0"/>
    <x v="0"/>
    <x v="1"/>
    <s v="61270                   "/>
    <x v="20"/>
    <x v="1"/>
    <x v="24"/>
  </r>
  <r>
    <x v="16"/>
    <x v="16"/>
    <x v="2328"/>
    <x v="2334"/>
    <n v="60.5"/>
    <n v="22.5"/>
    <n v="-83"/>
    <n v="8"/>
    <n v="16"/>
    <n v="21"/>
    <n v="59.5"/>
    <n v="60"/>
    <n v="90.5"/>
    <n v="30"/>
    <n v="0"/>
    <n v="84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37.25"/>
    <n v="53.06"/>
    <n v="28.1"/>
    <n v="34.799999999999997"/>
    <n v="37.840000000000003"/>
    <n v="54.83"/>
    <n v="38.450000000000003"/>
    <n v="45.62"/>
    <n v="72.28"/>
    <n v="23.05"/>
    <n v="52.25"/>
    <n v="36.11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70                   "/>
    <x v="20"/>
    <x v="10"/>
    <x v="24"/>
  </r>
  <r>
    <x v="16"/>
    <x v="16"/>
    <x v="2329"/>
    <x v="2335"/>
    <n v="0"/>
    <n v="0"/>
    <n v="0"/>
    <n v="0"/>
    <n v="35"/>
    <n v="52.08"/>
    <n v="100.98"/>
    <n v="100"/>
    <n v="4.0199999999999996"/>
    <n v="30"/>
    <n v="0"/>
    <n v="36.67"/>
    <n v="0"/>
    <n v="0"/>
    <n v="221.25"/>
    <n v="154.6"/>
    <n v="8.75"/>
    <n v="61.25"/>
    <n v="24.25"/>
    <n v="168.67"/>
    <n v="364.41"/>
    <n v="36.67"/>
    <n v="0"/>
    <n v="98.24"/>
    <n v="222.75"/>
    <n v="0"/>
    <x v="24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3.4"/>
    <n v="99.53"/>
    <n v="78.91"/>
    <n v="238.13"/>
    <n v="433.63"/>
    <n v="326.02999999999997"/>
    <n v="159.87"/>
    <n v="172.61"/>
    <n v="187.52"/>
    <n v="0"/>
    <n v="0"/>
    <n v="0"/>
    <n v="0"/>
    <n v="0"/>
    <n v="0"/>
    <n v="0"/>
    <n v="0"/>
    <n v="0"/>
    <n v="0"/>
    <n v="0"/>
    <n v="0"/>
    <x v="0"/>
    <x v="1"/>
    <s v="61270                   "/>
    <x v="20"/>
    <x v="11"/>
    <x v="24"/>
  </r>
  <r>
    <x v="17"/>
    <x v="17"/>
    <x v="2566"/>
    <x v="2572"/>
    <n v="500"/>
    <n v="500"/>
    <n v="500"/>
    <n v="500"/>
    <n v="500"/>
    <n v="500"/>
    <n v="500"/>
    <n v="500"/>
    <n v="500"/>
    <n v="500"/>
    <n v="0"/>
    <n v="500"/>
    <n v="0"/>
    <n v="1000"/>
    <n v="500"/>
    <n v="500"/>
    <n v="500"/>
    <n v="500"/>
    <n v="500"/>
    <n v="500"/>
    <n v="500"/>
    <n v="500"/>
    <n v="500"/>
    <n v="500"/>
    <n v="0"/>
    <n v="0"/>
    <x v="0"/>
    <x v="0"/>
    <x v="0"/>
    <x v="0"/>
    <x v="0"/>
    <x v="0"/>
    <x v="0"/>
    <x v="0"/>
    <x v="0"/>
    <x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x v="0"/>
    <x v="2"/>
    <s v="71920                   "/>
    <x v="28"/>
    <x v="2"/>
    <x v="43"/>
  </r>
  <r>
    <x v="17"/>
    <x v="17"/>
    <x v="2567"/>
    <x v="2573"/>
    <n v="500"/>
    <n v="500"/>
    <n v="500"/>
    <n v="500"/>
    <n v="500"/>
    <n v="500"/>
    <n v="500"/>
    <n v="500"/>
    <n v="500"/>
    <n v="500"/>
    <n v="0"/>
    <n v="500"/>
    <n v="0"/>
    <n v="1000"/>
    <n v="500"/>
    <n v="500"/>
    <n v="500"/>
    <n v="500"/>
    <n v="500"/>
    <n v="500"/>
    <n v="500"/>
    <n v="500"/>
    <n v="500"/>
    <n v="500"/>
    <n v="0"/>
    <n v="0"/>
    <x v="0"/>
    <x v="0"/>
    <x v="0"/>
    <x v="0"/>
    <x v="0"/>
    <x v="0"/>
    <x v="0"/>
    <x v="0"/>
    <x v="0"/>
    <x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x v="0"/>
    <x v="2"/>
    <s v="71930                   "/>
    <x v="28"/>
    <x v="2"/>
    <x v="43"/>
  </r>
  <r>
    <x v="20"/>
    <x v="20"/>
    <x v="2598"/>
    <x v="2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s v="61210                   "/>
    <x v="20"/>
    <x v="2"/>
    <x v="24"/>
  </r>
  <r>
    <x v="21"/>
    <x v="21"/>
    <x v="2631"/>
    <x v="2635"/>
    <n v="7.67"/>
    <n v="7.67"/>
    <n v="7.67"/>
    <n v="7.67"/>
    <n v="7.67"/>
    <n v="7.67"/>
    <n v="7.67"/>
    <n v="7.67"/>
    <n v="7.67"/>
    <n v="10.23"/>
    <n v="7.67"/>
    <n v="7.67"/>
    <n v="7.67"/>
    <n v="7.67"/>
    <n v="7.67"/>
    <n v="38.75"/>
    <n v="15.44"/>
    <n v="15.44"/>
    <n v="27.54"/>
    <n v="100.17"/>
    <n v="182.46"/>
    <n v="44.76"/>
    <n v="44.76"/>
    <n v="44.76"/>
    <n v="0"/>
    <n v="0"/>
    <x v="0"/>
    <x v="0"/>
    <x v="0"/>
    <x v="0"/>
    <x v="0"/>
    <x v="0"/>
    <x v="0"/>
    <x v="0"/>
    <x v="0"/>
    <x v="0"/>
    <n v="7.67"/>
    <n v="7.67"/>
    <n v="7.67"/>
    <n v="7.67"/>
    <n v="7.67"/>
    <n v="7.67"/>
    <n v="7.67"/>
    <n v="7.67"/>
    <n v="7.67"/>
    <n v="7.67"/>
    <n v="7.67"/>
    <n v="7.67"/>
    <n v="8"/>
    <n v="7"/>
    <n v="8"/>
    <n v="8"/>
    <n v="8"/>
    <n v="8"/>
    <n v="8"/>
    <n v="8"/>
    <n v="8"/>
    <n v="8"/>
    <n v="8"/>
    <n v="8"/>
    <n v="37.35"/>
    <n v="37.35"/>
    <n v="37.35"/>
    <n v="37.35"/>
    <n v="37.35"/>
    <n v="37.35"/>
    <n v="37.35"/>
    <n v="37.35"/>
    <n v="37.35"/>
    <n v="37.35"/>
    <n v="37.35"/>
    <n v="37.35"/>
    <x v="0"/>
    <x v="7"/>
    <s v="91130                   "/>
    <x v="1"/>
    <x v="2"/>
    <x v="65"/>
  </r>
  <r>
    <x v="21"/>
    <x v="21"/>
    <x v="2632"/>
    <x v="2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1135                   "/>
    <x v="1"/>
    <x v="2"/>
    <x v="65"/>
  </r>
  <r>
    <x v="21"/>
    <x v="21"/>
    <x v="2641"/>
    <x v="2643"/>
    <n v="299.48"/>
    <n v="299.48"/>
    <n v="299.47000000000003"/>
    <n v="299.48"/>
    <n v="299.48"/>
    <n v="299.48"/>
    <n v="299.47000000000003"/>
    <n v="299.48"/>
    <n v="299.47000000000003"/>
    <n v="399.3"/>
    <n v="299.47000000000003"/>
    <n v="299.47000000000003"/>
    <n v="299.47000000000003"/>
    <n v="299.47000000000003"/>
    <n v="299.47000000000003"/>
    <n v="53.26"/>
    <n v="237.92"/>
    <n v="237.92"/>
    <n v="237.92"/>
    <n v="237.92"/>
    <n v="237.92"/>
    <n v="237.92"/>
    <n v="237.92"/>
    <n v="237.92"/>
    <n v="0"/>
    <n v="0"/>
    <x v="0"/>
    <x v="0"/>
    <x v="0"/>
    <x v="0"/>
    <x v="0"/>
    <x v="0"/>
    <x v="0"/>
    <x v="0"/>
    <x v="0"/>
    <x v="0"/>
    <n v="299.47000000000003"/>
    <n v="299.47000000000003"/>
    <n v="299.47000000000003"/>
    <n v="299.47000000000003"/>
    <n v="299.47000000000003"/>
    <n v="299.47000000000003"/>
    <n v="299.47000000000003"/>
    <n v="299.47000000000003"/>
    <n v="299.47000000000003"/>
    <n v="299.47000000000003"/>
    <n v="299.47000000000003"/>
    <n v="299.47000000000003"/>
    <n v="299"/>
    <n v="299"/>
    <n v="299"/>
    <n v="300"/>
    <n v="299"/>
    <n v="300"/>
    <n v="299"/>
    <n v="300"/>
    <n v="300"/>
    <n v="399"/>
    <n v="300"/>
    <n v="300"/>
    <n v="190.33"/>
    <n v="190.33"/>
    <n v="190.33"/>
    <n v="190.33"/>
    <n v="190.33"/>
    <n v="190.33"/>
    <n v="190.33"/>
    <n v="190.33"/>
    <n v="190.33"/>
    <n v="190.33"/>
    <n v="190.33"/>
    <n v="190.33"/>
    <x v="0"/>
    <x v="7"/>
    <s v="91175                   "/>
    <x v="1"/>
    <x v="2"/>
    <x v="65"/>
  </r>
  <r>
    <x v="21"/>
    <x v="21"/>
    <x v="2642"/>
    <x v="2644"/>
    <n v="122.62"/>
    <n v="122.62"/>
    <n v="122.62"/>
    <n v="122.61"/>
    <n v="122.61"/>
    <n v="122.61"/>
    <n v="122.62"/>
    <n v="122.61"/>
    <n v="122.62"/>
    <n v="163.49"/>
    <n v="122.62"/>
    <n v="122.62"/>
    <n v="122.62"/>
    <n v="122.62"/>
    <n v="122.62"/>
    <n v="21.79"/>
    <n v="97.41"/>
    <n v="97.41"/>
    <n v="97.41"/>
    <n v="97.41"/>
    <n v="97.41"/>
    <n v="97.41"/>
    <n v="97.41"/>
    <n v="97.41"/>
    <n v="0"/>
    <n v="0"/>
    <x v="0"/>
    <x v="0"/>
    <x v="0"/>
    <x v="0"/>
    <x v="0"/>
    <x v="0"/>
    <x v="0"/>
    <x v="0"/>
    <x v="0"/>
    <x v="0"/>
    <n v="122.62"/>
    <n v="122.62"/>
    <n v="122.62"/>
    <n v="122.62"/>
    <n v="122.62"/>
    <n v="122.62"/>
    <n v="122.62"/>
    <n v="122.62"/>
    <n v="122.62"/>
    <n v="122.62"/>
    <n v="122.62"/>
    <n v="122.62"/>
    <n v="123"/>
    <n v="122"/>
    <n v="123"/>
    <n v="122"/>
    <n v="123"/>
    <n v="122"/>
    <n v="123"/>
    <n v="122"/>
    <n v="123"/>
    <n v="163"/>
    <n v="123"/>
    <n v="123"/>
    <n v="77.930000000000007"/>
    <n v="77.930000000000007"/>
    <n v="77.930000000000007"/>
    <n v="77.930000000000007"/>
    <n v="77.930000000000007"/>
    <n v="77.930000000000007"/>
    <n v="77.930000000000007"/>
    <n v="77.930000000000007"/>
    <n v="77.930000000000007"/>
    <n v="77.930000000000007"/>
    <n v="77.930000000000007"/>
    <n v="77.930000000000007"/>
    <x v="0"/>
    <x v="7"/>
    <s v="91180                   "/>
    <x v="1"/>
    <x v="2"/>
    <x v="65"/>
  </r>
  <r>
    <x v="21"/>
    <x v="21"/>
    <x v="2654"/>
    <x v="2656"/>
    <n v="79.3"/>
    <n v="79.3"/>
    <n v="79.3"/>
    <n v="79.3"/>
    <n v="79.3"/>
    <n v="79.3"/>
    <n v="79.3"/>
    <n v="79.3"/>
    <n v="79.3"/>
    <n v="105.73"/>
    <n v="79.3"/>
    <n v="79.3"/>
    <n v="79.3"/>
    <n v="79.3"/>
    <n v="79.3"/>
    <n v="14.1"/>
    <n v="63"/>
    <n v="63"/>
    <n v="63"/>
    <n v="63"/>
    <n v="63"/>
    <n v="63"/>
    <n v="63"/>
    <n v="63"/>
    <n v="0"/>
    <n v="0"/>
    <x v="0"/>
    <x v="0"/>
    <x v="0"/>
    <x v="0"/>
    <x v="0"/>
    <x v="0"/>
    <x v="0"/>
    <x v="0"/>
    <x v="0"/>
    <x v="0"/>
    <n v="79.3"/>
    <n v="79.3"/>
    <n v="79.3"/>
    <n v="79.3"/>
    <n v="79.3"/>
    <n v="79.3"/>
    <n v="79.3"/>
    <n v="79.3"/>
    <n v="79.3"/>
    <n v="79.3"/>
    <n v="79.3"/>
    <n v="79.3"/>
    <n v="79"/>
    <n v="79"/>
    <n v="79"/>
    <n v="80"/>
    <n v="79"/>
    <n v="80"/>
    <n v="79"/>
    <n v="80"/>
    <n v="79"/>
    <n v="106"/>
    <n v="79"/>
    <n v="79"/>
    <n v="50.4"/>
    <n v="50.4"/>
    <n v="50.4"/>
    <n v="50.4"/>
    <n v="50.4"/>
    <n v="50.4"/>
    <n v="50.4"/>
    <n v="50.4"/>
    <n v="50.4"/>
    <n v="50.4"/>
    <n v="50.4"/>
    <n v="50.4"/>
    <x v="0"/>
    <x v="6"/>
    <s v="91240                   "/>
    <x v="1"/>
    <x v="2"/>
    <x v="65"/>
  </r>
  <r>
    <x v="23"/>
    <x v="23"/>
    <x v="2658"/>
    <x v="2660"/>
    <n v="183.53"/>
    <n v="174.55"/>
    <n v="186.9"/>
    <n v="0"/>
    <n v="276.85000000000002"/>
    <n v="285.67"/>
    <n v="0"/>
    <n v="416.97"/>
    <n v="214.68"/>
    <n v="189.39"/>
    <n v="0"/>
    <n v="500.03"/>
    <n v="0"/>
    <n v="0"/>
    <n v="0"/>
    <n v="756.17"/>
    <n v="185.04"/>
    <n v="499.28"/>
    <n v="179.43"/>
    <n v="236.15"/>
    <n v="800.28"/>
    <n v="179.38"/>
    <n v="174.11"/>
    <n v="183.4"/>
    <n v="255.57"/>
    <n v="0"/>
    <x v="0"/>
    <x v="0"/>
    <x v="0"/>
    <x v="0"/>
    <x v="0"/>
    <x v="0"/>
    <x v="0"/>
    <x v="0"/>
    <x v="0"/>
    <x v="0"/>
    <n v="167"/>
    <n v="167"/>
    <n v="167"/>
    <n v="167"/>
    <n v="167"/>
    <n v="167"/>
    <n v="167"/>
    <n v="167"/>
    <n v="167"/>
    <n v="167"/>
    <n v="167"/>
    <n v="167"/>
    <n v="183"/>
    <n v="175"/>
    <n v="187"/>
    <n v="0"/>
    <n v="277"/>
    <n v="286"/>
    <n v="0"/>
    <n v="417"/>
    <n v="215"/>
    <n v="189"/>
    <n v="0"/>
    <n v="500"/>
    <n v="230"/>
    <n v="230"/>
    <n v="230"/>
    <n v="230"/>
    <n v="230"/>
    <n v="230"/>
    <n v="230"/>
    <n v="230"/>
    <n v="230"/>
    <n v="230"/>
    <n v="230"/>
    <n v="230"/>
    <x v="0"/>
    <x v="3"/>
    <s v="71220                   "/>
    <x v="1"/>
    <x v="2"/>
    <x v="66"/>
  </r>
  <r>
    <x v="23"/>
    <x v="23"/>
    <x v="2660"/>
    <x v="2626"/>
    <n v="0"/>
    <n v="0"/>
    <n v="0"/>
    <n v="0"/>
    <n v="0"/>
    <n v="0"/>
    <n v="0"/>
    <n v="0"/>
    <n v="0"/>
    <n v="0"/>
    <n v="0"/>
    <n v="-4.33"/>
    <n v="-2.14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33"/>
    <n v="0"/>
    <n v="0"/>
    <n v="0"/>
    <n v="0"/>
    <n v="0"/>
    <n v="0"/>
    <n v="0"/>
    <n v="0"/>
    <n v="0"/>
    <n v="0"/>
    <n v="0"/>
    <n v="0"/>
    <x v="0"/>
    <x v="3"/>
    <s v="71240                   "/>
    <x v="1"/>
    <x v="2"/>
    <x v="52"/>
  </r>
  <r>
    <x v="23"/>
    <x v="23"/>
    <x v="2661"/>
    <x v="2662"/>
    <n v="23.34"/>
    <n v="14.28"/>
    <n v="12.81"/>
    <n v="28.54"/>
    <n v="12.89"/>
    <n v="4.93"/>
    <n v="17.420000000000002"/>
    <n v="19.579999999999998"/>
    <n v="44.39"/>
    <n v="16.600000000000001"/>
    <n v="17.03"/>
    <n v="35.200000000000003"/>
    <n v="30"/>
    <n v="28.39"/>
    <n v="21.36"/>
    <n v="12.28"/>
    <n v="29.89"/>
    <n v="22.16"/>
    <n v="24.31"/>
    <n v="25.8"/>
    <n v="40.11"/>
    <n v="353.23"/>
    <n v="409.08"/>
    <n v="509.77"/>
    <n v="370.82"/>
    <n v="0.31"/>
    <x v="0"/>
    <x v="0"/>
    <x v="0"/>
    <x v="0"/>
    <x v="0"/>
    <x v="0"/>
    <x v="0"/>
    <x v="0"/>
    <x v="0"/>
    <x v="0"/>
    <n v="23.38"/>
    <n v="22.29"/>
    <n v="23.75"/>
    <n v="23.19"/>
    <n v="24.96"/>
    <n v="20.91"/>
    <n v="24.01"/>
    <n v="24.01"/>
    <n v="33.32"/>
    <n v="19.809999999999999"/>
    <n v="18.989999999999998"/>
    <n v="22.6"/>
    <n v="23"/>
    <n v="14"/>
    <n v="13"/>
    <n v="29"/>
    <n v="13"/>
    <n v="5"/>
    <n v="17"/>
    <n v="20"/>
    <n v="44"/>
    <n v="17"/>
    <n v="17"/>
    <n v="22"/>
    <n v="30"/>
    <n v="30"/>
    <n v="30"/>
    <n v="30"/>
    <n v="30"/>
    <n v="30"/>
    <n v="30"/>
    <n v="30"/>
    <n v="30"/>
    <n v="30"/>
    <n v="30"/>
    <n v="30"/>
    <x v="0"/>
    <x v="3"/>
    <s v="71320                   "/>
    <x v="1"/>
    <x v="2"/>
    <x v="52"/>
  </r>
  <r>
    <x v="23"/>
    <x v="23"/>
    <x v="2666"/>
    <x v="2667"/>
    <n v="0"/>
    <n v="0"/>
    <n v="0"/>
    <n v="0"/>
    <n v="3996"/>
    <n v="784"/>
    <n v="814"/>
    <n v="794"/>
    <n v="874"/>
    <n v="864"/>
    <n v="809"/>
    <n v="772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120                   "/>
    <x v="1"/>
    <x v="2"/>
    <x v="66"/>
  </r>
  <r>
    <x v="23"/>
    <x v="23"/>
    <x v="2667"/>
    <x v="2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140                   "/>
    <x v="1"/>
    <x v="2"/>
    <x v="68"/>
  </r>
  <r>
    <x v="23"/>
    <x v="23"/>
    <x v="2668"/>
    <x v="2669"/>
    <n v="0"/>
    <n v="0"/>
    <n v="0"/>
    <n v="0"/>
    <n v="0"/>
    <n v="7.84"/>
    <n v="2.85"/>
    <n v="0"/>
    <n v="0"/>
    <n v="0"/>
    <n v="0"/>
    <n v="0"/>
    <n v="0"/>
    <n v="0"/>
    <n v="0"/>
    <n v="0"/>
    <n v="0"/>
    <n v="0"/>
    <n v="0"/>
    <n v="0"/>
    <n v="2.52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150                   "/>
    <x v="1"/>
    <x v="2"/>
    <x v="66"/>
  </r>
  <r>
    <x v="23"/>
    <x v="23"/>
    <x v="2673"/>
    <x v="2674"/>
    <n v="0"/>
    <n v="0"/>
    <n v="0"/>
    <n v="0"/>
    <n v="0"/>
    <n v="0"/>
    <n v="0"/>
    <n v="0"/>
    <n v="0"/>
    <n v="0"/>
    <n v="0"/>
    <n v="719.41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200                   "/>
    <x v="1"/>
    <x v="2"/>
    <x v="66"/>
  </r>
  <r>
    <x v="24"/>
    <x v="24"/>
    <x v="2693"/>
    <x v="2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000                   "/>
    <x v="1"/>
    <x v="2"/>
    <x v="69"/>
  </r>
  <r>
    <x v="26"/>
    <x v="26"/>
    <x v="2696"/>
    <x v="2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7"/>
    <s v="92130                   "/>
    <x v="1"/>
    <x v="2"/>
    <x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gridDropZones="1" multipleFieldFilters="0" fieldListSortAscending="1">
  <location ref="A8:N35" firstHeaderRow="1" firstDataRow="2" firstDataCol="2" rowPageCount="6" colPageCount="1"/>
  <pivotFields count="82">
    <pivotField axis="axisPage" compact="0" multipleItemSelectionAllowed="1" showAll="0">
      <items count="30">
        <item x="1"/>
        <item x="0"/>
        <item h="1" x="27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m="1" x="28"/>
        <item t="default"/>
      </items>
    </pivotField>
    <pivotField axis="axisPage" compact="0" showAll="0">
      <items count="29">
        <item sd="0" x="22"/>
        <item sd="0" x="20"/>
        <item sd="0" x="27"/>
        <item x="2"/>
        <item sd="0" x="21"/>
        <item sd="0" x="19"/>
        <item sd="0" x="17"/>
        <item sd="0" x="24"/>
        <item sd="0" x="23"/>
        <item sd="0" x="18"/>
        <item sd="0" x="26"/>
        <item sd="0" x="25"/>
        <item sd="0" x="1"/>
        <item sd="0" x="0"/>
        <item sd="0" x="16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sd="0" x="14"/>
        <item x="15"/>
        <item t="default" sd="0"/>
      </items>
    </pivotField>
    <pivotField axis="axisPage" compact="0" outline="0" showAll="0" sortType="ascending" defaultSubtotal="0">
      <items count="2704"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699"/>
        <item x="2587"/>
        <item x="2588"/>
        <item x="2589"/>
        <item x="2590"/>
        <item x="2591"/>
        <item x="259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2700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63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764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765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766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767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768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769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93"/>
        <item x="2594"/>
        <item x="710"/>
        <item x="2595"/>
        <item x="2596"/>
        <item x="711"/>
        <item x="2597"/>
        <item x="712"/>
        <item x="713"/>
        <item x="714"/>
        <item x="715"/>
        <item x="716"/>
        <item x="717"/>
        <item x="718"/>
        <item x="2598"/>
        <item x="2599"/>
        <item x="2600"/>
        <item x="2601"/>
        <item x="2602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2701"/>
        <item x="733"/>
        <item x="734"/>
        <item x="735"/>
        <item x="736"/>
        <item x="737"/>
        <item x="738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2603"/>
        <item x="2604"/>
        <item x="2605"/>
        <item x="757"/>
        <item x="2606"/>
        <item x="2607"/>
        <item x="2608"/>
        <item x="758"/>
        <item x="2609"/>
        <item x="759"/>
        <item x="760"/>
        <item x="2610"/>
        <item x="2611"/>
        <item x="2612"/>
        <item x="2613"/>
        <item x="2614"/>
        <item x="2615"/>
        <item x="2616"/>
        <item x="2617"/>
        <item x="2618"/>
        <item x="2619"/>
        <item x="761"/>
        <item x="2620"/>
        <item x="2218"/>
        <item x="1930"/>
        <item x="1931"/>
        <item x="1932"/>
        <item x="1933"/>
        <item x="1934"/>
        <item x="2174"/>
        <item x="1935"/>
        <item x="2175"/>
        <item x="1936"/>
        <item x="1937"/>
        <item x="2657"/>
        <item x="1952"/>
        <item x="2658"/>
        <item x="2659"/>
        <item x="2660"/>
        <item x="2226"/>
        <item x="2182"/>
        <item x="2183"/>
        <item x="2184"/>
        <item x="2185"/>
        <item x="2219"/>
        <item x="2186"/>
        <item x="2661"/>
        <item x="2178"/>
        <item x="2237"/>
        <item x="2238"/>
        <item x="2176"/>
        <item x="2223"/>
        <item x="2220"/>
        <item x="2221"/>
        <item x="2222"/>
        <item x="2571"/>
        <item x="2187"/>
        <item x="2188"/>
        <item x="2179"/>
        <item x="2224"/>
        <item x="2189"/>
        <item x="2227"/>
        <item x="2180"/>
        <item x="2225"/>
        <item x="2190"/>
        <item x="2181"/>
        <item x="2191"/>
        <item x="770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572"/>
        <item x="2135"/>
        <item x="2136"/>
        <item x="2239"/>
        <item x="2662"/>
        <item x="2137"/>
        <item x="2138"/>
        <item x="2139"/>
        <item x="2140"/>
        <item x="2192"/>
        <item x="2177"/>
        <item x="771"/>
        <item x="772"/>
        <item x="773"/>
        <item x="774"/>
        <item x="2663"/>
        <item x="2193"/>
        <item x="2194"/>
        <item x="2195"/>
        <item x="2196"/>
        <item x="2197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64"/>
        <item x="2641"/>
        <item x="2642"/>
        <item x="2656"/>
        <item x="2643"/>
        <item x="2644"/>
        <item x="2645"/>
        <item x="2646"/>
        <item x="2693"/>
        <item x="2695"/>
        <item x="2665"/>
        <item x="2666"/>
        <item x="2573"/>
        <item x="269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94"/>
        <item x="2680"/>
        <item x="2574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1938"/>
        <item x="1939"/>
        <item x="1940"/>
        <item x="2228"/>
        <item x="775"/>
        <item x="776"/>
        <item x="2198"/>
        <item x="2199"/>
        <item x="2200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2141"/>
        <item x="2142"/>
        <item x="2143"/>
        <item x="2144"/>
        <item x="2145"/>
        <item x="2146"/>
        <item x="2147"/>
        <item x="2148"/>
        <item x="802"/>
        <item x="2149"/>
        <item x="2201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2229"/>
        <item x="1751"/>
        <item x="1752"/>
        <item x="1753"/>
        <item x="270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202"/>
        <item x="1941"/>
        <item x="1942"/>
        <item x="1943"/>
        <item x="2230"/>
        <item x="2231"/>
        <item x="2203"/>
        <item x="2204"/>
        <item x="2205"/>
        <item x="223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762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703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206"/>
        <item x="2207"/>
        <item x="1783"/>
        <item x="2559"/>
        <item x="2560"/>
        <item x="2561"/>
        <item x="1784"/>
        <item x="2562"/>
        <item x="1785"/>
        <item x="2563"/>
        <item x="2564"/>
        <item x="2565"/>
        <item x="1786"/>
        <item x="1787"/>
        <item x="1788"/>
        <item x="1789"/>
        <item x="1790"/>
        <item x="2208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2209"/>
        <item x="2210"/>
        <item x="1855"/>
        <item x="1856"/>
        <item x="1857"/>
        <item x="1858"/>
        <item x="1859"/>
        <item x="2168"/>
        <item x="2169"/>
        <item x="2170"/>
        <item x="2171"/>
        <item x="2566"/>
        <item x="2567"/>
        <item x="2568"/>
        <item x="2240"/>
        <item x="2211"/>
        <item x="2212"/>
        <item x="2213"/>
        <item x="2214"/>
        <item x="2215"/>
        <item x="1860"/>
        <item x="1861"/>
        <item x="1944"/>
        <item x="1945"/>
        <item x="2172"/>
        <item x="2173"/>
        <item x="1946"/>
        <item x="1947"/>
        <item x="1948"/>
        <item x="1949"/>
        <item x="1950"/>
        <item x="1951"/>
        <item x="1862"/>
        <item x="1863"/>
        <item x="1864"/>
        <item x="1865"/>
        <item x="1866"/>
        <item x="1867"/>
        <item x="1868"/>
        <item x="1869"/>
        <item x="1870"/>
        <item x="1871"/>
        <item x="2233"/>
        <item x="2234"/>
        <item x="2235"/>
        <item x="2236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2216"/>
        <item x="2217"/>
        <item x="1925"/>
        <item x="1926"/>
        <item x="2647"/>
        <item x="2648"/>
        <item x="2649"/>
        <item x="2650"/>
        <item x="2651"/>
        <item x="2652"/>
        <item x="2653"/>
        <item x="2569"/>
        <item x="2570"/>
        <item x="2241"/>
        <item x="2242"/>
        <item x="1927"/>
        <item x="1928"/>
        <item x="1929"/>
        <item x="2654"/>
        <item x="2655"/>
        <item x="2"/>
        <item x="3"/>
        <item x="4"/>
        <item x="0"/>
        <item x="5"/>
        <item x="6"/>
        <item x="1"/>
        <item x="7"/>
        <item x="8"/>
        <item x="9"/>
        <item x="10"/>
        <item x="11"/>
        <item x="12"/>
        <item x="2697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98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</items>
    </pivotField>
    <pivotField axis="axisPage" compact="0" showAll="0">
      <items count="2796">
        <item m="1" x="2731"/>
        <item x="762"/>
        <item m="1" x="2771"/>
        <item m="1" x="2745"/>
        <item x="2487"/>
        <item x="837"/>
        <item x="838"/>
        <item x="777"/>
        <item x="1959"/>
        <item x="1961"/>
        <item x="1962"/>
        <item x="1963"/>
        <item x="1964"/>
        <item x="1965"/>
        <item x="1966"/>
        <item x="1967"/>
        <item x="1969"/>
        <item x="1970"/>
        <item x="1971"/>
        <item x="2550"/>
        <item x="883"/>
        <item x="884"/>
        <item x="890"/>
        <item x="891"/>
        <item x="892"/>
        <item x="893"/>
        <item x="894"/>
        <item x="896"/>
        <item x="897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5"/>
        <item x="1056"/>
        <item x="1057"/>
        <item x="1058"/>
        <item x="1243"/>
        <item x="1244"/>
        <item x="1245"/>
        <item x="1247"/>
        <item x="1265"/>
        <item x="1511"/>
        <item x="1512"/>
        <item x="1513"/>
        <item x="1514"/>
        <item x="1515"/>
        <item x="1516"/>
        <item x="1518"/>
        <item x="1592"/>
        <item x="1613"/>
        <item x="1624"/>
        <item x="1625"/>
        <item x="1626"/>
        <item x="1688"/>
        <item x="1689"/>
        <item x="1690"/>
        <item x="1691"/>
        <item x="1692"/>
        <item x="1693"/>
        <item x="1695"/>
        <item x="1349"/>
        <item x="1350"/>
        <item x="1351"/>
        <item x="1352"/>
        <item x="1353"/>
        <item x="1354"/>
        <item x="1356"/>
        <item x="1301"/>
        <item x="1302"/>
        <item x="1303"/>
        <item x="1304"/>
        <item x="1305"/>
        <item x="1729"/>
        <item x="2354"/>
        <item x="343"/>
        <item x="2513"/>
        <item x="2532"/>
        <item x="2488"/>
        <item x="2355"/>
        <item x="344"/>
        <item x="2489"/>
        <item x="2356"/>
        <item x="345"/>
        <item x="2490"/>
        <item x="2357"/>
        <item x="346"/>
        <item x="2491"/>
        <item x="2358"/>
        <item x="347"/>
        <item x="2492"/>
        <item x="2359"/>
        <item x="348"/>
        <item x="2514"/>
        <item x="2533"/>
        <item x="2493"/>
        <item x="2360"/>
        <item x="349"/>
        <item x="2494"/>
        <item x="2361"/>
        <item x="350"/>
        <item x="2534"/>
        <item x="2495"/>
        <item x="2362"/>
        <item x="351"/>
        <item x="2515"/>
        <item x="2535"/>
        <item x="2496"/>
        <item x="2363"/>
        <item x="352"/>
        <item x="2516"/>
        <item x="2497"/>
        <item x="2364"/>
        <item x="353"/>
        <item x="2517"/>
        <item x="2498"/>
        <item x="2365"/>
        <item x="354"/>
        <item x="2518"/>
        <item x="2499"/>
        <item x="2367"/>
        <item x="356"/>
        <item x="2537"/>
        <item x="2501"/>
        <item x="2368"/>
        <item x="357"/>
        <item x="2520"/>
        <item x="2538"/>
        <item x="2502"/>
        <item x="2369"/>
        <item x="358"/>
        <item x="2503"/>
        <item x="2370"/>
        <item x="359"/>
        <item x="2521"/>
        <item x="2504"/>
        <item x="26"/>
        <item x="28"/>
        <item x="29"/>
        <item x="30"/>
        <item x="32"/>
        <item x="33"/>
        <item x="34"/>
        <item x="35"/>
        <item x="36"/>
        <item x="38"/>
        <item x="39"/>
        <item x="41"/>
        <item x="2223"/>
        <item m="1" x="2721"/>
        <item m="1" x="2768"/>
        <item m="1" x="2777"/>
        <item m="1" x="2714"/>
        <item x="61"/>
        <item x="62"/>
        <item x="2648"/>
        <item x="2180"/>
        <item x="1937"/>
        <item x="1936"/>
        <item x="1954"/>
        <item x="1955"/>
        <item x="1956"/>
        <item x="1958"/>
        <item x="2660"/>
        <item x="2614"/>
        <item x="337"/>
        <item x="2649"/>
        <item x="2263"/>
        <item x="763"/>
        <item x="2264"/>
        <item x="2265"/>
        <item x="1987"/>
        <item x="2551"/>
        <item x="2552"/>
        <item x="885"/>
        <item x="886"/>
        <item x="805"/>
        <item x="89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2"/>
        <item x="1073"/>
        <item x="1074"/>
        <item x="1075"/>
        <item x="1266"/>
        <item x="1267"/>
        <item x="1268"/>
        <item x="1269"/>
        <item x="1270"/>
        <item x="1271"/>
        <item x="1272"/>
        <item x="1274"/>
        <item x="1275"/>
        <item x="1276"/>
        <item x="1277"/>
        <item x="1696"/>
        <item x="2372"/>
        <item x="383"/>
        <item x="2373"/>
        <item x="384"/>
        <item x="2374"/>
        <item x="385"/>
        <item x="2375"/>
        <item x="386"/>
        <item x="2376"/>
        <item x="387"/>
        <item x="388"/>
        <item x="2377"/>
        <item x="2378"/>
        <item x="389"/>
        <item x="2379"/>
        <item x="390"/>
        <item x="2380"/>
        <item x="391"/>
        <item x="2381"/>
        <item x="392"/>
        <item x="2382"/>
        <item x="393"/>
        <item x="2383"/>
        <item x="394"/>
        <item x="2385"/>
        <item x="396"/>
        <item x="2386"/>
        <item x="397"/>
        <item x="2387"/>
        <item x="398"/>
        <item x="2388"/>
        <item x="399"/>
        <item x="65"/>
        <item x="66"/>
        <item x="67"/>
        <item x="68"/>
        <item x="69"/>
        <item x="70"/>
        <item x="72"/>
        <item x="758"/>
        <item x="23"/>
        <item x="338"/>
        <item x="760"/>
        <item x="342"/>
        <item x="1785"/>
        <item x="2650"/>
        <item x="2627"/>
        <item x="2628"/>
        <item x="2629"/>
        <item x="2630"/>
        <item x="2651"/>
        <item x="2652"/>
        <item x="2599"/>
        <item x="761"/>
        <item x="2603"/>
        <item x="309"/>
        <item x="313"/>
        <item x="2601"/>
        <item x="711"/>
        <item x="318"/>
        <item x="319"/>
        <item x="2631"/>
        <item x="2632"/>
        <item x="2633"/>
        <item x="2695"/>
        <item x="2615"/>
        <item x="339"/>
        <item x="2661"/>
        <item x="2232"/>
        <item x="2187"/>
        <item m="1" x="2715"/>
        <item x="2188"/>
        <item x="2189"/>
        <item x="2190"/>
        <item x="2224"/>
        <item x="2609"/>
        <item x="331"/>
        <item x="759"/>
        <item x="340"/>
        <item x="2191"/>
        <item x="2662"/>
        <item x="341"/>
        <item x="757"/>
        <item x="334"/>
        <item x="1930"/>
        <item x="1788"/>
        <item x="2182"/>
        <item x="2221"/>
        <item x="1988"/>
        <item x="1989"/>
        <item x="1990"/>
        <item x="1991"/>
        <item x="1992"/>
        <item x="1993"/>
        <item x="1995"/>
        <item x="1997"/>
        <item x="1998"/>
        <item x="2268"/>
        <item x="779"/>
        <item x="2269"/>
        <item x="2270"/>
        <item x="1874"/>
        <item x="1875"/>
        <item x="1876"/>
        <item x="1877"/>
        <item x="1878"/>
        <item x="1879"/>
        <item x="1881"/>
        <item x="1882"/>
        <item m="1" x="278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5"/>
        <item x="416"/>
        <item x="417"/>
        <item x="418"/>
        <item x="75"/>
        <item x="77"/>
        <item x="78"/>
        <item x="80"/>
        <item x="81"/>
        <item x="82"/>
        <item x="84"/>
        <item x="88"/>
        <item x="89"/>
        <item x="2170"/>
        <item x="2634"/>
        <item x="2635"/>
        <item x="2636"/>
        <item x="2637"/>
        <item x="2638"/>
        <item x="2639"/>
        <item x="2640"/>
        <item x="2656"/>
        <item x="2641"/>
        <item x="2642"/>
        <item x="2653"/>
        <item x="2606"/>
        <item x="719"/>
        <item x="2198"/>
        <item x="839"/>
        <item x="840"/>
        <item x="1999"/>
        <item x="2001"/>
        <item x="2002"/>
        <item x="2003"/>
        <item x="2004"/>
        <item x="2006"/>
        <item x="2000"/>
        <item x="780"/>
        <item x="806"/>
        <item x="807"/>
        <item x="809"/>
        <item x="810"/>
        <item x="811"/>
        <item x="812"/>
        <item x="814"/>
        <item x="815"/>
        <item x="1211"/>
        <item x="1278"/>
        <item x="1279"/>
        <item x="1280"/>
        <item x="1281"/>
        <item x="1282"/>
        <item x="1283"/>
        <item x="1284"/>
        <item x="1285"/>
        <item x="1287"/>
        <item x="1288"/>
        <item x="1289"/>
        <item x="1290"/>
        <item x="1883"/>
        <item x="1884"/>
        <item x="1885"/>
        <item x="1886"/>
        <item x="1887"/>
        <item x="1888"/>
        <item x="1889"/>
        <item x="1890"/>
        <item x="1891"/>
        <item x="1892"/>
        <item x="1894"/>
        <item x="1895"/>
        <item x="1896"/>
        <item x="1897"/>
        <item x="1459"/>
        <item x="1460"/>
        <item x="1461"/>
        <item x="1414"/>
        <item x="1415"/>
        <item x="1416"/>
        <item x="1417"/>
        <item x="1418"/>
        <item x="1419"/>
        <item x="1420"/>
        <item x="1421"/>
        <item x="1422"/>
        <item x="1519"/>
        <item x="1520"/>
        <item x="1521"/>
        <item x="1522"/>
        <item x="1523"/>
        <item x="1524"/>
        <item x="1525"/>
        <item x="1526"/>
        <item x="1527"/>
        <item x="1593"/>
        <item x="2273"/>
        <item x="2274"/>
        <item x="2275"/>
        <item x="1697"/>
        <item x="1698"/>
        <item x="1699"/>
        <item x="1700"/>
        <item x="1701"/>
        <item x="1703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70"/>
        <item x="1371"/>
        <item x="1372"/>
        <item x="1373"/>
        <item x="1786"/>
        <item x="1306"/>
        <item x="1307"/>
        <item x="1308"/>
        <item x="1309"/>
        <item m="1" x="2758"/>
        <item x="1919"/>
        <item x="1921"/>
        <item x="1923"/>
        <item x="1925"/>
        <item m="1" x="2766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2654"/>
        <item x="2610"/>
        <item x="332"/>
        <item x="2579"/>
        <item x="2626"/>
        <item x="2693"/>
        <item x="2705"/>
        <item x="2604"/>
        <item x="2600"/>
        <item x="311"/>
        <item x="2666"/>
        <item x="2667"/>
        <item x="2183"/>
        <item x="2243"/>
        <item x="2139"/>
        <item x="1938"/>
        <item x="1933"/>
        <item x="1939"/>
        <item x="1934"/>
        <item x="1935"/>
        <item x="2664"/>
        <item x="2137"/>
        <item x="2144"/>
        <item x="2146"/>
        <item x="2145"/>
        <item x="2197"/>
        <item x="2143"/>
        <item x="2138"/>
        <item x="2132"/>
        <item x="2133"/>
        <item x="2134"/>
        <item x="2135"/>
        <item x="769"/>
        <item x="1932"/>
        <item m="1" x="2778"/>
        <item x="2140"/>
        <item x="2578"/>
        <item x="2141"/>
        <item x="771"/>
        <item x="772"/>
        <item x="773"/>
        <item x="770"/>
        <item x="2142"/>
        <item x="2130"/>
        <item x="2196"/>
        <item x="2136"/>
        <item x="2665"/>
        <item x="2244"/>
        <item x="2696"/>
        <item x="2668"/>
        <item x="2181"/>
        <item m="1" x="2754"/>
        <item x="2669"/>
        <item x="2670"/>
        <item x="2671"/>
        <item x="2686"/>
        <item x="2672"/>
        <item x="2673"/>
        <item x="2674"/>
        <item x="2680"/>
        <item x="2681"/>
        <item x="2676"/>
        <item x="2691"/>
        <item x="2692"/>
        <item x="2677"/>
        <item x="2687"/>
        <item x="2688"/>
        <item x="2683"/>
        <item x="2684"/>
        <item x="2679"/>
        <item x="2689"/>
        <item x="2678"/>
        <item x="2682"/>
        <item x="2675"/>
        <item x="2690"/>
        <item x="2685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2701"/>
        <item x="734"/>
        <item x="735"/>
        <item x="736"/>
        <item x="737"/>
        <item x="2611"/>
        <item x="333"/>
        <item x="2612"/>
        <item x="335"/>
        <item x="2229"/>
        <item x="851"/>
        <item x="852"/>
        <item x="853"/>
        <item x="854"/>
        <item x="855"/>
        <item x="856"/>
        <item x="857"/>
        <item x="858"/>
        <item x="860"/>
        <item x="871"/>
        <item x="872"/>
        <item x="873"/>
        <item x="874"/>
        <item x="875"/>
        <item x="876"/>
        <item x="877"/>
        <item x="878"/>
        <item x="880"/>
        <item x="88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4"/>
        <item x="2085"/>
        <item x="2086"/>
        <item x="2087"/>
        <item x="2558"/>
        <item x="2559"/>
        <item x="2318"/>
        <item x="789"/>
        <item x="1717"/>
        <item x="1718"/>
        <item x="1719"/>
        <item x="1720"/>
        <item x="1721"/>
        <item x="1722"/>
        <item x="1723"/>
        <item x="1724"/>
        <item x="1726"/>
        <item x="1727"/>
        <item x="2319"/>
        <item x="2320"/>
        <item x="888"/>
        <item x="889"/>
        <item x="827"/>
        <item x="828"/>
        <item x="829"/>
        <item x="830"/>
        <item x="831"/>
        <item x="832"/>
        <item x="834"/>
        <item x="984"/>
        <item x="985"/>
        <item x="986"/>
        <item x="987"/>
        <item x="988"/>
        <item x="990"/>
        <item x="1155"/>
        <item x="1156"/>
        <item x="1157"/>
        <item x="1158"/>
        <item x="1230"/>
        <item x="1231"/>
        <item x="1232"/>
        <item x="1233"/>
        <item x="1234"/>
        <item x="1235"/>
        <item x="1236"/>
        <item x="1237"/>
        <item x="1240"/>
        <item x="1241"/>
        <item x="1261"/>
        <item x="1262"/>
        <item x="1263"/>
        <item x="1264"/>
        <item x="1296"/>
        <item x="1297"/>
        <item x="1298"/>
        <item x="1452"/>
        <item x="1453"/>
        <item x="1454"/>
        <item x="1455"/>
        <item x="1456"/>
        <item x="1457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501"/>
        <item x="1502"/>
        <item x="1503"/>
        <item x="1504"/>
        <item x="1505"/>
        <item x="1506"/>
        <item x="1507"/>
        <item x="1508"/>
        <item x="1510"/>
        <item x="1438"/>
        <item x="1439"/>
        <item x="1440"/>
        <item x="1441"/>
        <item x="1442"/>
        <item x="1443"/>
        <item x="1445"/>
        <item x="1444"/>
        <item x="1446"/>
        <item x="1448"/>
        <item x="1449"/>
        <item x="1450"/>
        <item x="1548"/>
        <item x="1549"/>
        <item x="1550"/>
        <item x="1551"/>
        <item x="1552"/>
        <item x="1553"/>
        <item x="1554"/>
        <item x="1555"/>
        <item x="1556"/>
        <item x="1558"/>
        <item x="1559"/>
        <item x="1560"/>
        <item x="1564"/>
        <item x="1565"/>
        <item x="1566"/>
        <item x="1567"/>
        <item x="1568"/>
        <item x="1569"/>
        <item x="1570"/>
        <item m="1" x="2761"/>
        <item m="1" x="2738"/>
        <item m="1" x="2724"/>
        <item m="1" x="2711"/>
        <item m="1" x="2750"/>
        <item m="1" x="2787"/>
        <item m="1" x="2759"/>
        <item m="1" x="2747"/>
        <item m="1" x="2720"/>
        <item m="1" x="2789"/>
        <item m="1" x="2792"/>
        <item x="1602"/>
        <item x="1603"/>
        <item x="1604"/>
        <item x="1605"/>
        <item x="1606"/>
        <item x="1607"/>
        <item x="1608"/>
        <item x="1609"/>
        <item x="1610"/>
        <item x="1612"/>
        <item x="1677"/>
        <item x="1678"/>
        <item x="1679"/>
        <item x="1680"/>
        <item x="1681"/>
        <item x="1682"/>
        <item x="1683"/>
        <item x="1684"/>
        <item x="1686"/>
        <item x="1614"/>
        <item x="1615"/>
        <item x="1616"/>
        <item x="1617"/>
        <item x="1618"/>
        <item x="1619"/>
        <item x="1620"/>
        <item x="1621"/>
        <item x="1623"/>
        <item x="1633"/>
        <item x="1634"/>
        <item x="1635"/>
        <item x="1636"/>
        <item x="1637"/>
        <item x="1638"/>
        <item x="1639"/>
        <item x="1640"/>
        <item x="1641"/>
        <item x="1643"/>
        <item x="1662"/>
        <item x="1664"/>
        <item x="1665"/>
        <item x="1666"/>
        <item x="1687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337"/>
        <item x="1338"/>
        <item x="1339"/>
        <item x="1340"/>
        <item x="1341"/>
        <item x="1342"/>
        <item x="1343"/>
        <item x="1344"/>
        <item x="1346"/>
        <item x="1347"/>
        <item x="1348"/>
        <item x="1731"/>
        <item x="1732"/>
        <item x="1733"/>
        <item x="1734"/>
        <item x="1735"/>
        <item x="1736"/>
        <item x="1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2"/>
        <item x="753"/>
        <item x="754"/>
        <item x="755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5"/>
        <item x="236"/>
        <item x="237"/>
        <item x="238"/>
        <item m="1" x="2734"/>
        <item x="2643"/>
        <item x="2185"/>
        <item x="2225"/>
        <item x="2227"/>
        <item x="2226"/>
        <item x="24"/>
        <item x="841"/>
        <item x="842"/>
        <item x="843"/>
        <item x="844"/>
        <item x="845"/>
        <item x="846"/>
        <item x="847"/>
        <item x="849"/>
        <item x="861"/>
        <item x="862"/>
        <item x="863"/>
        <item x="864"/>
        <item x="865"/>
        <item x="866"/>
        <item x="867"/>
        <item x="869"/>
        <item x="1944"/>
        <item x="1945"/>
        <item x="2169"/>
        <item x="2172"/>
        <item x="2236"/>
        <item x="2159"/>
        <item x="783"/>
        <item x="2161"/>
        <item x="2163"/>
        <item x="1949"/>
        <item x="1950"/>
        <item x="1952"/>
        <item x="1948"/>
        <item x="2241"/>
        <item x="2178"/>
        <item x="1862"/>
        <item x="1946"/>
        <item x="2217"/>
        <item x="2219"/>
        <item x="1864"/>
        <item x="2239"/>
        <item x="1868"/>
        <item x="1870"/>
        <item x="1872"/>
        <item x="1866"/>
        <item x="2165"/>
        <item x="1790"/>
        <item x="1943"/>
        <item x="1743"/>
        <item x="1744"/>
        <item x="1745"/>
        <item x="1746"/>
        <item x="1747"/>
        <item x="1748"/>
        <item x="1749"/>
        <item x="1751"/>
        <item x="1752"/>
        <item x="2240"/>
        <item x="2210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1076"/>
        <item x="1077"/>
        <item x="1078"/>
        <item x="1079"/>
        <item x="1080"/>
        <item x="1081"/>
        <item x="1082"/>
        <item x="1084"/>
        <item x="1085"/>
        <item x="1086"/>
        <item x="1212"/>
        <item x="1213"/>
        <item x="1214"/>
        <item x="1215"/>
        <item x="1216"/>
        <item x="1217"/>
        <item x="1218"/>
        <item x="1219"/>
        <item x="1221"/>
        <item x="1222"/>
        <item x="1248"/>
        <item x="1249"/>
        <item x="1250"/>
        <item x="1251"/>
        <item x="1252"/>
        <item x="1253"/>
        <item x="1254"/>
        <item x="1255"/>
        <item x="1257"/>
        <item x="1258"/>
        <item x="1259"/>
        <item x="1291"/>
        <item x="2208"/>
        <item x="2216"/>
        <item x="1463"/>
        <item x="1464"/>
        <item x="1424"/>
        <item x="1425"/>
        <item x="1426"/>
        <item x="1427"/>
        <item x="1429"/>
        <item x="1528"/>
        <item x="1575"/>
        <item x="1594"/>
        <item x="1595"/>
        <item x="1596"/>
        <item x="1597"/>
        <item x="1598"/>
        <item x="1668"/>
        <item x="1669"/>
        <item x="1670"/>
        <item x="1671"/>
        <item x="1672"/>
        <item x="1673"/>
        <item x="1674"/>
        <item x="1918"/>
        <item x="1705"/>
        <item x="1706"/>
        <item x="1707"/>
        <item x="1708"/>
        <item x="1709"/>
        <item x="1710"/>
        <item x="1711"/>
        <item x="1713"/>
        <item x="1714"/>
        <item x="1374"/>
        <item x="1375"/>
        <item x="1376"/>
        <item x="1377"/>
        <item x="1378"/>
        <item x="1379"/>
        <item x="1380"/>
        <item x="1381"/>
        <item x="1311"/>
        <item x="1313"/>
        <item x="1314"/>
        <item x="1315"/>
        <item x="1316"/>
        <item x="1317"/>
        <item x="1318"/>
        <item x="1320"/>
        <item x="2238"/>
        <item x="2174"/>
        <item x="1922"/>
        <item x="1924"/>
        <item x="1926"/>
        <item x="1920"/>
        <item x="2176"/>
        <item x="2157"/>
        <item x="2212"/>
        <item x="2167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7"/>
        <item x="2038"/>
        <item x="2039"/>
        <item x="2040"/>
        <item x="2288"/>
        <item x="1787"/>
        <item x="714"/>
        <item x="1789"/>
        <item x="2289"/>
        <item x="2290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6"/>
        <item x="2127"/>
        <item x="2128"/>
        <item x="2129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1"/>
        <item x="1912"/>
        <item x="1913"/>
        <item x="1914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797"/>
        <item x="798"/>
        <item x="799"/>
        <item x="2041"/>
        <item x="2042"/>
        <item x="2043"/>
        <item x="2044"/>
        <item x="2045"/>
        <item x="2046"/>
        <item x="2047"/>
        <item x="2554"/>
        <item x="255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100"/>
        <item x="1101"/>
        <item x="1102"/>
        <item x="1103"/>
        <item x="1292"/>
        <item x="1293"/>
        <item x="1294"/>
        <item x="1465"/>
        <item x="1466"/>
        <item x="1467"/>
        <item x="1468"/>
        <item x="1469"/>
        <item x="1470"/>
        <item x="1472"/>
        <item x="1473"/>
        <item x="1474"/>
        <item x="1494"/>
        <item x="1495"/>
        <item x="1496"/>
        <item x="1497"/>
        <item x="1430"/>
        <item x="1431"/>
        <item x="1529"/>
        <item x="1530"/>
        <item x="1531"/>
        <item x="1532"/>
        <item x="1534"/>
        <item x="1382"/>
        <item x="1383"/>
        <item x="1384"/>
        <item x="1385"/>
        <item x="1386"/>
        <item x="1387"/>
        <item x="1321"/>
        <item x="1322"/>
        <item x="1323"/>
        <item x="1324"/>
        <item x="1325"/>
        <item x="1326"/>
        <item x="1327"/>
        <item m="1" x="2730"/>
        <item m="1" x="2762"/>
        <item m="1" x="2707"/>
        <item m="1" x="2760"/>
        <item m="1" x="2706"/>
        <item m="1" x="2791"/>
        <item m="1" x="2725"/>
        <item m="1" x="2788"/>
        <item m="1" x="2783"/>
        <item x="2131"/>
        <item x="2228"/>
        <item m="1" x="2742"/>
        <item x="764"/>
        <item m="1" x="2779"/>
        <item m="1" x="2751"/>
        <item x="784"/>
        <item x="816"/>
        <item x="817"/>
        <item x="818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9"/>
        <item x="930"/>
        <item x="931"/>
        <item x="932"/>
        <item x="1627"/>
        <item x="1628"/>
        <item x="1629"/>
        <item x="1630"/>
        <item x="2390"/>
        <item x="492"/>
        <item x="2391"/>
        <item x="493"/>
        <item x="2392"/>
        <item x="494"/>
        <item x="2393"/>
        <item x="495"/>
        <item x="2394"/>
        <item x="496"/>
        <item x="2395"/>
        <item x="497"/>
        <item x="2523"/>
        <item x="2506"/>
        <item x="2396"/>
        <item x="498"/>
        <item x="2397"/>
        <item x="499"/>
        <item x="2398"/>
        <item x="500"/>
        <item x="2524"/>
        <item x="2507"/>
        <item x="2399"/>
        <item x="501"/>
        <item x="2525"/>
        <item x="2508"/>
        <item x="2400"/>
        <item x="502"/>
        <item x="2509"/>
        <item x="2401"/>
        <item x="503"/>
        <item x="2526"/>
        <item x="2510"/>
        <item x="2403"/>
        <item x="505"/>
        <item x="2404"/>
        <item x="506"/>
        <item x="2405"/>
        <item x="507"/>
        <item x="2406"/>
        <item x="508"/>
        <item x="2577"/>
        <item x="1941"/>
        <item x="1942"/>
        <item x="2153"/>
        <item x="2154"/>
        <item x="2234"/>
        <item x="2149"/>
        <item x="2150"/>
        <item x="2151"/>
        <item x="796"/>
        <item x="1940"/>
        <item x="2204"/>
        <item x="2203"/>
        <item x="2206"/>
        <item x="2155"/>
        <item x="1782"/>
        <item x="1783"/>
        <item x="1784"/>
        <item x="1781"/>
        <item x="2147"/>
        <item x="2205"/>
        <item x="2152"/>
        <item m="1" x="2752"/>
        <item x="765"/>
        <item m="1" x="2757"/>
        <item m="1" x="2773"/>
        <item x="850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6"/>
        <item x="947"/>
        <item x="948"/>
        <item x="949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433"/>
        <item x="1676"/>
        <item x="1661"/>
        <item x="1389"/>
        <item x="1329"/>
        <item x="785"/>
        <item x="2556"/>
        <item x="2049"/>
        <item x="2050"/>
        <item x="2051"/>
        <item x="2052"/>
        <item x="2408"/>
        <item x="510"/>
        <item x="2409"/>
        <item x="511"/>
        <item x="2410"/>
        <item x="512"/>
        <item x="2411"/>
        <item x="513"/>
        <item x="2412"/>
        <item x="514"/>
        <item x="2413"/>
        <item x="515"/>
        <item x="2414"/>
        <item x="516"/>
        <item x="2415"/>
        <item x="517"/>
        <item x="2416"/>
        <item x="518"/>
        <item x="2417"/>
        <item x="519"/>
        <item x="2418"/>
        <item x="520"/>
        <item x="2419"/>
        <item x="521"/>
        <item x="2421"/>
        <item x="523"/>
        <item x="2422"/>
        <item x="524"/>
        <item x="2423"/>
        <item x="525"/>
        <item x="2424"/>
        <item x="526"/>
        <item x="178"/>
        <item x="179"/>
        <item x="180"/>
        <item x="181"/>
        <item x="183"/>
        <item x="1742"/>
        <item x="2235"/>
        <item m="1" x="2735"/>
        <item x="766"/>
        <item m="1" x="2737"/>
        <item m="1" x="2755"/>
        <item x="870"/>
        <item x="820"/>
        <item x="821"/>
        <item x="822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4"/>
        <item x="965"/>
        <item x="966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4"/>
        <item x="1135"/>
        <item x="1136"/>
        <item x="1137"/>
        <item x="1223"/>
        <item x="1224"/>
        <item x="1225"/>
        <item x="1226"/>
        <item x="1227"/>
        <item x="1260"/>
        <item x="1475"/>
        <item x="1476"/>
        <item x="1477"/>
        <item x="1478"/>
        <item x="1500"/>
        <item x="1434"/>
        <item x="1435"/>
        <item x="1436"/>
        <item x="1536"/>
        <item x="1537"/>
        <item x="1538"/>
        <item x="1539"/>
        <item x="1540"/>
        <item x="1576"/>
        <item x="1577"/>
        <item x="1578"/>
        <item x="1600"/>
        <item x="1715"/>
        <item x="1390"/>
        <item x="1391"/>
        <item x="1392"/>
        <item x="1393"/>
        <item x="1330"/>
        <item x="1331"/>
        <item x="1332"/>
        <item x="1333"/>
        <item x="1334"/>
        <item x="786"/>
        <item x="2053"/>
        <item x="2054"/>
        <item x="2055"/>
        <item x="2056"/>
        <item x="2057"/>
        <item x="2058"/>
        <item x="2060"/>
        <item x="2061"/>
        <item x="2557"/>
        <item x="2426"/>
        <item x="528"/>
        <item x="2427"/>
        <item x="529"/>
        <item x="2428"/>
        <item x="530"/>
        <item x="2429"/>
        <item x="531"/>
        <item x="2430"/>
        <item x="532"/>
        <item x="2431"/>
        <item x="533"/>
        <item x="2432"/>
        <item x="534"/>
        <item x="2433"/>
        <item x="535"/>
        <item x="2434"/>
        <item x="536"/>
        <item x="2435"/>
        <item x="537"/>
        <item x="2436"/>
        <item x="538"/>
        <item x="2437"/>
        <item x="539"/>
        <item x="2439"/>
        <item x="541"/>
        <item x="2440"/>
        <item x="542"/>
        <item x="2441"/>
        <item x="543"/>
        <item x="2442"/>
        <item x="544"/>
        <item x="185"/>
        <item x="187"/>
        <item x="188"/>
        <item x="190"/>
        <item x="192"/>
        <item x="193"/>
        <item x="198"/>
        <item m="1" x="2717"/>
        <item x="767"/>
        <item m="1" x="2718"/>
        <item m="1" x="2739"/>
        <item x="1915"/>
        <item x="1916"/>
        <item x="1917"/>
        <item x="887"/>
        <item x="824"/>
        <item x="82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1"/>
        <item x="1152"/>
        <item x="1153"/>
        <item x="1154"/>
        <item x="1229"/>
        <item x="1480"/>
        <item x="1437"/>
        <item x="1543"/>
        <item x="1544"/>
        <item x="1545"/>
        <item x="1546"/>
        <item x="1547"/>
        <item x="1579"/>
        <item x="1632"/>
        <item x="1716"/>
        <item x="1395"/>
        <item x="1396"/>
        <item x="1336"/>
        <item x="1951"/>
        <item x="1953"/>
        <item x="2242"/>
        <item x="787"/>
        <item x="2062"/>
        <item x="2063"/>
        <item x="2064"/>
        <item x="2065"/>
        <item x="2066"/>
        <item x="2067"/>
        <item x="2068"/>
        <item x="2070"/>
        <item x="2179"/>
        <item x="1863"/>
        <item x="1947"/>
        <item x="2218"/>
        <item x="2220"/>
        <item x="1865"/>
        <item x="1869"/>
        <item x="1871"/>
        <item x="1873"/>
        <item x="1867"/>
        <item x="2444"/>
        <item x="546"/>
        <item x="2540"/>
        <item x="2445"/>
        <item x="547"/>
        <item x="2446"/>
        <item x="548"/>
        <item x="2447"/>
        <item x="549"/>
        <item x="2448"/>
        <item x="550"/>
        <item x="2449"/>
        <item x="551"/>
        <item x="2541"/>
        <item x="2450"/>
        <item x="552"/>
        <item x="2542"/>
        <item x="2451"/>
        <item x="553"/>
        <item x="2452"/>
        <item x="554"/>
        <item x="2453"/>
        <item x="555"/>
        <item x="2454"/>
        <item x="556"/>
        <item x="2455"/>
        <item x="557"/>
        <item x="2457"/>
        <item x="559"/>
        <item x="2458"/>
        <item x="560"/>
        <item x="2459"/>
        <item x="561"/>
        <item x="2460"/>
        <item x="562"/>
        <item x="200"/>
        <item x="201"/>
        <item x="2644"/>
        <item x="2186"/>
        <item x="2194"/>
        <item x="310"/>
        <item x="2608"/>
        <item x="2607"/>
        <item x="328"/>
        <item x="329"/>
        <item x="2658"/>
        <item x="25"/>
        <item x="2645"/>
        <item x="2323"/>
        <item x="768"/>
        <item x="2324"/>
        <item x="2325"/>
        <item x="2561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4"/>
        <item x="1005"/>
        <item x="1006"/>
        <item x="1007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3"/>
        <item x="1174"/>
        <item x="1175"/>
        <item x="1176"/>
        <item x="1561"/>
        <item x="1572"/>
        <item x="1573"/>
        <item x="1574"/>
        <item x="1410"/>
        <item x="790"/>
        <item x="2088"/>
        <item x="2089"/>
        <item x="2462"/>
        <item x="600"/>
        <item x="2463"/>
        <item x="601"/>
        <item x="2464"/>
        <item x="602"/>
        <item x="2465"/>
        <item x="603"/>
        <item x="2466"/>
        <item x="604"/>
        <item x="2467"/>
        <item x="605"/>
        <item x="2468"/>
        <item x="606"/>
        <item x="2469"/>
        <item x="607"/>
        <item x="2470"/>
        <item x="608"/>
        <item x="2471"/>
        <item x="609"/>
        <item x="2472"/>
        <item x="610"/>
        <item x="2473"/>
        <item x="611"/>
        <item x="2475"/>
        <item x="613"/>
        <item x="2476"/>
        <item x="614"/>
        <item x="2477"/>
        <item x="615"/>
        <item x="2478"/>
        <item x="616"/>
        <item x="240"/>
        <item x="241"/>
        <item x="2192"/>
        <item x="2193"/>
        <item x="2646"/>
        <item x="2237"/>
        <item x="1928"/>
        <item x="2213"/>
        <item x="2613"/>
        <item x="336"/>
        <item x="2184"/>
        <item x="2328"/>
        <item x="2329"/>
        <item x="2330"/>
        <item x="835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2"/>
        <item x="1023"/>
        <item x="1024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90"/>
        <item x="1191"/>
        <item x="1192"/>
        <item x="1193"/>
        <item x="1728"/>
        <item x="1411"/>
        <item x="1739"/>
        <item x="791"/>
        <item x="2090"/>
        <item x="2091"/>
        <item x="2092"/>
        <item x="2093"/>
        <item x="2094"/>
        <item x="2480"/>
        <item x="618"/>
        <item x="619"/>
        <item x="620"/>
        <item x="621"/>
        <item x="622"/>
        <item x="2481"/>
        <item x="623"/>
        <item x="624"/>
        <item x="2482"/>
        <item x="625"/>
        <item x="626"/>
        <item x="627"/>
        <item x="628"/>
        <item x="629"/>
        <item x="631"/>
        <item x="632"/>
        <item x="633"/>
        <item x="634"/>
        <item x="242"/>
        <item x="243"/>
        <item x="244"/>
        <item x="245"/>
        <item x="246"/>
        <item x="247"/>
        <item x="2704"/>
        <item x="2694"/>
        <item x="2230"/>
        <item x="803"/>
        <item x="2171"/>
        <item x="2173"/>
        <item x="2071"/>
        <item x="2096"/>
        <item x="2160"/>
        <item x="2569"/>
        <item x="1740"/>
        <item x="776"/>
        <item x="2162"/>
        <item x="2164"/>
        <item x="1741"/>
        <item x="2148"/>
        <item x="781"/>
        <item x="1931"/>
        <item x="2576"/>
        <item x="1792"/>
        <item x="2156"/>
        <item x="2247"/>
        <item x="2248"/>
        <item x="2166"/>
        <item x="1791"/>
        <item x="774"/>
        <item x="2575"/>
        <item x="2207"/>
        <item x="1754"/>
        <item x="1667"/>
        <item x="1755"/>
        <item x="2214"/>
        <item x="2702"/>
        <item x="1756"/>
        <item x="1757"/>
        <item x="1758"/>
        <item x="1759"/>
        <item x="1760"/>
        <item x="801"/>
        <item x="2209"/>
        <item x="2215"/>
        <item x="2175"/>
        <item x="2177"/>
        <item x="2158"/>
        <item x="2246"/>
        <item x="1753"/>
        <item x="2168"/>
        <item x="110"/>
        <item x="113"/>
        <item x="114"/>
        <item x="115"/>
        <item x="116"/>
        <item x="117"/>
        <item x="118"/>
        <item x="119"/>
        <item x="121"/>
        <item x="123"/>
        <item x="124"/>
        <item x="1972"/>
        <item x="1973"/>
        <item x="1974"/>
        <item x="1975"/>
        <item x="1976"/>
        <item x="1977"/>
        <item x="1978"/>
        <item x="1979"/>
        <item x="1980"/>
        <item x="1981"/>
        <item x="1983"/>
        <item x="1984"/>
        <item x="1985"/>
        <item x="1986"/>
        <item x="2254"/>
        <item x="778"/>
        <item x="712"/>
        <item x="2255"/>
        <item x="2256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2565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6"/>
        <item x="1807"/>
        <item x="1808"/>
        <item x="1809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20"/>
        <item x="2021"/>
        <item x="2022"/>
        <item x="2023"/>
        <item x="2283"/>
        <item x="2568"/>
        <item x="314"/>
        <item x="782"/>
        <item x="713"/>
        <item x="321"/>
        <item x="2284"/>
        <item x="2285"/>
        <item x="1811"/>
        <item x="1812"/>
        <item x="1813"/>
        <item x="1814"/>
        <item x="1815"/>
        <item x="1816"/>
        <item x="1817"/>
        <item x="1818"/>
        <item x="1857"/>
        <item x="1858"/>
        <item x="1859"/>
        <item x="1860"/>
        <item x="1861"/>
        <item x="1819"/>
        <item x="1820"/>
        <item x="1821"/>
        <item x="1822"/>
        <item x="1824"/>
        <item x="1825"/>
        <item x="1826"/>
        <item x="1827"/>
        <item x="2287"/>
        <item x="316"/>
        <item x="2102"/>
        <item x="2344"/>
        <item x="2570"/>
        <item x="794"/>
        <item x="717"/>
        <item x="2345"/>
        <item x="2346"/>
        <item x="1846"/>
        <item x="1847"/>
        <item x="1848"/>
        <item x="1849"/>
        <item x="185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0"/>
        <item x="291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317"/>
        <item x="2103"/>
        <item x="2104"/>
        <item x="2105"/>
        <item x="2106"/>
        <item x="2107"/>
        <item x="2109"/>
        <item x="2112"/>
        <item x="2349"/>
        <item x="2571"/>
        <item x="795"/>
        <item x="718"/>
        <item x="2350"/>
        <item x="2351"/>
        <item m="1" x="2744"/>
        <item m="1" x="2765"/>
        <item m="1" x="2746"/>
        <item m="1" x="2770"/>
        <item m="1" x="2736"/>
        <item m="1" x="2722"/>
        <item m="1" x="2767"/>
        <item m="1" x="2776"/>
        <item m="1" x="2753"/>
        <item m="1" x="2727"/>
        <item m="1" x="2785"/>
        <item m="1" x="2719"/>
        <item m="1" x="2774"/>
        <item m="1" x="2716"/>
        <item m="1" x="2769"/>
        <item m="1" x="2790"/>
        <item x="1853"/>
        <item x="1854"/>
        <item x="1855"/>
        <item x="1856"/>
        <item m="1" x="2775"/>
        <item m="1" x="2784"/>
        <item m="1" x="2712"/>
        <item m="1" x="2709"/>
        <item m="1" x="2733"/>
        <item m="1" x="2726"/>
        <item m="1" x="2756"/>
        <item m="1" x="2749"/>
        <item x="2313"/>
        <item x="2314"/>
        <item x="2315"/>
        <item x="788"/>
        <item x="715"/>
        <item x="322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7"/>
        <item x="578"/>
        <item x="579"/>
        <item x="580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0"/>
        <item x="792"/>
        <item x="327"/>
        <item x="2278"/>
        <item x="2279"/>
        <item x="2280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1"/>
        <item x="452"/>
        <item x="453"/>
        <item x="454"/>
        <item x="324"/>
        <item x="716"/>
        <item x="330"/>
        <item x="320"/>
        <item x="2333"/>
        <item x="2334"/>
        <item x="2335"/>
        <item x="326"/>
        <item x="325"/>
        <item x="323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2"/>
        <item x="1843"/>
        <item x="1844"/>
        <item x="184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2700"/>
        <item x="649"/>
        <item x="650"/>
        <item x="651"/>
        <item x="65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98"/>
        <item x="263"/>
        <item x="264"/>
        <item x="265"/>
        <item x="266"/>
        <item m="1" x="2713"/>
        <item x="2616"/>
        <item x="2580"/>
        <item x="315"/>
        <item x="2647"/>
        <item x="2339"/>
        <item x="2340"/>
        <item x="2341"/>
        <item x="882"/>
        <item x="2563"/>
        <item x="793"/>
        <item x="2097"/>
        <item x="2098"/>
        <item x="2099"/>
        <item x="2100"/>
        <item x="2101"/>
        <item x="2564"/>
        <item x="836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8"/>
        <item x="1039"/>
        <item x="1040"/>
        <item x="1041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7"/>
        <item x="1208"/>
        <item x="1209"/>
        <item x="1210"/>
        <item x="1242"/>
        <item x="1300"/>
        <item x="1451"/>
        <item x="1562"/>
        <item x="156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7"/>
        <item x="1658"/>
        <item x="1659"/>
        <item x="1660"/>
        <item x="1412"/>
        <item x="1413"/>
        <item x="656"/>
        <item x="2545"/>
        <item x="657"/>
        <item x="658"/>
        <item x="659"/>
        <item x="660"/>
        <item x="661"/>
        <item x="2546"/>
        <item x="662"/>
        <item x="663"/>
        <item x="664"/>
        <item x="665"/>
        <item x="666"/>
        <item x="2485"/>
        <item x="667"/>
        <item x="2529"/>
        <item x="669"/>
        <item x="2548"/>
        <item x="670"/>
        <item x="671"/>
        <item x="2530"/>
        <item x="672"/>
        <item x="2531"/>
        <item x="270"/>
        <item x="271"/>
        <item x="272"/>
        <item x="273"/>
        <item x="274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6"/>
        <item x="1777"/>
        <item x="1778"/>
        <item x="1779"/>
        <item x="2233"/>
        <item x="2605"/>
        <item x="2657"/>
        <item x="2621"/>
        <item x="2622"/>
        <item x="710"/>
        <item x="2623"/>
        <item x="2620"/>
        <item x="2625"/>
        <item x="2624"/>
        <item x="2619"/>
        <item x="2617"/>
        <item x="2618"/>
        <item x="312"/>
        <item x="2655"/>
        <item x="2572"/>
        <item x="2573"/>
        <item x="2574"/>
        <item x="2231"/>
        <item x="2245"/>
        <item x="1927"/>
        <item x="1929"/>
        <item m="1" x="2772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99"/>
        <item x="2594"/>
        <item x="2595"/>
        <item x="2596"/>
        <item x="2597"/>
        <item x="3"/>
        <item x="4"/>
        <item x="5"/>
        <item x="6"/>
        <item x="0"/>
        <item x="7"/>
        <item x="8"/>
        <item x="9"/>
        <item x="1"/>
        <item x="10"/>
        <item x="11"/>
        <item x="12"/>
        <item x="13"/>
        <item x="14"/>
        <item x="15"/>
        <item x="2697"/>
        <item x="17"/>
        <item x="18"/>
        <item x="19"/>
        <item x="20"/>
        <item x="21"/>
        <item x="2353"/>
        <item x="2"/>
        <item x="16"/>
        <item x="22"/>
        <item x="37"/>
        <item x="42"/>
        <item x="55"/>
        <item x="60"/>
        <item x="63"/>
        <item x="64"/>
        <item x="71"/>
        <item x="73"/>
        <item x="85"/>
        <item x="90"/>
        <item x="104"/>
        <item x="109"/>
        <item x="120"/>
        <item x="125"/>
        <item x="138"/>
        <item x="143"/>
        <item x="156"/>
        <item x="161"/>
        <item m="1" x="2748"/>
        <item m="1" x="2782"/>
        <item x="182"/>
        <item x="184"/>
        <item x="195"/>
        <item x="199"/>
        <item x="202"/>
        <item x="203"/>
        <item x="216"/>
        <item x="221"/>
        <item x="234"/>
        <item x="239"/>
        <item x="248"/>
        <item x="249"/>
        <item x="262"/>
        <item x="267"/>
        <item x="287"/>
        <item x="292"/>
        <item x="293"/>
        <item x="295"/>
        <item x="296"/>
        <item x="298"/>
        <item x="299"/>
        <item x="300"/>
        <item x="301"/>
        <item x="302"/>
        <item x="303"/>
        <item x="304"/>
        <item x="305"/>
        <item x="306"/>
        <item x="307"/>
        <item x="355"/>
        <item x="360"/>
        <item x="373"/>
        <item x="378"/>
        <item x="381"/>
        <item x="382"/>
        <item m="1" x="2764"/>
        <item m="1" x="2729"/>
        <item x="414"/>
        <item x="419"/>
        <item x="432"/>
        <item x="437"/>
        <item x="450"/>
        <item x="455"/>
        <item x="468"/>
        <item x="473"/>
        <item x="486"/>
        <item x="491"/>
        <item x="504"/>
        <item x="509"/>
        <item x="522"/>
        <item x="527"/>
        <item x="540"/>
        <item x="545"/>
        <item x="558"/>
        <item x="563"/>
        <item x="576"/>
        <item x="581"/>
        <item x="594"/>
        <item x="599"/>
        <item x="612"/>
        <item x="617"/>
        <item x="630"/>
        <item x="635"/>
        <item x="648"/>
        <item x="653"/>
        <item x="668"/>
        <item x="673"/>
        <item x="686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33"/>
        <item x="738"/>
        <item x="751"/>
        <item x="756"/>
        <item x="800"/>
        <item x="802"/>
        <item x="804"/>
        <item x="813"/>
        <item x="819"/>
        <item x="823"/>
        <item x="826"/>
        <item x="833"/>
        <item x="848"/>
        <item x="859"/>
        <item x="868"/>
        <item x="879"/>
        <item x="895"/>
        <item x="899"/>
        <item x="911"/>
        <item x="928"/>
        <item x="945"/>
        <item x="962"/>
        <item x="979"/>
        <item x="989"/>
        <item x="1003"/>
        <item x="1020"/>
        <item x="1037"/>
        <item x="1054"/>
        <item x="1071"/>
        <item x="1083"/>
        <item x="1099"/>
        <item x="1116"/>
        <item x="1133"/>
        <item x="1150"/>
        <item x="1159"/>
        <item x="1172"/>
        <item x="1189"/>
        <item x="1206"/>
        <item x="1220"/>
        <item x="1228"/>
        <item x="1239"/>
        <item x="1246"/>
        <item x="1256"/>
        <item x="1273"/>
        <item x="1286"/>
        <item x="1295"/>
        <item x="1299"/>
        <item x="1310"/>
        <item x="1319"/>
        <item x="1328"/>
        <item x="1335"/>
        <item x="1345"/>
        <item x="1355"/>
        <item x="1369"/>
        <item x="1388"/>
        <item x="1394"/>
        <item x="1406"/>
        <item x="1423"/>
        <item x="1428"/>
        <item x="1432"/>
        <item x="1447"/>
        <item x="1458"/>
        <item x="1462"/>
        <item x="1471"/>
        <item x="1479"/>
        <item x="1490"/>
        <item x="1498"/>
        <item x="1499"/>
        <item x="1509"/>
        <item x="1517"/>
        <item x="1535"/>
        <item x="1541"/>
        <item x="1557"/>
        <item x="1571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9"/>
        <item x="1601"/>
        <item x="1611"/>
        <item x="1622"/>
        <item x="1631"/>
        <item x="1642"/>
        <item x="1656"/>
        <item x="1675"/>
        <item x="1685"/>
        <item x="1694"/>
        <item x="1702"/>
        <item x="1712"/>
        <item x="1725"/>
        <item x="1730"/>
        <item x="1737"/>
        <item x="1750"/>
        <item x="1761"/>
        <item x="1775"/>
        <item x="1805"/>
        <item x="1823"/>
        <item x="1841"/>
        <item x="1850"/>
        <item x="1851"/>
        <item x="1880"/>
        <item x="1893"/>
        <item x="1910"/>
        <item x="1968"/>
        <item x="1982"/>
        <item x="1996"/>
        <item x="2005"/>
        <item x="2019"/>
        <item x="2036"/>
        <item x="2048"/>
        <item x="2059"/>
        <item x="2069"/>
        <item x="2083"/>
        <item x="2095"/>
        <item x="2110"/>
        <item x="2125"/>
        <item x="2195"/>
        <item x="2199"/>
        <item m="1" x="2710"/>
        <item x="2201"/>
        <item x="2202"/>
        <item x="2211"/>
        <item m="1" x="2786"/>
        <item m="1" x="2732"/>
        <item x="2257"/>
        <item x="2258"/>
        <item m="1" x="2794"/>
        <item m="1" x="2741"/>
        <item x="2266"/>
        <item x="2267"/>
        <item x="2271"/>
        <item x="2272"/>
        <item x="2276"/>
        <item x="2277"/>
        <item x="2281"/>
        <item x="2282"/>
        <item x="2286"/>
        <item x="2291"/>
        <item x="2292"/>
        <item m="1" x="2708"/>
        <item m="1" x="2743"/>
        <item m="1" x="2763"/>
        <item m="1" x="2728"/>
        <item m="1" x="2740"/>
        <item m="1" x="2793"/>
        <item m="1" x="2723"/>
        <item m="1" x="2780"/>
        <item x="2316"/>
        <item x="2317"/>
        <item x="2321"/>
        <item x="2322"/>
        <item x="2326"/>
        <item x="2327"/>
        <item x="2331"/>
        <item x="2332"/>
        <item x="2336"/>
        <item x="2337"/>
        <item x="2342"/>
        <item x="2343"/>
        <item x="2347"/>
        <item x="2348"/>
        <item x="2352"/>
        <item x="2366"/>
        <item x="2371"/>
        <item x="2384"/>
        <item x="2389"/>
        <item x="2402"/>
        <item x="2407"/>
        <item x="2420"/>
        <item x="2425"/>
        <item x="2438"/>
        <item x="2443"/>
        <item x="2456"/>
        <item x="2461"/>
        <item x="2474"/>
        <item x="2479"/>
        <item x="2483"/>
        <item x="2484"/>
        <item x="2486"/>
        <item x="2500"/>
        <item x="2505"/>
        <item x="2511"/>
        <item x="2512"/>
        <item x="2519"/>
        <item x="2522"/>
        <item x="2527"/>
        <item x="2528"/>
        <item x="2536"/>
        <item x="2539"/>
        <item x="2543"/>
        <item x="2544"/>
        <item x="2547"/>
        <item x="2549"/>
        <item x="2553"/>
        <item x="2560"/>
        <item x="2562"/>
        <item x="2593"/>
        <item x="2598"/>
        <item x="2659"/>
        <item x="2663"/>
        <item x="2200"/>
        <item x="1542"/>
        <item x="2602"/>
        <item x="27"/>
        <item x="31"/>
        <item x="40"/>
        <item x="74"/>
        <item x="76"/>
        <item x="79"/>
        <item x="83"/>
        <item x="86"/>
        <item x="87"/>
        <item x="111"/>
        <item x="112"/>
        <item x="12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86"/>
        <item x="189"/>
        <item x="191"/>
        <item x="194"/>
        <item x="196"/>
        <item x="197"/>
        <item x="268"/>
        <item x="269"/>
        <item x="294"/>
        <item x="297"/>
        <item x="308"/>
        <item x="379"/>
        <item x="380"/>
        <item x="395"/>
        <item x="400"/>
        <item x="401"/>
        <item x="654"/>
        <item x="655"/>
        <item x="775"/>
        <item x="1238"/>
        <item x="1533"/>
        <item x="1663"/>
        <item x="1704"/>
        <item x="1828"/>
        <item x="1960"/>
        <item x="1994"/>
        <item x="2108"/>
        <item x="2111"/>
        <item x="2222"/>
        <item x="2249"/>
        <item x="2250"/>
        <item x="2251"/>
        <item x="2252"/>
        <item x="2253"/>
        <item x="2259"/>
        <item x="2260"/>
        <item x="2261"/>
        <item x="226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38"/>
        <item x="2566"/>
        <item x="2567"/>
        <item x="1409"/>
        <item x="1780"/>
        <item x="808"/>
        <item x="1312"/>
        <item x="1493"/>
        <item x="1810"/>
        <item x="1957"/>
        <item x="27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sd="0" x="0"/>
        <item x="3"/>
        <item sd="0" x="1"/>
        <item sd="0" x="2"/>
        <item t="default" sd="0"/>
      </items>
    </pivotField>
    <pivotField compact="0" showAll="0" defaultSubtotal="0"/>
    <pivotField compact="0" showAll="0" defaultSubtotal="0"/>
    <pivotField axis="axisPage" compact="0" outline="0" multipleItemSelectionAllowed="1" showAll="0" defaultSubtotal="0">
      <items count="30">
        <item sd="0" x="1"/>
        <item sd="0" x="2"/>
        <item sd="0" x="3"/>
        <item sd="0" x="4"/>
        <item sd="0" x="5"/>
        <item sd="0" x="25"/>
        <item sd="0" x="7"/>
        <item sd="0" x="8"/>
        <item sd="0" x="29"/>
        <item sd="0" x="9"/>
        <item sd="0" x="26"/>
        <item sd="0" x="10"/>
        <item sd="0" x="11"/>
        <item sd="0" x="12"/>
        <item sd="0" x="13"/>
        <item sd="0" x="14"/>
        <item sd="0" x="15"/>
        <item sd="0" x="16"/>
        <item sd="0" x="17"/>
        <item sd="0" x="0"/>
        <item sd="0" x="18"/>
        <item sd="0" x="28"/>
        <item sd="0" x="19"/>
        <item sd="0" x="20"/>
        <item sd="0" x="22"/>
        <item sd="0" x="27"/>
        <item sd="0" x="23"/>
        <item sd="0" x="24"/>
        <item sd="0" x="6"/>
        <item sd="0" x="21"/>
      </items>
    </pivotField>
    <pivotField axis="axisRow" compact="0" showAll="0">
      <items count="23">
        <item x="2"/>
        <item sd="0" x="3"/>
        <item sd="0" x="4"/>
        <item sd="0" x="0"/>
        <item sd="0" x="5"/>
        <item sd="0" x="6"/>
        <item sd="0" x="1"/>
        <item sd="0" x="19"/>
        <item sd="0" x="21"/>
        <item sd="0" x="7"/>
        <item sd="0" x="8"/>
        <item sd="0" x="9"/>
        <item sd="0" x="10"/>
        <item sd="0" x="11"/>
        <item sd="0" x="12"/>
        <item sd="0" x="20"/>
        <item sd="0" x="13"/>
        <item sd="0" x="14"/>
        <item sd="0" x="15"/>
        <item sd="0" x="16"/>
        <item sd="0" x="17"/>
        <item sd="0" x="18"/>
        <item t="default" sd="0"/>
      </items>
    </pivotField>
    <pivotField axis="axisPage" compact="0" outline="0" showAll="0" defaultSubtotal="0">
      <items count="71">
        <item x="63"/>
        <item x="24"/>
        <item x="19"/>
        <item x="25"/>
        <item x="26"/>
        <item x="22"/>
        <item x="23"/>
        <item x="18"/>
        <item x="64"/>
        <item x="29"/>
        <item x="30"/>
        <item x="20"/>
        <item x="28"/>
        <item x="66"/>
        <item x="62"/>
        <item x="65"/>
        <item x="69"/>
        <item x="70"/>
        <item x="68"/>
        <item x="0"/>
        <item x="9"/>
        <item x="4"/>
        <item x="10"/>
        <item x="11"/>
        <item x="7"/>
        <item x="8"/>
        <item x="3"/>
        <item x="15"/>
        <item x="14"/>
        <item x="1"/>
        <item x="17"/>
        <item x="5"/>
        <item x="16"/>
        <item x="47"/>
        <item x="49"/>
        <item x="56"/>
        <item x="48"/>
        <item x="32"/>
        <item x="53"/>
        <item x="34"/>
        <item x="45"/>
        <item x="46"/>
        <item x="55"/>
        <item x="44"/>
        <item x="54"/>
        <item x="50"/>
        <item x="41"/>
        <item x="37"/>
        <item x="38"/>
        <item x="35"/>
        <item x="36"/>
        <item x="51"/>
        <item x="33"/>
        <item x="40"/>
        <item x="43"/>
        <item x="57"/>
        <item x="52"/>
        <item x="59"/>
        <item x="60"/>
        <item x="42"/>
        <item x="39"/>
        <item x="67"/>
        <item x="13"/>
        <item x="58"/>
        <item x="31"/>
        <item x="2"/>
        <item x="6"/>
        <item x="12"/>
        <item x="21"/>
        <item x="27"/>
        <item x="61"/>
      </items>
    </pivotField>
  </pivotFields>
  <rowFields count="2">
    <field x="80"/>
    <field x="76"/>
  </rowFields>
  <rowItems count="26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6">
    <pageField fld="0" hier="-1"/>
    <pageField fld="1" hier="-1"/>
    <pageField fld="79" hier="-1"/>
    <pageField fld="2" hier="-1"/>
    <pageField fld="3" hier="-1"/>
    <pageField fld="81" hier="-1"/>
  </pageFields>
  <dataFields count="12">
    <dataField name="Sum of TY01" fld="16" baseField="0" baseItem="0"/>
    <dataField name="Sum of TY02" fld="17" baseField="0" baseItem="0"/>
    <dataField name="Sum of TY03" fld="18" baseField="0" baseItem="0"/>
    <dataField name="Sum of TY04" fld="19" baseField="0" baseItem="0"/>
    <dataField name="Sum of TY05" fld="20" baseField="0" baseItem="0"/>
    <dataField name="Sum of TY06" fld="21" baseField="0" baseItem="0"/>
    <dataField name="Sum of TY07" fld="22" baseField="0" baseItem="0"/>
    <dataField name="Sum of TY08" fld="23" baseField="0" baseItem="0"/>
    <dataField name="Sum of TY09" fld="24" baseField="1" baseItem="13" numFmtId="3"/>
    <dataField name="Sum of TY10" fld="25" baseField="1" baseItem="13" numFmtId="3"/>
    <dataField name="Sum of TY11" fld="26" baseField="1" baseItem="13" numFmtId="3"/>
    <dataField name="Sum of TY12" fld="27" baseField="1" baseItem="13" numFmtId="3"/>
  </dataFields>
  <formats count="28">
    <format dxfId="27">
      <pivotArea collapsedLevelsAreSubtotals="1" fieldPosition="0">
        <references count="3">
          <reference field="4294967294" count="1" selected="0">
            <x v="8"/>
          </reference>
          <reference field="1" count="1">
            <x v="0"/>
          </reference>
          <reference field="76" count="0" selected="0"/>
        </references>
      </pivotArea>
    </format>
    <format dxfId="26">
      <pivotArea collapsedLevelsAreSubtotals="1" fieldPosition="0">
        <references count="3">
          <reference field="4294967294" count="1" selected="0">
            <x v="8"/>
          </reference>
          <reference field="1" count="1">
            <x v="4"/>
          </reference>
          <reference field="76" count="0" selected="0"/>
        </references>
      </pivotArea>
    </format>
    <format dxfId="25">
      <pivotArea collapsedLevelsAreSubtotals="1" fieldPosition="0">
        <references count="3">
          <reference field="4294967294" count="1" selected="0">
            <x v="8"/>
          </reference>
          <reference field="1" count="1">
            <x v="5"/>
          </reference>
          <reference field="76" count="0" selected="0"/>
        </references>
      </pivotArea>
    </format>
    <format dxfId="24">
      <pivotArea collapsedLevelsAreSubtotals="1" fieldPosition="0">
        <references count="3">
          <reference field="4294967294" count="1" selected="0">
            <x v="8"/>
          </reference>
          <reference field="1" count="1">
            <x v="9"/>
          </reference>
          <reference field="76" count="0" selected="0"/>
        </references>
      </pivotArea>
    </format>
    <format dxfId="23">
      <pivotArea collapsedLevelsAreSubtotals="1" fieldPosition="0">
        <references count="3">
          <reference field="4294967294" count="1" selected="0">
            <x v="8"/>
          </reference>
          <reference field="1" count="1">
            <x v="10"/>
          </reference>
          <reference field="76" count="0" selected="0"/>
        </references>
      </pivotArea>
    </format>
    <format dxfId="22">
      <pivotArea collapsedLevelsAreSubtotals="1" fieldPosition="0">
        <references count="3">
          <reference field="4294967294" count="1" selected="0">
            <x v="8"/>
          </reference>
          <reference field="1" count="1">
            <x v="14"/>
          </reference>
          <reference field="76" count="0" selected="0"/>
        </references>
      </pivotArea>
    </format>
    <format dxfId="21">
      <pivotArea collapsedLevelsAreSubtotals="1" fieldPosition="0">
        <references count="3">
          <reference field="4294967294" count="1" selected="0">
            <x v="8"/>
          </reference>
          <reference field="1" count="1">
            <x v="15"/>
          </reference>
          <reference field="76" count="0" selected="0"/>
        </references>
      </pivotArea>
    </format>
    <format dxfId="20">
      <pivotArea collapsedLevelsAreSubtotals="1" fieldPosition="0">
        <references count="3">
          <reference field="4294967294" count="1" selected="0">
            <x v="8"/>
          </reference>
          <reference field="1" count="1">
            <x v="16"/>
          </reference>
          <reference field="76" count="0" selected="0"/>
        </references>
      </pivotArea>
    </format>
    <format dxfId="19">
      <pivotArea collapsedLevelsAreSubtotals="1" fieldPosition="0">
        <references count="3">
          <reference field="4294967294" count="1" selected="0">
            <x v="8"/>
          </reference>
          <reference field="1" count="1">
            <x v="17"/>
          </reference>
          <reference field="76" count="0" selected="0"/>
        </references>
      </pivotArea>
    </format>
    <format dxfId="18">
      <pivotArea collapsedLevelsAreSubtotals="1" fieldPosition="0">
        <references count="3">
          <reference field="4294967294" count="1" selected="0">
            <x v="8"/>
          </reference>
          <reference field="1" count="1">
            <x v="18"/>
          </reference>
          <reference field="76" count="0" selected="0"/>
        </references>
      </pivotArea>
    </format>
    <format dxfId="17">
      <pivotArea collapsedLevelsAreSubtotals="1" fieldPosition="0">
        <references count="3">
          <reference field="4294967294" count="1" selected="0">
            <x v="8"/>
          </reference>
          <reference field="1" count="1">
            <x v="19"/>
          </reference>
          <reference field="76" count="0" selected="0"/>
        </references>
      </pivotArea>
    </format>
    <format dxfId="16">
      <pivotArea collapsedLevelsAreSubtotals="1" fieldPosition="0">
        <references count="3">
          <reference field="4294967294" count="1" selected="0">
            <x v="8"/>
          </reference>
          <reference field="1" count="1">
            <x v="20"/>
          </reference>
          <reference field="76" count="0" selected="0"/>
        </references>
      </pivotArea>
    </format>
    <format dxfId="15">
      <pivotArea collapsedLevelsAreSubtotals="1" fieldPosition="0">
        <references count="3">
          <reference field="4294967294" count="1" selected="0">
            <x v="8"/>
          </reference>
          <reference field="1" count="1">
            <x v="21"/>
          </reference>
          <reference field="76" count="0" selected="0"/>
        </references>
      </pivotArea>
    </format>
    <format dxfId="14">
      <pivotArea collapsedLevelsAreSubtotals="1" fieldPosition="0">
        <references count="3">
          <reference field="4294967294" count="1" selected="0">
            <x v="8"/>
          </reference>
          <reference field="1" count="1">
            <x v="22"/>
          </reference>
          <reference field="76" count="0" selected="0"/>
        </references>
      </pivotArea>
    </format>
    <format dxfId="13">
      <pivotArea collapsedLevelsAreSubtotals="1" fieldPosition="0">
        <references count="3">
          <reference field="4294967294" count="1" selected="0">
            <x v="8"/>
          </reference>
          <reference field="1" count="1">
            <x v="23"/>
          </reference>
          <reference field="76" count="0" selected="0"/>
        </references>
      </pivotArea>
    </format>
    <format dxfId="12">
      <pivotArea collapsedLevelsAreSubtotals="1" fieldPosition="0">
        <references count="3">
          <reference field="4294967294" count="1" selected="0">
            <x v="8"/>
          </reference>
          <reference field="1" count="1">
            <x v="24"/>
          </reference>
          <reference field="76" count="0" selected="0"/>
        </references>
      </pivotArea>
    </format>
    <format dxfId="11">
      <pivotArea collapsedLevelsAreSubtotals="1" fieldPosition="0">
        <references count="3">
          <reference field="4294967294" count="1" selected="0">
            <x v="8"/>
          </reference>
          <reference field="1" count="1">
            <x v="25"/>
          </reference>
          <reference field="76" count="0" selected="0"/>
        </references>
      </pivotArea>
    </format>
    <format dxfId="10">
      <pivotArea collapsedLevelsAreSubtotals="1" fieldPosition="0">
        <references count="3">
          <reference field="4294967294" count="1" selected="0">
            <x v="8"/>
          </reference>
          <reference field="1" count="1">
            <x v="26"/>
          </reference>
          <reference field="76" count="0" selected="0"/>
        </references>
      </pivotArea>
    </format>
    <format dxfId="9">
      <pivotArea collapsedLevelsAreSubtotals="1" fieldPosition="0">
        <references count="3">
          <reference field="4294967294" count="1" selected="0">
            <x v="8"/>
          </reference>
          <reference field="1" count="1">
            <x v="27"/>
          </reference>
          <reference field="76" count="0" selected="0"/>
        </references>
      </pivotArea>
    </format>
    <format dxfId="8">
      <pivotArea collapsedLevelsAreSubtotals="1" fieldPosition="0">
        <references count="3">
          <reference field="4294967294" count="1" selected="0">
            <x v="8"/>
          </reference>
          <reference field="1" count="1">
            <x v="1"/>
          </reference>
          <reference field="76" count="0" selected="0"/>
        </references>
      </pivotArea>
    </format>
    <format dxfId="7">
      <pivotArea collapsedLevelsAreSubtotals="1" fieldPosition="0">
        <references count="3">
          <reference field="4294967294" count="1" selected="0">
            <x v="8"/>
          </reference>
          <reference field="1" count="1">
            <x v="3"/>
          </reference>
          <reference field="76" count="0" selected="0"/>
        </references>
      </pivotArea>
    </format>
    <format dxfId="6">
      <pivotArea collapsedLevelsAreSubtotals="1" fieldPosition="0">
        <references count="3">
          <reference field="4294967294" count="1" selected="0">
            <x v="8"/>
          </reference>
          <reference field="1" count="1">
            <x v="6"/>
          </reference>
          <reference field="76" count="0" selected="0"/>
        </references>
      </pivotArea>
    </format>
    <format dxfId="5">
      <pivotArea collapsedLevelsAreSubtotals="1" fieldPosition="0">
        <references count="3">
          <reference field="4294967294" count="1" selected="0">
            <x v="8"/>
          </reference>
          <reference field="1" count="1">
            <x v="7"/>
          </reference>
          <reference field="76" count="0" selected="0"/>
        </references>
      </pivotArea>
    </format>
    <format dxfId="4">
      <pivotArea collapsedLevelsAreSubtotals="1" fieldPosition="0">
        <references count="3">
          <reference field="4294967294" count="1" selected="0">
            <x v="8"/>
          </reference>
          <reference field="1" count="1">
            <x v="8"/>
          </reference>
          <reference field="76" count="0" selected="0"/>
        </references>
      </pivotArea>
    </format>
    <format dxfId="3">
      <pivotArea outline="0" fieldPosition="0">
        <references count="1">
          <reference field="4294967294" count="1">
            <x v="9"/>
          </reference>
        </references>
      </pivotArea>
    </format>
    <format dxfId="2">
      <pivotArea outline="0" fieldPosition="0">
        <references count="1">
          <reference field="4294967294" count="1">
            <x v="10"/>
          </reference>
        </references>
      </pivotArea>
    </format>
    <format dxfId="1">
      <pivotArea outline="0" fieldPosition="0">
        <references count="1">
          <reference field="4294967294" count="1">
            <x v="11"/>
          </reference>
        </references>
      </pivotArea>
    </format>
    <format dxfId="0">
      <pivotArea outline="0" fieldPosition="0">
        <references count="1">
          <reference field="4294967294" count="1">
            <x v="8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 Queries - Consolidation IS.accdb" connectionId="1" xr16:uid="{00000000-0016-0000-0300-000000000000}" autoFormatId="16" applyNumberFormats="0" applyBorderFormats="0" applyFontFormats="0" applyPatternFormats="0" applyAlignmentFormats="0" applyWidthHeightFormats="0">
  <queryTableRefresh nextId="75">
    <queryTableFields count="74">
      <queryTableField id="1" name="SubGroup" tableColumnId="1"/>
      <queryTableField id="2" name="SubGroup_Name" tableColumnId="2"/>
      <queryTableField id="3" name="LY01" tableColumnId="3"/>
      <queryTableField id="4" name="LY02" tableColumnId="4"/>
      <queryTableField id="5" name="LY03" tableColumnId="5"/>
      <queryTableField id="6" name="LY04" tableColumnId="6"/>
      <queryTableField id="7" name="LY05" tableColumnId="7"/>
      <queryTableField id="8" name="LY06" tableColumnId="8"/>
      <queryTableField id="9" name="LY07" tableColumnId="9"/>
      <queryTableField id="10" name="LY08" tableColumnId="10"/>
      <queryTableField id="11" name="LY09" tableColumnId="11"/>
      <queryTableField id="12" name="LY10" tableColumnId="12"/>
      <queryTableField id="13" name="LY11" tableColumnId="13"/>
      <queryTableField id="14" name="LY12" tableColumnId="14"/>
      <queryTableField id="15" name="TY01" tableColumnId="15"/>
      <queryTableField id="16" name="TY02" tableColumnId="16"/>
      <queryTableField id="17" name="TY03" tableColumnId="17"/>
      <queryTableField id="18" name="TY04" tableColumnId="18"/>
      <queryTableField id="19" name="TY05" tableColumnId="19"/>
      <queryTableField id="20" name="TY06" tableColumnId="20"/>
      <queryTableField id="21" name="TY07" tableColumnId="21"/>
      <queryTableField id="22" name="TY08" tableColumnId="22"/>
      <queryTableField id="23" name="TY09" tableColumnId="23"/>
      <queryTableField id="24" name="TY10" tableColumnId="24"/>
      <queryTableField id="25" name="TY11" tableColumnId="25"/>
      <queryTableField id="26" name="TY12" tableColumnId="26"/>
      <queryTableField id="27" name="NY01" tableColumnId="27"/>
      <queryTableField id="28" name="NY02" tableColumnId="28"/>
      <queryTableField id="29" name="NY03" tableColumnId="29"/>
      <queryTableField id="30" name="NY04" tableColumnId="30"/>
      <queryTableField id="31" name="NY05" tableColumnId="31"/>
      <queryTableField id="32" name="NY06" tableColumnId="32"/>
      <queryTableField id="33" name="NY07" tableColumnId="33"/>
      <queryTableField id="34" name="NY08" tableColumnId="34"/>
      <queryTableField id="35" name="NY09" tableColumnId="35"/>
      <queryTableField id="36" name="NY10" tableColumnId="36"/>
      <queryTableField id="37" name="NY11" tableColumnId="37"/>
      <queryTableField id="38" name="NY12" tableColumnId="38"/>
      <queryTableField id="39" name="BLY01" tableColumnId="39"/>
      <queryTableField id="40" name="BLY02" tableColumnId="40"/>
      <queryTableField id="41" name="BLY03" tableColumnId="41"/>
      <queryTableField id="42" name="BLY04" tableColumnId="42"/>
      <queryTableField id="43" name="BLY05" tableColumnId="43"/>
      <queryTableField id="44" name="BLY06" tableColumnId="44"/>
      <queryTableField id="45" name="BLY07" tableColumnId="45"/>
      <queryTableField id="46" name="BLY08" tableColumnId="46"/>
      <queryTableField id="47" name="BLY09" tableColumnId="47"/>
      <queryTableField id="48" name="BLY10" tableColumnId="48"/>
      <queryTableField id="49" name="BLY11" tableColumnId="49"/>
      <queryTableField id="50" name="BLY12" tableColumnId="50"/>
      <queryTableField id="51" name="BTY01" tableColumnId="51"/>
      <queryTableField id="52" name="BTY02" tableColumnId="52"/>
      <queryTableField id="53" name="BTY03" tableColumnId="53"/>
      <queryTableField id="54" name="BTY04" tableColumnId="54"/>
      <queryTableField id="55" name="BTY05" tableColumnId="55"/>
      <queryTableField id="56" name="BTY06" tableColumnId="56"/>
      <queryTableField id="57" name="BTY07" tableColumnId="57"/>
      <queryTableField id="58" name="BTY08" tableColumnId="58"/>
      <queryTableField id="59" name="BTY09" tableColumnId="59"/>
      <queryTableField id="60" name="BTY10" tableColumnId="60"/>
      <queryTableField id="61" name="BTY11" tableColumnId="61"/>
      <queryTableField id="62" name="BTY12" tableColumnId="62"/>
      <queryTableField id="63" name="BNY01" tableColumnId="63"/>
      <queryTableField id="64" name="BNY02" tableColumnId="64"/>
      <queryTableField id="65" name="BNY03" tableColumnId="65"/>
      <queryTableField id="66" name="BNY04" tableColumnId="66"/>
      <queryTableField id="67" name="BNY05" tableColumnId="67"/>
      <queryTableField id="68" name="BNY06" tableColumnId="68"/>
      <queryTableField id="69" name="BNY07" tableColumnId="69"/>
      <queryTableField id="70" name="BNY08" tableColumnId="70"/>
      <queryTableField id="71" name="BNY09" tableColumnId="71"/>
      <queryTableField id="72" name="BNY10" tableColumnId="72"/>
      <queryTableField id="73" name="BNY11" tableColumnId="73"/>
      <queryTableField id="74" name="BNY12" tableColumnId="7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 Queries - Consolidation IS.accdb" connectionId="2" xr16:uid="{00000000-0016-0000-0500-000001000000}" autoFormatId="16" applyNumberFormats="0" applyBorderFormats="0" applyFontFormats="0" applyPatternFormats="0" applyAlignmentFormats="0" applyWidthHeightFormats="0">
  <queryTableRefresh nextId="82">
    <queryTableFields count="81">
      <queryTableField id="1" name="DIV" tableColumnId="1"/>
      <queryTableField id="2" name="SubGroup" tableColumnId="2"/>
      <queryTableField id="3" name="SubGroup_Name" tableColumnId="3"/>
      <queryTableField id="4" name="ACCT_NO" tableColumnId="4"/>
      <queryTableField id="5" name="DEP" tableColumnId="5"/>
      <queryTableField id="6" name="ACCT" tableColumnId="6"/>
      <queryTableField id="7" name="CHANNEL" tableColumnId="7"/>
      <queryTableField id="8" name="BRAND" tableColumnId="8"/>
      <queryTableField id="9" name="NAME" tableColumnId="9"/>
      <queryTableField id="10" name="LY01" tableColumnId="10"/>
      <queryTableField id="11" name="LY02" tableColumnId="11"/>
      <queryTableField id="12" name="LY03" tableColumnId="12"/>
      <queryTableField id="13" name="LY04" tableColumnId="13"/>
      <queryTableField id="14" name="LY05" tableColumnId="14"/>
      <queryTableField id="15" name="LY06" tableColumnId="15"/>
      <queryTableField id="16" name="LY07" tableColumnId="16"/>
      <queryTableField id="17" name="LY08" tableColumnId="17"/>
      <queryTableField id="18" name="LY09" tableColumnId="18"/>
      <queryTableField id="19" name="LY10" tableColumnId="19"/>
      <queryTableField id="20" name="LY11" tableColumnId="20"/>
      <queryTableField id="21" name="LY12" tableColumnId="21"/>
      <queryTableField id="22" name="TY01" tableColumnId="22"/>
      <queryTableField id="23" name="TY02" tableColumnId="23"/>
      <queryTableField id="24" name="TY03" tableColumnId="24"/>
      <queryTableField id="25" name="TY04" tableColumnId="25"/>
      <queryTableField id="26" name="TY05" tableColumnId="26"/>
      <queryTableField id="27" name="TY06" tableColumnId="27"/>
      <queryTableField id="28" name="TY07" tableColumnId="28"/>
      <queryTableField id="29" name="TY08" tableColumnId="29"/>
      <queryTableField id="30" name="TY09" tableColumnId="30"/>
      <queryTableField id="31" name="TY10" tableColumnId="31"/>
      <queryTableField id="32" name="TY11" tableColumnId="32"/>
      <queryTableField id="33" name="TY12" tableColumnId="33"/>
      <queryTableField id="34" name="NY01" tableColumnId="34"/>
      <queryTableField id="35" name="NY02" tableColumnId="35"/>
      <queryTableField id="36" name="NY03" tableColumnId="36"/>
      <queryTableField id="37" name="NY04" tableColumnId="37"/>
      <queryTableField id="38" name="NY05" tableColumnId="38"/>
      <queryTableField id="39" name="NY06" tableColumnId="39"/>
      <queryTableField id="40" name="NY07" tableColumnId="40"/>
      <queryTableField id="41" name="NY08" tableColumnId="41"/>
      <queryTableField id="42" name="NY09" tableColumnId="42"/>
      <queryTableField id="43" name="NY10" tableColumnId="43"/>
      <queryTableField id="44" name="NY11" tableColumnId="44"/>
      <queryTableField id="45" name="NY12" tableColumnId="45"/>
      <queryTableField id="46" name="BLY01" tableColumnId="46"/>
      <queryTableField id="47" name="BLY02" tableColumnId="47"/>
      <queryTableField id="48" name="BLY03" tableColumnId="48"/>
      <queryTableField id="49" name="BLY04" tableColumnId="49"/>
      <queryTableField id="50" name="BLY05" tableColumnId="50"/>
      <queryTableField id="51" name="BLY06" tableColumnId="51"/>
      <queryTableField id="52" name="BLY07" tableColumnId="52"/>
      <queryTableField id="53" name="BLY08" tableColumnId="53"/>
      <queryTableField id="54" name="BLY09" tableColumnId="54"/>
      <queryTableField id="55" name="BLY10" tableColumnId="55"/>
      <queryTableField id="56" name="BLY11" tableColumnId="56"/>
      <queryTableField id="57" name="BLY12" tableColumnId="57"/>
      <queryTableField id="58" name="BTY01" tableColumnId="58"/>
      <queryTableField id="59" name="BTY02" tableColumnId="59"/>
      <queryTableField id="60" name="BTY03" tableColumnId="60"/>
      <queryTableField id="61" name="BTY04" tableColumnId="61"/>
      <queryTableField id="62" name="BTY05" tableColumnId="62"/>
      <queryTableField id="63" name="BTY06" tableColumnId="63"/>
      <queryTableField id="64" name="BTY07" tableColumnId="64"/>
      <queryTableField id="65" name="BTY08" tableColumnId="65"/>
      <queryTableField id="66" name="BTY09" tableColumnId="66"/>
      <queryTableField id="67" name="BTY10" tableColumnId="67"/>
      <queryTableField id="68" name="BTY11" tableColumnId="68"/>
      <queryTableField id="69" name="BTY12" tableColumnId="69"/>
      <queryTableField id="70" name="BNY01" tableColumnId="70"/>
      <queryTableField id="71" name="BNY02" tableColumnId="71"/>
      <queryTableField id="72" name="BNY03" tableColumnId="72"/>
      <queryTableField id="73" name="BNY04" tableColumnId="73"/>
      <queryTableField id="74" name="BNY05" tableColumnId="74"/>
      <queryTableField id="75" name="BNY06" tableColumnId="75"/>
      <queryTableField id="76" name="BNY07" tableColumnId="76"/>
      <queryTableField id="77" name="BNY08" tableColumnId="77"/>
      <queryTableField id="78" name="BNY09" tableColumnId="78"/>
      <queryTableField id="79" name="BNY10" tableColumnId="79"/>
      <queryTableField id="80" name="BNY11" tableColumnId="80"/>
      <queryTableField id="81" name="BNY12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SS" displayName="CISS" ref="A1:BV29" tableType="queryTable" totalsRowShown="0">
  <autoFilter ref="A1:BV29" xr:uid="{00000000-0009-0000-0100-000001000000}"/>
  <tableColumns count="74">
    <tableColumn id="1" xr3:uid="{00000000-0010-0000-0000-000001000000}" uniqueName="1" name="SubGroup" queryTableFieldId="1"/>
    <tableColumn id="2" xr3:uid="{00000000-0010-0000-0000-000002000000}" uniqueName="2" name="SubGroup_Name" queryTableFieldId="2"/>
    <tableColumn id="3" xr3:uid="{00000000-0010-0000-0000-000003000000}" uniqueName="3" name="LY01" queryTableFieldId="3"/>
    <tableColumn id="4" xr3:uid="{00000000-0010-0000-0000-000004000000}" uniqueName="4" name="LY02" queryTableFieldId="4"/>
    <tableColumn id="5" xr3:uid="{00000000-0010-0000-0000-000005000000}" uniqueName="5" name="LY03" queryTableFieldId="5"/>
    <tableColumn id="6" xr3:uid="{00000000-0010-0000-0000-000006000000}" uniqueName="6" name="LY04" queryTableFieldId="6"/>
    <tableColumn id="7" xr3:uid="{00000000-0010-0000-0000-000007000000}" uniqueName="7" name="LY05" queryTableFieldId="7"/>
    <tableColumn id="8" xr3:uid="{00000000-0010-0000-0000-000008000000}" uniqueName="8" name="LY06" queryTableFieldId="8"/>
    <tableColumn id="9" xr3:uid="{00000000-0010-0000-0000-000009000000}" uniqueName="9" name="LY07" queryTableFieldId="9"/>
    <tableColumn id="10" xr3:uid="{00000000-0010-0000-0000-00000A000000}" uniqueName="10" name="LY08" queryTableFieldId="10"/>
    <tableColumn id="11" xr3:uid="{00000000-0010-0000-0000-00000B000000}" uniqueName="11" name="LY09" queryTableFieldId="11"/>
    <tableColumn id="12" xr3:uid="{00000000-0010-0000-0000-00000C000000}" uniqueName="12" name="LY10" queryTableFieldId="12"/>
    <tableColumn id="13" xr3:uid="{00000000-0010-0000-0000-00000D000000}" uniqueName="13" name="LY11" queryTableFieldId="13"/>
    <tableColumn id="14" xr3:uid="{00000000-0010-0000-0000-00000E000000}" uniqueName="14" name="LY12" queryTableFieldId="14"/>
    <tableColumn id="15" xr3:uid="{00000000-0010-0000-0000-00000F000000}" uniqueName="15" name="TY01" queryTableFieldId="15"/>
    <tableColumn id="16" xr3:uid="{00000000-0010-0000-0000-000010000000}" uniqueName="16" name="TY02" queryTableFieldId="16"/>
    <tableColumn id="17" xr3:uid="{00000000-0010-0000-0000-000011000000}" uniqueName="17" name="TY03" queryTableFieldId="17"/>
    <tableColumn id="18" xr3:uid="{00000000-0010-0000-0000-000012000000}" uniqueName="18" name="TY04" queryTableFieldId="18"/>
    <tableColumn id="19" xr3:uid="{00000000-0010-0000-0000-000013000000}" uniqueName="19" name="TY05" queryTableFieldId="19"/>
    <tableColumn id="20" xr3:uid="{00000000-0010-0000-0000-000014000000}" uniqueName="20" name="TY06" queryTableFieldId="20"/>
    <tableColumn id="21" xr3:uid="{00000000-0010-0000-0000-000015000000}" uniqueName="21" name="TY07" queryTableFieldId="21"/>
    <tableColumn id="22" xr3:uid="{00000000-0010-0000-0000-000016000000}" uniqueName="22" name="TY08" queryTableFieldId="22"/>
    <tableColumn id="23" xr3:uid="{00000000-0010-0000-0000-000017000000}" uniqueName="23" name="TY09" queryTableFieldId="23"/>
    <tableColumn id="24" xr3:uid="{00000000-0010-0000-0000-000018000000}" uniqueName="24" name="TY10" queryTableFieldId="24"/>
    <tableColumn id="25" xr3:uid="{00000000-0010-0000-0000-000019000000}" uniqueName="25" name="TY11" queryTableFieldId="25"/>
    <tableColumn id="26" xr3:uid="{00000000-0010-0000-0000-00001A000000}" uniqueName="26" name="TY12" queryTableFieldId="26"/>
    <tableColumn id="27" xr3:uid="{00000000-0010-0000-0000-00001B000000}" uniqueName="27" name="NY01" queryTableFieldId="27"/>
    <tableColumn id="28" xr3:uid="{00000000-0010-0000-0000-00001C000000}" uniqueName="28" name="NY02" queryTableFieldId="28"/>
    <tableColumn id="29" xr3:uid="{00000000-0010-0000-0000-00001D000000}" uniqueName="29" name="NY03" queryTableFieldId="29"/>
    <tableColumn id="30" xr3:uid="{00000000-0010-0000-0000-00001E000000}" uniqueName="30" name="NY04" queryTableFieldId="30"/>
    <tableColumn id="31" xr3:uid="{00000000-0010-0000-0000-00001F000000}" uniqueName="31" name="NY05" queryTableFieldId="31"/>
    <tableColumn id="32" xr3:uid="{00000000-0010-0000-0000-000020000000}" uniqueName="32" name="NY06" queryTableFieldId="32"/>
    <tableColumn id="33" xr3:uid="{00000000-0010-0000-0000-000021000000}" uniqueName="33" name="NY07" queryTableFieldId="33"/>
    <tableColumn id="34" xr3:uid="{00000000-0010-0000-0000-000022000000}" uniqueName="34" name="NY08" queryTableFieldId="34"/>
    <tableColumn id="35" xr3:uid="{00000000-0010-0000-0000-000023000000}" uniqueName="35" name="NY09" queryTableFieldId="35"/>
    <tableColumn id="36" xr3:uid="{00000000-0010-0000-0000-000024000000}" uniqueName="36" name="NY10" queryTableFieldId="36"/>
    <tableColumn id="37" xr3:uid="{00000000-0010-0000-0000-000025000000}" uniqueName="37" name="NY11" queryTableFieldId="37"/>
    <tableColumn id="38" xr3:uid="{00000000-0010-0000-0000-000026000000}" uniqueName="38" name="NY12" queryTableFieldId="38"/>
    <tableColumn id="39" xr3:uid="{00000000-0010-0000-0000-000027000000}" uniqueName="39" name="BLY01" queryTableFieldId="39"/>
    <tableColumn id="40" xr3:uid="{00000000-0010-0000-0000-000028000000}" uniqueName="40" name="BLY02" queryTableFieldId="40"/>
    <tableColumn id="41" xr3:uid="{00000000-0010-0000-0000-000029000000}" uniqueName="41" name="BLY03" queryTableFieldId="41"/>
    <tableColumn id="42" xr3:uid="{00000000-0010-0000-0000-00002A000000}" uniqueName="42" name="BLY04" queryTableFieldId="42"/>
    <tableColumn id="43" xr3:uid="{00000000-0010-0000-0000-00002B000000}" uniqueName="43" name="BLY05" queryTableFieldId="43"/>
    <tableColumn id="44" xr3:uid="{00000000-0010-0000-0000-00002C000000}" uniqueName="44" name="BLY06" queryTableFieldId="44"/>
    <tableColumn id="45" xr3:uid="{00000000-0010-0000-0000-00002D000000}" uniqueName="45" name="BLY07" queryTableFieldId="45"/>
    <tableColumn id="46" xr3:uid="{00000000-0010-0000-0000-00002E000000}" uniqueName="46" name="BLY08" queryTableFieldId="46"/>
    <tableColumn id="47" xr3:uid="{00000000-0010-0000-0000-00002F000000}" uniqueName="47" name="BLY09" queryTableFieldId="47"/>
    <tableColumn id="48" xr3:uid="{00000000-0010-0000-0000-000030000000}" uniqueName="48" name="BLY10" queryTableFieldId="48"/>
    <tableColumn id="49" xr3:uid="{00000000-0010-0000-0000-000031000000}" uniqueName="49" name="BLY11" queryTableFieldId="49"/>
    <tableColumn id="50" xr3:uid="{00000000-0010-0000-0000-000032000000}" uniqueName="50" name="BLY12" queryTableFieldId="50"/>
    <tableColumn id="51" xr3:uid="{00000000-0010-0000-0000-000033000000}" uniqueName="51" name="BTY01" queryTableFieldId="51"/>
    <tableColumn id="52" xr3:uid="{00000000-0010-0000-0000-000034000000}" uniqueName="52" name="BTY02" queryTableFieldId="52"/>
    <tableColumn id="53" xr3:uid="{00000000-0010-0000-0000-000035000000}" uniqueName="53" name="BTY03" queryTableFieldId="53"/>
    <tableColumn id="54" xr3:uid="{00000000-0010-0000-0000-000036000000}" uniqueName="54" name="BTY04" queryTableFieldId="54"/>
    <tableColumn id="55" xr3:uid="{00000000-0010-0000-0000-000037000000}" uniqueName="55" name="BTY05" queryTableFieldId="55"/>
    <tableColumn id="56" xr3:uid="{00000000-0010-0000-0000-000038000000}" uniqueName="56" name="BTY06" queryTableFieldId="56"/>
    <tableColumn id="57" xr3:uid="{00000000-0010-0000-0000-000039000000}" uniqueName="57" name="BTY07" queryTableFieldId="57"/>
    <tableColumn id="58" xr3:uid="{00000000-0010-0000-0000-00003A000000}" uniqueName="58" name="BTY08" queryTableFieldId="58"/>
    <tableColumn id="59" xr3:uid="{00000000-0010-0000-0000-00003B000000}" uniqueName="59" name="BTY09" queryTableFieldId="59"/>
    <tableColumn id="60" xr3:uid="{00000000-0010-0000-0000-00003C000000}" uniqueName="60" name="BTY10" queryTableFieldId="60"/>
    <tableColumn id="61" xr3:uid="{00000000-0010-0000-0000-00003D000000}" uniqueName="61" name="BTY11" queryTableFieldId="61"/>
    <tableColumn id="62" xr3:uid="{00000000-0010-0000-0000-00003E000000}" uniqueName="62" name="BTY12" queryTableFieldId="62"/>
    <tableColumn id="63" xr3:uid="{00000000-0010-0000-0000-00003F000000}" uniqueName="63" name="BNY01" queryTableFieldId="63"/>
    <tableColumn id="64" xr3:uid="{00000000-0010-0000-0000-000040000000}" uniqueName="64" name="BNY02" queryTableFieldId="64"/>
    <tableColumn id="65" xr3:uid="{00000000-0010-0000-0000-000041000000}" uniqueName="65" name="BNY03" queryTableFieldId="65"/>
    <tableColumn id="66" xr3:uid="{00000000-0010-0000-0000-000042000000}" uniqueName="66" name="BNY04" queryTableFieldId="66"/>
    <tableColumn id="67" xr3:uid="{00000000-0010-0000-0000-000043000000}" uniqueName="67" name="BNY05" queryTableFieldId="67"/>
    <tableColumn id="68" xr3:uid="{00000000-0010-0000-0000-000044000000}" uniqueName="68" name="BNY06" queryTableFieldId="68"/>
    <tableColumn id="69" xr3:uid="{00000000-0010-0000-0000-000045000000}" uniqueName="69" name="BNY07" queryTableFieldId="69"/>
    <tableColumn id="70" xr3:uid="{00000000-0010-0000-0000-000046000000}" uniqueName="70" name="BNY08" queryTableFieldId="70"/>
    <tableColumn id="71" xr3:uid="{00000000-0010-0000-0000-000047000000}" uniqueName="71" name="BNY09" queryTableFieldId="71"/>
    <tableColumn id="72" xr3:uid="{00000000-0010-0000-0000-000048000000}" uniqueName="72" name="BNY10" queryTableFieldId="72"/>
    <tableColumn id="73" xr3:uid="{00000000-0010-0000-0000-000049000000}" uniqueName="73" name="BNY11" queryTableFieldId="73"/>
    <tableColumn id="74" xr3:uid="{00000000-0010-0000-0000-00004A000000}" uniqueName="74" name="BNY12" queryTableField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AS" displayName="CSAS" ref="A1:CC45" tableType="queryTable" totalsRowShown="0">
  <autoFilter ref="A1:CC45" xr:uid="{00000000-0009-0000-0100-000002000000}"/>
  <tableColumns count="81">
    <tableColumn id="1" xr3:uid="{00000000-0010-0000-0100-000001000000}" uniqueName="1" name="DIV" queryTableFieldId="1"/>
    <tableColumn id="2" xr3:uid="{00000000-0010-0000-0100-000002000000}" uniqueName="2" name="SubGroup" queryTableFieldId="2"/>
    <tableColumn id="3" xr3:uid="{00000000-0010-0000-0100-000003000000}" uniqueName="3" name="SubGroup_Name" queryTableFieldId="3"/>
    <tableColumn id="4" xr3:uid="{00000000-0010-0000-0100-000004000000}" uniqueName="4" name="ACCT_NO" queryTableFieldId="4"/>
    <tableColumn id="5" xr3:uid="{00000000-0010-0000-0100-000005000000}" uniqueName="5" name="DEP" queryTableFieldId="5"/>
    <tableColumn id="6" xr3:uid="{00000000-0010-0000-0100-000006000000}" uniqueName="6" name="ACCT" queryTableFieldId="6"/>
    <tableColumn id="7" xr3:uid="{00000000-0010-0000-0100-000007000000}" uniqueName="7" name="CHANNEL" queryTableFieldId="7"/>
    <tableColumn id="8" xr3:uid="{00000000-0010-0000-0100-000008000000}" uniqueName="8" name="BRAND" queryTableFieldId="8"/>
    <tableColumn id="9" xr3:uid="{00000000-0010-0000-0100-000009000000}" uniqueName="9" name="NAME" queryTableFieldId="9"/>
    <tableColumn id="10" xr3:uid="{00000000-0010-0000-0100-00000A000000}" uniqueName="10" name="LY01" queryTableFieldId="10"/>
    <tableColumn id="11" xr3:uid="{00000000-0010-0000-0100-00000B000000}" uniqueName="11" name="LY02" queryTableFieldId="11"/>
    <tableColumn id="12" xr3:uid="{00000000-0010-0000-0100-00000C000000}" uniqueName="12" name="LY03" queryTableFieldId="12"/>
    <tableColumn id="13" xr3:uid="{00000000-0010-0000-0100-00000D000000}" uniqueName="13" name="LY04" queryTableFieldId="13"/>
    <tableColumn id="14" xr3:uid="{00000000-0010-0000-0100-00000E000000}" uniqueName="14" name="LY05" queryTableFieldId="14"/>
    <tableColumn id="15" xr3:uid="{00000000-0010-0000-0100-00000F000000}" uniqueName="15" name="LY06" queryTableFieldId="15"/>
    <tableColumn id="16" xr3:uid="{00000000-0010-0000-0100-000010000000}" uniqueName="16" name="LY07" queryTableFieldId="16"/>
    <tableColumn id="17" xr3:uid="{00000000-0010-0000-0100-000011000000}" uniqueName="17" name="LY08" queryTableFieldId="17"/>
    <tableColumn id="18" xr3:uid="{00000000-0010-0000-0100-000012000000}" uniqueName="18" name="LY09" queryTableFieldId="18"/>
    <tableColumn id="19" xr3:uid="{00000000-0010-0000-0100-000013000000}" uniqueName="19" name="LY10" queryTableFieldId="19"/>
    <tableColumn id="20" xr3:uid="{00000000-0010-0000-0100-000014000000}" uniqueName="20" name="LY11" queryTableFieldId="20"/>
    <tableColumn id="21" xr3:uid="{00000000-0010-0000-0100-000015000000}" uniqueName="21" name="LY12" queryTableFieldId="21"/>
    <tableColumn id="22" xr3:uid="{00000000-0010-0000-0100-000016000000}" uniqueName="22" name="TY01" queryTableFieldId="22"/>
    <tableColumn id="23" xr3:uid="{00000000-0010-0000-0100-000017000000}" uniqueName="23" name="TY02" queryTableFieldId="23"/>
    <tableColumn id="24" xr3:uid="{00000000-0010-0000-0100-000018000000}" uniqueName="24" name="TY03" queryTableFieldId="24"/>
    <tableColumn id="25" xr3:uid="{00000000-0010-0000-0100-000019000000}" uniqueName="25" name="TY04" queryTableFieldId="25"/>
    <tableColumn id="26" xr3:uid="{00000000-0010-0000-0100-00001A000000}" uniqueName="26" name="TY05" queryTableFieldId="26"/>
    <tableColumn id="27" xr3:uid="{00000000-0010-0000-0100-00001B000000}" uniqueName="27" name="TY06" queryTableFieldId="27"/>
    <tableColumn id="28" xr3:uid="{00000000-0010-0000-0100-00001C000000}" uniqueName="28" name="TY07" queryTableFieldId="28"/>
    <tableColumn id="29" xr3:uid="{00000000-0010-0000-0100-00001D000000}" uniqueName="29" name="TY08" queryTableFieldId="29"/>
    <tableColumn id="30" xr3:uid="{00000000-0010-0000-0100-00001E000000}" uniqueName="30" name="TY09" queryTableFieldId="30"/>
    <tableColumn id="31" xr3:uid="{00000000-0010-0000-0100-00001F000000}" uniqueName="31" name="TY10" queryTableFieldId="31"/>
    <tableColumn id="32" xr3:uid="{00000000-0010-0000-0100-000020000000}" uniqueName="32" name="TY11" queryTableFieldId="32"/>
    <tableColumn id="33" xr3:uid="{00000000-0010-0000-0100-000021000000}" uniqueName="33" name="TY12" queryTableFieldId="33"/>
    <tableColumn id="34" xr3:uid="{00000000-0010-0000-0100-000022000000}" uniqueName="34" name="NY01" queryTableFieldId="34"/>
    <tableColumn id="35" xr3:uid="{00000000-0010-0000-0100-000023000000}" uniqueName="35" name="NY02" queryTableFieldId="35"/>
    <tableColumn id="36" xr3:uid="{00000000-0010-0000-0100-000024000000}" uniqueName="36" name="NY03" queryTableFieldId="36"/>
    <tableColumn id="37" xr3:uid="{00000000-0010-0000-0100-000025000000}" uniqueName="37" name="NY04" queryTableFieldId="37"/>
    <tableColumn id="38" xr3:uid="{00000000-0010-0000-0100-000026000000}" uniqueName="38" name="NY05" queryTableFieldId="38"/>
    <tableColumn id="39" xr3:uid="{00000000-0010-0000-0100-000027000000}" uniqueName="39" name="NY06" queryTableFieldId="39"/>
    <tableColumn id="40" xr3:uid="{00000000-0010-0000-0100-000028000000}" uniqueName="40" name="NY07" queryTableFieldId="40"/>
    <tableColumn id="41" xr3:uid="{00000000-0010-0000-0100-000029000000}" uniqueName="41" name="NY08" queryTableFieldId="41"/>
    <tableColumn id="42" xr3:uid="{00000000-0010-0000-0100-00002A000000}" uniqueName="42" name="NY09" queryTableFieldId="42"/>
    <tableColumn id="43" xr3:uid="{00000000-0010-0000-0100-00002B000000}" uniqueName="43" name="NY10" queryTableFieldId="43"/>
    <tableColumn id="44" xr3:uid="{00000000-0010-0000-0100-00002C000000}" uniqueName="44" name="NY11" queryTableFieldId="44"/>
    <tableColumn id="45" xr3:uid="{00000000-0010-0000-0100-00002D000000}" uniqueName="45" name="NY12" queryTableFieldId="45"/>
    <tableColumn id="46" xr3:uid="{00000000-0010-0000-0100-00002E000000}" uniqueName="46" name="BLY01" queryTableFieldId="46"/>
    <tableColumn id="47" xr3:uid="{00000000-0010-0000-0100-00002F000000}" uniqueName="47" name="BLY02" queryTableFieldId="47"/>
    <tableColumn id="48" xr3:uid="{00000000-0010-0000-0100-000030000000}" uniqueName="48" name="BLY03" queryTableFieldId="48"/>
    <tableColumn id="49" xr3:uid="{00000000-0010-0000-0100-000031000000}" uniqueName="49" name="BLY04" queryTableFieldId="49"/>
    <tableColumn id="50" xr3:uid="{00000000-0010-0000-0100-000032000000}" uniqueName="50" name="BLY05" queryTableFieldId="50"/>
    <tableColumn id="51" xr3:uid="{00000000-0010-0000-0100-000033000000}" uniqueName="51" name="BLY06" queryTableFieldId="51"/>
    <tableColumn id="52" xr3:uid="{00000000-0010-0000-0100-000034000000}" uniqueName="52" name="BLY07" queryTableFieldId="52"/>
    <tableColumn id="53" xr3:uid="{00000000-0010-0000-0100-000035000000}" uniqueName="53" name="BLY08" queryTableFieldId="53"/>
    <tableColumn id="54" xr3:uid="{00000000-0010-0000-0100-000036000000}" uniqueName="54" name="BLY09" queryTableFieldId="54"/>
    <tableColumn id="55" xr3:uid="{00000000-0010-0000-0100-000037000000}" uniqueName="55" name="BLY10" queryTableFieldId="55"/>
    <tableColumn id="56" xr3:uid="{00000000-0010-0000-0100-000038000000}" uniqueName="56" name="BLY11" queryTableFieldId="56"/>
    <tableColumn id="57" xr3:uid="{00000000-0010-0000-0100-000039000000}" uniqueName="57" name="BLY12" queryTableFieldId="57"/>
    <tableColumn id="58" xr3:uid="{00000000-0010-0000-0100-00003A000000}" uniqueName="58" name="BTY01" queryTableFieldId="58"/>
    <tableColumn id="59" xr3:uid="{00000000-0010-0000-0100-00003B000000}" uniqueName="59" name="BTY02" queryTableFieldId="59"/>
    <tableColumn id="60" xr3:uid="{00000000-0010-0000-0100-00003C000000}" uniqueName="60" name="BTY03" queryTableFieldId="60"/>
    <tableColumn id="61" xr3:uid="{00000000-0010-0000-0100-00003D000000}" uniqueName="61" name="BTY04" queryTableFieldId="61"/>
    <tableColumn id="62" xr3:uid="{00000000-0010-0000-0100-00003E000000}" uniqueName="62" name="BTY05" queryTableFieldId="62"/>
    <tableColumn id="63" xr3:uid="{00000000-0010-0000-0100-00003F000000}" uniqueName="63" name="BTY06" queryTableFieldId="63"/>
    <tableColumn id="64" xr3:uid="{00000000-0010-0000-0100-000040000000}" uniqueName="64" name="BTY07" queryTableFieldId="64"/>
    <tableColumn id="65" xr3:uid="{00000000-0010-0000-0100-000041000000}" uniqueName="65" name="BTY08" queryTableFieldId="65"/>
    <tableColumn id="66" xr3:uid="{00000000-0010-0000-0100-000042000000}" uniqueName="66" name="BTY09" queryTableFieldId="66"/>
    <tableColumn id="67" xr3:uid="{00000000-0010-0000-0100-000043000000}" uniqueName="67" name="BTY10" queryTableFieldId="67"/>
    <tableColumn id="68" xr3:uid="{00000000-0010-0000-0100-000044000000}" uniqueName="68" name="BTY11" queryTableFieldId="68"/>
    <tableColumn id="69" xr3:uid="{00000000-0010-0000-0100-000045000000}" uniqueName="69" name="BTY12" queryTableFieldId="69"/>
    <tableColumn id="70" xr3:uid="{00000000-0010-0000-0100-000046000000}" uniqueName="70" name="BNY01" queryTableFieldId="70"/>
    <tableColumn id="71" xr3:uid="{00000000-0010-0000-0100-000047000000}" uniqueName="71" name="BNY02" queryTableFieldId="71"/>
    <tableColumn id="72" xr3:uid="{00000000-0010-0000-0100-000048000000}" uniqueName="72" name="BNY03" queryTableFieldId="72"/>
    <tableColumn id="73" xr3:uid="{00000000-0010-0000-0100-000049000000}" uniqueName="73" name="BNY04" queryTableFieldId="73"/>
    <tableColumn id="74" xr3:uid="{00000000-0010-0000-0100-00004A000000}" uniqueName="74" name="BNY05" queryTableFieldId="74"/>
    <tableColumn id="75" xr3:uid="{00000000-0010-0000-0100-00004B000000}" uniqueName="75" name="BNY06" queryTableFieldId="75"/>
    <tableColumn id="76" xr3:uid="{00000000-0010-0000-0100-00004C000000}" uniqueName="76" name="BNY07" queryTableFieldId="76"/>
    <tableColumn id="77" xr3:uid="{00000000-0010-0000-0100-00004D000000}" uniqueName="77" name="BNY08" queryTableFieldId="77"/>
    <tableColumn id="78" xr3:uid="{00000000-0010-0000-0100-00004E000000}" uniqueName="78" name="BNY09" queryTableFieldId="78"/>
    <tableColumn id="79" xr3:uid="{00000000-0010-0000-0100-00004F000000}" uniqueName="79" name="BNY10" queryTableFieldId="79"/>
    <tableColumn id="80" xr3:uid="{00000000-0010-0000-0100-000050000000}" uniqueName="80" name="BNY11" queryTableFieldId="80"/>
    <tableColumn id="81" xr3:uid="{00000000-0010-0000-0100-000051000000}" uniqueName="81" name="BNY12" queryTableFieldId="8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I22" sqref="I22"/>
    </sheetView>
  </sheetViews>
  <sheetFormatPr defaultRowHeight="14.4" x14ac:dyDescent="0.3"/>
  <cols>
    <col min="2" max="2" width="19.5546875" customWidth="1"/>
    <col min="3" max="3" width="30.21875" customWidth="1"/>
    <col min="4" max="4" width="20.77734375" customWidth="1"/>
    <col min="5" max="5" width="19.21875" customWidth="1"/>
    <col min="6" max="7" width="15.77734375" customWidth="1"/>
    <col min="8" max="8" width="14.5546875" customWidth="1"/>
    <col min="9" max="9" width="16.21875" customWidth="1"/>
  </cols>
  <sheetData>
    <row r="1" spans="1:16" ht="33.6" x14ac:dyDescent="0.65">
      <c r="C1" s="111" t="s">
        <v>211</v>
      </c>
      <c r="D1" s="111"/>
      <c r="E1" s="111"/>
      <c r="F1" s="111"/>
      <c r="G1" s="111"/>
      <c r="H1" s="111"/>
      <c r="I1" s="111"/>
      <c r="J1" s="111"/>
      <c r="K1" s="111"/>
      <c r="L1" s="111"/>
    </row>
    <row r="2" spans="1:16" ht="24" customHeight="1" x14ac:dyDescent="0.65"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6" x14ac:dyDescent="0.3">
      <c r="C3" s="24">
        <f>IFERROR(VLOOKUP($D$4,REFERENCE!$A$2:$B$13,2,FALSE),0)</f>
        <v>0</v>
      </c>
      <c r="E3" s="98" t="s">
        <v>452</v>
      </c>
      <c r="F3" t="s">
        <v>216</v>
      </c>
      <c r="H3" s="98" t="s">
        <v>454</v>
      </c>
      <c r="I3" s="109" t="s">
        <v>217</v>
      </c>
      <c r="L3" t="s">
        <v>456</v>
      </c>
      <c r="M3" t="str">
        <f>VLOOKUP(F3,REFERENCE!F2:G4,2,FALSE)</f>
        <v>LY</v>
      </c>
      <c r="N3" t="s">
        <v>457</v>
      </c>
      <c r="O3" t="str">
        <f>VLOOKUP(I3,REFERENCE!F2:G4,2,FALSE)</f>
        <v>TY</v>
      </c>
      <c r="P3" t="s">
        <v>463</v>
      </c>
    </row>
    <row r="4" spans="1:16" x14ac:dyDescent="0.3">
      <c r="C4" s="24">
        <f>IFERROR(VLOOKUP($D$4,REFERENCE!$A$2:$B$13,2,FALSE),0)</f>
        <v>0</v>
      </c>
      <c r="E4" s="98" t="s">
        <v>453</v>
      </c>
      <c r="F4" t="s">
        <v>187</v>
      </c>
      <c r="H4" s="98" t="s">
        <v>455</v>
      </c>
      <c r="I4" s="109" t="s">
        <v>191</v>
      </c>
      <c r="M4" t="str">
        <f>VLOOKUP(F4,REFERENCE!A2:B13,2,FALSE)</f>
        <v>10</v>
      </c>
      <c r="O4" t="str">
        <f>VLOOKUP(I4,REFERENCE!A2:B13,2,FALSE)</f>
        <v>12</v>
      </c>
    </row>
    <row r="5" spans="1:16" x14ac:dyDescent="0.3">
      <c r="M5" t="str">
        <f>M3&amp;M4</f>
        <v>LY10</v>
      </c>
      <c r="O5" t="str">
        <f>O3&amp;O4</f>
        <v>TY12</v>
      </c>
    </row>
    <row r="6" spans="1:16" x14ac:dyDescent="0.3">
      <c r="M6" t="str">
        <f>P3&amp;M5</f>
        <v>BLY10</v>
      </c>
      <c r="O6" t="str">
        <f>P3&amp;O5</f>
        <v>BTY12</v>
      </c>
    </row>
    <row r="7" spans="1:16" x14ac:dyDescent="0.3">
      <c r="E7" s="99" t="s">
        <v>458</v>
      </c>
      <c r="F7" s="99" t="s">
        <v>451</v>
      </c>
      <c r="G7" s="99" t="s">
        <v>459</v>
      </c>
    </row>
    <row r="9" spans="1:16" x14ac:dyDescent="0.3">
      <c r="A9" s="1" t="s">
        <v>74</v>
      </c>
      <c r="B9" s="1" t="s">
        <v>75</v>
      </c>
      <c r="C9" s="1"/>
      <c r="E9">
        <f ca="1">CNYM1</f>
        <v>16891319.460000001</v>
      </c>
      <c r="F9">
        <f ca="1">CBNYM1</f>
        <v>15715151.000000002</v>
      </c>
      <c r="G9">
        <f ca="1">+E9-F9</f>
        <v>1176168.459999999</v>
      </c>
    </row>
    <row r="10" spans="1:16" x14ac:dyDescent="0.3">
      <c r="A10" s="1" t="s">
        <v>76</v>
      </c>
      <c r="B10" s="1" t="s">
        <v>77</v>
      </c>
      <c r="C10" s="1"/>
      <c r="E10">
        <f ca="1">CNYM1</f>
        <v>528521.35</v>
      </c>
      <c r="F10">
        <f ca="1">CBNYM1</f>
        <v>541607.32999999996</v>
      </c>
      <c r="G10">
        <f t="shared" ref="G10:G69" ca="1" si="0">+E10-F10</f>
        <v>-13085.979999999981</v>
      </c>
    </row>
    <row r="11" spans="1:16" ht="15.6" x14ac:dyDescent="0.3">
      <c r="A11" s="30"/>
      <c r="B11" s="30"/>
      <c r="C11" s="29" t="s">
        <v>130</v>
      </c>
      <c r="E11">
        <f ca="1">E9+E10</f>
        <v>17419840.810000002</v>
      </c>
      <c r="F11">
        <f ca="1">F9+F10</f>
        <v>16256758.330000002</v>
      </c>
      <c r="G11">
        <f t="shared" ca="1" si="0"/>
        <v>1163082.4800000004</v>
      </c>
    </row>
    <row r="12" spans="1:16" x14ac:dyDescent="0.3">
      <c r="A12" s="1"/>
      <c r="B12" s="1"/>
      <c r="C12" s="1"/>
      <c r="E12" cm="1">
        <f t="array" aca="1" ref="E12" ca="1">SUMPRODUCT((CISS[SubGroup]=YEAR!$A12)*(INDIRECT("CISS[["&amp;YEAR!$M$6&amp;"]:["&amp;YEAR!$O$6&amp;"]]")))</f>
        <v>0</v>
      </c>
    </row>
    <row r="13" spans="1:16" ht="15.6" x14ac:dyDescent="0.3">
      <c r="A13" s="1"/>
      <c r="B13" s="1"/>
      <c r="C13" s="29" t="s">
        <v>131</v>
      </c>
    </row>
    <row r="14" spans="1:16" x14ac:dyDescent="0.3">
      <c r="A14" s="1" t="s">
        <v>78</v>
      </c>
      <c r="B14" s="1" t="s">
        <v>79</v>
      </c>
      <c r="C14" s="3"/>
      <c r="E14">
        <f ca="1">CNYM1</f>
        <v>219471.53</v>
      </c>
      <c r="F14">
        <f ca="1">CBNYM1</f>
        <v>218420.96</v>
      </c>
    </row>
    <row r="15" spans="1:16" x14ac:dyDescent="0.3">
      <c r="A15" s="1" t="s">
        <v>80</v>
      </c>
      <c r="B15" s="1" t="s">
        <v>81</v>
      </c>
      <c r="C15" s="1"/>
      <c r="E15">
        <f ca="1">CNYM1</f>
        <v>8185198.379999999</v>
      </c>
      <c r="F15">
        <f ca="1">CBNYM1</f>
        <v>7823900.4700000007</v>
      </c>
    </row>
    <row r="16" spans="1:16" x14ac:dyDescent="0.3">
      <c r="A16" s="1"/>
      <c r="B16" s="1"/>
      <c r="C16" s="3" t="s">
        <v>132</v>
      </c>
      <c r="E16">
        <f ca="1">E14+E15</f>
        <v>8404669.9099999983</v>
      </c>
      <c r="F16">
        <f ca="1">F14+F15</f>
        <v>8042321.4300000006</v>
      </c>
      <c r="G16">
        <f t="shared" ca="1" si="0"/>
        <v>362348.47999999765</v>
      </c>
    </row>
    <row r="17" spans="1:7" x14ac:dyDescent="0.3">
      <c r="A17" s="1" t="s">
        <v>116</v>
      </c>
      <c r="B17" s="1" t="s">
        <v>117</v>
      </c>
      <c r="C17" s="3" t="s">
        <v>133</v>
      </c>
      <c r="E17">
        <f ca="1">CNYM1</f>
        <v>1564352.98</v>
      </c>
      <c r="F17">
        <f ca="1">CBNYM1</f>
        <v>494947.61999999988</v>
      </c>
      <c r="G17">
        <f t="shared" ca="1" si="0"/>
        <v>1069405.3600000001</v>
      </c>
    </row>
    <row r="18" spans="1:7" x14ac:dyDescent="0.3">
      <c r="A18" s="1" t="s">
        <v>110</v>
      </c>
      <c r="B18" s="1" t="s">
        <v>111</v>
      </c>
      <c r="C18" s="3" t="s">
        <v>134</v>
      </c>
      <c r="E18">
        <f ca="1">CNYM1</f>
        <v>207420.36</v>
      </c>
      <c r="F18">
        <f ca="1">CBNYM1</f>
        <v>160265.86000000002</v>
      </c>
      <c r="G18">
        <f t="shared" ca="1" si="0"/>
        <v>47154.499999999971</v>
      </c>
    </row>
    <row r="19" spans="1:7" ht="15.6" x14ac:dyDescent="0.3">
      <c r="A19" s="30"/>
      <c r="B19" s="30"/>
      <c r="C19" s="29" t="s">
        <v>135</v>
      </c>
      <c r="E19">
        <f ca="1">SUM(E16:E18)</f>
        <v>10176443.249999998</v>
      </c>
      <c r="F19">
        <f ca="1" xml:space="preserve"> SUM(F16:F18)</f>
        <v>8697534.9100000001</v>
      </c>
      <c r="G19">
        <f ca="1">SUM(G16:G18)</f>
        <v>1478908.3399999978</v>
      </c>
    </row>
    <row r="20" spans="1:7" ht="15.6" x14ac:dyDescent="0.3">
      <c r="A20" s="29"/>
      <c r="B20" s="29"/>
      <c r="C20" s="29" t="s">
        <v>136</v>
      </c>
      <c r="E20">
        <f ca="1">E11-E19</f>
        <v>7243397.5600000042</v>
      </c>
      <c r="F20">
        <f ca="1">F11-F19</f>
        <v>7559223.4200000018</v>
      </c>
      <c r="G20">
        <f t="shared" ca="1" si="0"/>
        <v>-315825.85999999754</v>
      </c>
    </row>
    <row r="21" spans="1:7" ht="15.6" x14ac:dyDescent="0.3">
      <c r="A21" s="30"/>
      <c r="B21" s="30"/>
      <c r="C21" s="29" t="s">
        <v>137</v>
      </c>
      <c r="E21">
        <f ca="1">E20/E11</f>
        <v>0.41581307424129116</v>
      </c>
      <c r="F21">
        <f ca="1">F20/F11</f>
        <v>0.464989591808738</v>
      </c>
    </row>
    <row r="22" spans="1:7" x14ac:dyDescent="0.3">
      <c r="A22" s="1"/>
      <c r="B22" s="1"/>
      <c r="C22" s="2"/>
    </row>
    <row r="23" spans="1:7" ht="15.6" x14ac:dyDescent="0.3">
      <c r="A23" s="1"/>
      <c r="B23" s="1"/>
      <c r="C23" s="29" t="s">
        <v>238</v>
      </c>
    </row>
    <row r="24" spans="1:7" x14ac:dyDescent="0.3">
      <c r="A24" s="1"/>
      <c r="B24" s="1"/>
      <c r="C24" s="3" t="s">
        <v>138</v>
      </c>
    </row>
    <row r="25" spans="1:7" x14ac:dyDescent="0.3">
      <c r="A25" s="1" t="s">
        <v>90</v>
      </c>
      <c r="B25" s="1" t="s">
        <v>91</v>
      </c>
      <c r="C25" s="4" t="s">
        <v>139</v>
      </c>
      <c r="E25">
        <f ca="1">CNYM1</f>
        <v>1469246.81</v>
      </c>
      <c r="F25">
        <f t="shared" ref="F25:F26" ca="1" si="1">CBNYM1</f>
        <v>1481917.79</v>
      </c>
      <c r="G25">
        <f t="shared" ca="1" si="0"/>
        <v>-12670.979999999981</v>
      </c>
    </row>
    <row r="26" spans="1:7" x14ac:dyDescent="0.3">
      <c r="A26" s="1" t="s">
        <v>84</v>
      </c>
      <c r="B26" s="1" t="s">
        <v>85</v>
      </c>
      <c r="C26" s="4" t="s">
        <v>140</v>
      </c>
      <c r="E26">
        <f ca="1">CNYM1</f>
        <v>93554.34</v>
      </c>
      <c r="F26">
        <f t="shared" ca="1" si="1"/>
        <v>84207.47</v>
      </c>
      <c r="G26">
        <f t="shared" ca="1" si="0"/>
        <v>9346.8699999999953</v>
      </c>
    </row>
    <row r="27" spans="1:7" x14ac:dyDescent="0.3">
      <c r="A27" s="1"/>
      <c r="B27" s="1"/>
      <c r="C27" s="4" t="s">
        <v>141</v>
      </c>
    </row>
    <row r="28" spans="1:7" x14ac:dyDescent="0.3">
      <c r="A28" s="1"/>
      <c r="B28" s="1"/>
      <c r="C28" s="3" t="s">
        <v>142</v>
      </c>
      <c r="E28">
        <f ca="1">SUM(E25:E27)</f>
        <v>1562801.1500000001</v>
      </c>
      <c r="F28">
        <f ca="1">SUM(F25:F27)</f>
        <v>1566125.26</v>
      </c>
      <c r="G28">
        <f t="shared" ca="1" si="0"/>
        <v>-3324.1099999998696</v>
      </c>
    </row>
    <row r="29" spans="1:7" x14ac:dyDescent="0.3">
      <c r="A29" s="1"/>
      <c r="B29" s="1"/>
      <c r="C29" s="3"/>
    </row>
    <row r="30" spans="1:7" x14ac:dyDescent="0.3">
      <c r="A30" s="1"/>
      <c r="B30" s="1"/>
      <c r="C30" s="3" t="s">
        <v>143</v>
      </c>
    </row>
    <row r="31" spans="1:7" x14ac:dyDescent="0.3">
      <c r="A31" s="1" t="s">
        <v>88</v>
      </c>
      <c r="B31" s="1" t="s">
        <v>89</v>
      </c>
      <c r="C31" s="4" t="s">
        <v>144</v>
      </c>
      <c r="E31">
        <f t="shared" ref="E31:E34" ca="1" si="2">CNYM1</f>
        <v>1101762.79</v>
      </c>
      <c r="F31">
        <f t="shared" ref="F31:F34" ca="1" si="3">CBNYM1</f>
        <v>1165903.43</v>
      </c>
      <c r="G31">
        <f t="shared" ca="1" si="0"/>
        <v>-64140.639999999898</v>
      </c>
    </row>
    <row r="32" spans="1:7" x14ac:dyDescent="0.3">
      <c r="A32" s="1" t="s">
        <v>82</v>
      </c>
      <c r="B32" s="1" t="s">
        <v>83</v>
      </c>
      <c r="C32" s="4" t="s">
        <v>145</v>
      </c>
      <c r="E32">
        <f t="shared" ca="1" si="2"/>
        <v>2084109.2799999998</v>
      </c>
      <c r="F32">
        <f t="shared" ca="1" si="3"/>
        <v>1849424.1400000001</v>
      </c>
      <c r="G32">
        <f t="shared" ca="1" si="0"/>
        <v>234685.13999999966</v>
      </c>
    </row>
    <row r="33" spans="1:7" x14ac:dyDescent="0.3">
      <c r="A33" s="1" t="s">
        <v>236</v>
      </c>
      <c r="B33" s="1" t="s">
        <v>83</v>
      </c>
      <c r="C33" s="28" t="s">
        <v>146</v>
      </c>
      <c r="E33" s="110">
        <f ca="1">DMD</f>
        <v>71988.760000000009</v>
      </c>
      <c r="F33">
        <f ca="1">DMMD</f>
        <v>48097</v>
      </c>
      <c r="G33">
        <f ca="1">+E33-F33</f>
        <v>23891.760000000009</v>
      </c>
    </row>
    <row r="34" spans="1:7" x14ac:dyDescent="0.3">
      <c r="A34" s="1" t="s">
        <v>108</v>
      </c>
      <c r="B34" s="1" t="s">
        <v>109</v>
      </c>
      <c r="C34" s="4" t="s">
        <v>147</v>
      </c>
      <c r="E34">
        <f t="shared" ca="1" si="2"/>
        <v>138676.81</v>
      </c>
      <c r="F34">
        <f t="shared" ca="1" si="3"/>
        <v>141088.82999999999</v>
      </c>
      <c r="G34">
        <f t="shared" ca="1" si="0"/>
        <v>-2412.0199999999895</v>
      </c>
    </row>
    <row r="35" spans="1:7" x14ac:dyDescent="0.3">
      <c r="A35" s="1"/>
      <c r="B35" s="1"/>
      <c r="C35" s="3" t="s">
        <v>148</v>
      </c>
      <c r="E35">
        <f ca="1">SUM(E31:E34)</f>
        <v>3396537.64</v>
      </c>
      <c r="F35">
        <f ca="1">SUM(F31:F34)</f>
        <v>3204513.4000000004</v>
      </c>
      <c r="G35">
        <f t="shared" ca="1" si="0"/>
        <v>192024.23999999976</v>
      </c>
    </row>
    <row r="36" spans="1:7" x14ac:dyDescent="0.3">
      <c r="A36" s="1"/>
      <c r="B36" s="1"/>
      <c r="C36" s="3"/>
    </row>
    <row r="37" spans="1:7" x14ac:dyDescent="0.3">
      <c r="A37" s="1"/>
      <c r="B37" s="1"/>
      <c r="C37" s="3" t="s">
        <v>149</v>
      </c>
    </row>
    <row r="38" spans="1:7" x14ac:dyDescent="0.3">
      <c r="A38" s="1" t="s">
        <v>86</v>
      </c>
      <c r="B38" s="1" t="s">
        <v>87</v>
      </c>
      <c r="C38" s="4" t="s">
        <v>150</v>
      </c>
      <c r="E38">
        <f t="shared" ref="E38:E51" ca="1" si="4">CNYM1</f>
        <v>39595.850000000006</v>
      </c>
      <c r="F38">
        <f t="shared" ref="F38:F51" ca="1" si="5">CBNYM1</f>
        <v>2400</v>
      </c>
      <c r="G38">
        <f t="shared" ca="1" si="0"/>
        <v>37195.850000000006</v>
      </c>
    </row>
    <row r="39" spans="1:7" x14ac:dyDescent="0.3">
      <c r="A39" s="1" t="s">
        <v>92</v>
      </c>
      <c r="B39" s="1" t="s">
        <v>93</v>
      </c>
      <c r="C39" s="4" t="s">
        <v>151</v>
      </c>
      <c r="E39">
        <f t="shared" ca="1" si="4"/>
        <v>35406.520000000004</v>
      </c>
      <c r="F39">
        <f t="shared" ca="1" si="5"/>
        <v>24903.09</v>
      </c>
      <c r="G39">
        <f t="shared" ca="1" si="0"/>
        <v>10503.430000000004</v>
      </c>
    </row>
    <row r="40" spans="1:7" x14ac:dyDescent="0.3">
      <c r="A40" s="1" t="s">
        <v>94</v>
      </c>
      <c r="B40" s="1" t="s">
        <v>95</v>
      </c>
      <c r="C40" s="4" t="s">
        <v>152</v>
      </c>
      <c r="E40">
        <f t="shared" ca="1" si="4"/>
        <v>187488</v>
      </c>
      <c r="F40">
        <f t="shared" ca="1" si="5"/>
        <v>0</v>
      </c>
      <c r="G40">
        <f t="shared" ca="1" si="0"/>
        <v>187488</v>
      </c>
    </row>
    <row r="41" spans="1:7" x14ac:dyDescent="0.3">
      <c r="A41" s="1" t="s">
        <v>96</v>
      </c>
      <c r="B41" s="1" t="s">
        <v>97</v>
      </c>
      <c r="C41" s="4" t="s">
        <v>153</v>
      </c>
      <c r="E41">
        <f t="shared" ca="1" si="4"/>
        <v>141038.69000000003</v>
      </c>
      <c r="F41">
        <f t="shared" ca="1" si="5"/>
        <v>136944.99</v>
      </c>
      <c r="G41">
        <f t="shared" ca="1" si="0"/>
        <v>4093.7000000000407</v>
      </c>
    </row>
    <row r="42" spans="1:7" x14ac:dyDescent="0.3">
      <c r="A42" s="1" t="s">
        <v>233</v>
      </c>
      <c r="B42" s="1" t="s">
        <v>97</v>
      </c>
      <c r="C42" s="28" t="s">
        <v>154</v>
      </c>
      <c r="E42" s="89">
        <f ca="1">-LCDE</f>
        <v>-77773.8</v>
      </c>
      <c r="F42">
        <f ca="1">LSDM</f>
        <v>74577</v>
      </c>
      <c r="G42">
        <f t="shared" ca="1" si="0"/>
        <v>-152350.79999999999</v>
      </c>
    </row>
    <row r="43" spans="1:7" x14ac:dyDescent="0.3">
      <c r="A43" s="1" t="s">
        <v>98</v>
      </c>
      <c r="B43" s="1" t="s">
        <v>99</v>
      </c>
      <c r="C43" s="4" t="s">
        <v>155</v>
      </c>
      <c r="E43">
        <f t="shared" ca="1" si="4"/>
        <v>218707.16</v>
      </c>
      <c r="F43">
        <f t="shared" ca="1" si="5"/>
        <v>188096.62999999998</v>
      </c>
      <c r="G43">
        <f t="shared" ca="1" si="0"/>
        <v>30610.530000000028</v>
      </c>
    </row>
    <row r="44" spans="1:7" x14ac:dyDescent="0.3">
      <c r="A44" s="1" t="s">
        <v>100</v>
      </c>
      <c r="B44" s="1" t="s">
        <v>101</v>
      </c>
      <c r="C44" s="4" t="s">
        <v>156</v>
      </c>
      <c r="E44">
        <f t="shared" ca="1" si="4"/>
        <v>285504</v>
      </c>
      <c r="F44">
        <f t="shared" ca="1" si="5"/>
        <v>279932.56</v>
      </c>
      <c r="G44">
        <f t="shared" ca="1" si="0"/>
        <v>5571.4400000000023</v>
      </c>
    </row>
    <row r="45" spans="1:7" x14ac:dyDescent="0.3">
      <c r="A45" s="1" t="s">
        <v>102</v>
      </c>
      <c r="B45" s="1" t="s">
        <v>103</v>
      </c>
      <c r="C45" s="4" t="s">
        <v>157</v>
      </c>
      <c r="E45">
        <f t="shared" ca="1" si="4"/>
        <v>110941.79000000001</v>
      </c>
      <c r="F45">
        <f t="shared" ca="1" si="5"/>
        <v>71214.319999999992</v>
      </c>
      <c r="G45">
        <f t="shared" ca="1" si="0"/>
        <v>39727.470000000016</v>
      </c>
    </row>
    <row r="46" spans="1:7" x14ac:dyDescent="0.3">
      <c r="A46" s="1" t="s">
        <v>104</v>
      </c>
      <c r="B46" s="1" t="s">
        <v>105</v>
      </c>
      <c r="C46" s="4" t="s">
        <v>158</v>
      </c>
      <c r="E46">
        <f t="shared" ca="1" si="4"/>
        <v>52590.549999999996</v>
      </c>
      <c r="F46">
        <f t="shared" ca="1" si="5"/>
        <v>37573.440000000002</v>
      </c>
      <c r="G46">
        <f t="shared" ca="1" si="0"/>
        <v>15017.109999999993</v>
      </c>
    </row>
    <row r="47" spans="1:7" x14ac:dyDescent="0.3">
      <c r="A47" s="1" t="s">
        <v>106</v>
      </c>
      <c r="B47" s="1" t="s">
        <v>107</v>
      </c>
      <c r="C47" s="4" t="s">
        <v>159</v>
      </c>
      <c r="E47">
        <f t="shared" ca="1" si="4"/>
        <v>26271.56</v>
      </c>
      <c r="F47">
        <f t="shared" ca="1" si="5"/>
        <v>23696.68</v>
      </c>
      <c r="G47">
        <f t="shared" ca="1" si="0"/>
        <v>2574.880000000001</v>
      </c>
    </row>
    <row r="48" spans="1:7" x14ac:dyDescent="0.3">
      <c r="A48" s="1" t="s">
        <v>112</v>
      </c>
      <c r="B48" s="1" t="s">
        <v>113</v>
      </c>
      <c r="C48" s="4" t="s">
        <v>160</v>
      </c>
      <c r="E48">
        <f t="shared" ca="1" si="4"/>
        <v>2349.4299999999998</v>
      </c>
      <c r="F48">
        <f t="shared" ca="1" si="5"/>
        <v>3159.9599999999996</v>
      </c>
      <c r="G48">
        <f t="shared" ca="1" si="0"/>
        <v>-810.52999999999975</v>
      </c>
    </row>
    <row r="49" spans="1:7" x14ac:dyDescent="0.3">
      <c r="A49" s="1" t="s">
        <v>126</v>
      </c>
      <c r="B49" s="1" t="s">
        <v>127</v>
      </c>
      <c r="C49" s="4" t="s">
        <v>161</v>
      </c>
      <c r="E49">
        <f t="shared" ca="1" si="4"/>
        <v>0</v>
      </c>
      <c r="F49">
        <f t="shared" ca="1" si="5"/>
        <v>0</v>
      </c>
      <c r="G49">
        <f t="shared" ca="1" si="0"/>
        <v>0</v>
      </c>
    </row>
    <row r="50" spans="1:7" x14ac:dyDescent="0.3">
      <c r="A50" s="1" t="s">
        <v>162</v>
      </c>
      <c r="B50" s="1" t="s">
        <v>163</v>
      </c>
      <c r="C50" s="4" t="s">
        <v>163</v>
      </c>
      <c r="E50">
        <f t="shared" ca="1" si="4"/>
        <v>0</v>
      </c>
      <c r="F50">
        <f t="shared" ca="1" si="5"/>
        <v>0</v>
      </c>
      <c r="G50">
        <f t="shared" ca="1" si="0"/>
        <v>0</v>
      </c>
    </row>
    <row r="51" spans="1:7" x14ac:dyDescent="0.3">
      <c r="A51" s="1" t="s">
        <v>128</v>
      </c>
      <c r="B51" s="1" t="s">
        <v>129</v>
      </c>
      <c r="C51" s="4" t="s">
        <v>163</v>
      </c>
      <c r="E51">
        <f t="shared" ca="1" si="4"/>
        <v>0</v>
      </c>
      <c r="F51">
        <f t="shared" ca="1" si="5"/>
        <v>0</v>
      </c>
      <c r="G51">
        <f t="shared" ca="1" si="0"/>
        <v>0</v>
      </c>
    </row>
    <row r="52" spans="1:7" x14ac:dyDescent="0.3">
      <c r="A52" s="1"/>
      <c r="B52" s="1"/>
      <c r="C52" s="3" t="s">
        <v>164</v>
      </c>
      <c r="E52">
        <f ca="1">SUM(E38:E51)</f>
        <v>1022119.7500000002</v>
      </c>
      <c r="F52">
        <f ca="1">SUM(F38:F51)</f>
        <v>842498.67</v>
      </c>
      <c r="G52">
        <f t="shared" ca="1" si="0"/>
        <v>179621.08000000019</v>
      </c>
    </row>
    <row r="53" spans="1:7" x14ac:dyDescent="0.3">
      <c r="A53" s="1"/>
      <c r="B53" s="1"/>
      <c r="C53" s="1"/>
      <c r="E53">
        <f ca="1">CNYM1</f>
        <v>0</v>
      </c>
      <c r="F53">
        <f ca="1">CBNYM1</f>
        <v>0</v>
      </c>
      <c r="G53">
        <f t="shared" ca="1" si="0"/>
        <v>0</v>
      </c>
    </row>
    <row r="54" spans="1:7" ht="15.6" x14ac:dyDescent="0.3">
      <c r="A54" s="29"/>
      <c r="B54" s="29"/>
      <c r="C54" s="29" t="s">
        <v>165</v>
      </c>
      <c r="E54">
        <f ca="1">E28+E35+E52</f>
        <v>5981458.54</v>
      </c>
      <c r="F54">
        <f ca="1">F28+F35+F52</f>
        <v>5613137.3300000001</v>
      </c>
      <c r="G54">
        <f t="shared" ca="1" si="0"/>
        <v>368321.20999999996</v>
      </c>
    </row>
    <row r="55" spans="1:7" x14ac:dyDescent="0.3">
      <c r="A55" s="1"/>
      <c r="B55" s="1"/>
      <c r="C55" s="1"/>
    </row>
    <row r="56" spans="1:7" ht="15.6" x14ac:dyDescent="0.3">
      <c r="A56" s="29"/>
      <c r="B56" s="29"/>
      <c r="C56" s="29" t="s">
        <v>166</v>
      </c>
      <c r="E56">
        <f ca="1">E20-E54</f>
        <v>1261939.0200000042</v>
      </c>
      <c r="F56">
        <f ca="1">F20-F54</f>
        <v>1946086.0900000017</v>
      </c>
      <c r="G56">
        <f t="shared" ca="1" si="0"/>
        <v>-684147.0699999975</v>
      </c>
    </row>
    <row r="57" spans="1:7" ht="15.6" x14ac:dyDescent="0.3">
      <c r="A57" s="30"/>
      <c r="B57" s="30"/>
      <c r="C57" s="29" t="s">
        <v>167</v>
      </c>
      <c r="E57">
        <f ca="1">E56/E11</f>
        <v>7.2442626414563893E-2</v>
      </c>
      <c r="F57">
        <f ca="1">F56/F11</f>
        <v>0.11970935720983936</v>
      </c>
      <c r="G57">
        <f t="shared" ca="1" si="0"/>
        <v>-4.7266730795275463E-2</v>
      </c>
    </row>
    <row r="58" spans="1:7" x14ac:dyDescent="0.3">
      <c r="A58" s="1"/>
      <c r="B58" s="1"/>
      <c r="C58" s="1"/>
    </row>
    <row r="59" spans="1:7" x14ac:dyDescent="0.3">
      <c r="A59" s="1" t="s">
        <v>122</v>
      </c>
      <c r="B59" s="1" t="s">
        <v>123</v>
      </c>
      <c r="C59" s="3" t="s">
        <v>168</v>
      </c>
      <c r="E59">
        <f t="shared" ref="E59:E68" ca="1" si="6">CNYM1</f>
        <v>1401980.41</v>
      </c>
      <c r="F59">
        <f t="shared" ref="F59:F68" ca="1" si="7">CBNYM1</f>
        <v>1171174.1200000001</v>
      </c>
      <c r="G59">
        <f t="shared" ca="1" si="0"/>
        <v>230806.2899999998</v>
      </c>
    </row>
    <row r="60" spans="1:7" x14ac:dyDescent="0.3">
      <c r="A60" s="1" t="s">
        <v>114</v>
      </c>
      <c r="B60" s="1" t="s">
        <v>115</v>
      </c>
      <c r="C60" s="3" t="s">
        <v>169</v>
      </c>
      <c r="E60">
        <f t="shared" ca="1" si="6"/>
        <v>1807.3700000000008</v>
      </c>
      <c r="F60">
        <f t="shared" ca="1" si="7"/>
        <v>180000</v>
      </c>
      <c r="G60">
        <f t="shared" ca="1" si="0"/>
        <v>-178192.63</v>
      </c>
    </row>
    <row r="61" spans="1:7" x14ac:dyDescent="0.3">
      <c r="A61" s="1" t="s">
        <v>118</v>
      </c>
      <c r="B61" s="1" t="s">
        <v>119</v>
      </c>
      <c r="C61" s="3" t="s">
        <v>170</v>
      </c>
      <c r="E61">
        <f t="shared" ca="1" si="6"/>
        <v>1105926.43</v>
      </c>
      <c r="F61">
        <f t="shared" ca="1" si="7"/>
        <v>900535.91000000015</v>
      </c>
      <c r="G61">
        <f t="shared" ca="1" si="0"/>
        <v>205390.51999999979</v>
      </c>
    </row>
    <row r="62" spans="1:7" x14ac:dyDescent="0.3">
      <c r="A62" s="1" t="s">
        <v>120</v>
      </c>
      <c r="B62" s="1" t="s">
        <v>121</v>
      </c>
      <c r="C62" s="3" t="s">
        <v>171</v>
      </c>
      <c r="E62">
        <f t="shared" ca="1" si="6"/>
        <v>1564.24</v>
      </c>
      <c r="F62">
        <f t="shared" ca="1" si="7"/>
        <v>809.80000000000007</v>
      </c>
      <c r="G62">
        <f t="shared" ca="1" si="0"/>
        <v>754.43999999999994</v>
      </c>
    </row>
    <row r="63" spans="1:7" x14ac:dyDescent="0.3">
      <c r="A63" s="1"/>
      <c r="B63" s="1"/>
      <c r="C63" s="1"/>
    </row>
    <row r="64" spans="1:7" ht="15.6" x14ac:dyDescent="0.3">
      <c r="A64" s="30"/>
      <c r="B64" s="30"/>
      <c r="C64" s="29" t="s">
        <v>172</v>
      </c>
    </row>
    <row r="65" spans="1:7" x14ac:dyDescent="0.3">
      <c r="A65" s="1"/>
      <c r="B65" s="1"/>
      <c r="C65" s="3" t="s">
        <v>173</v>
      </c>
      <c r="E65">
        <f t="shared" ca="1" si="6"/>
        <v>0</v>
      </c>
      <c r="F65">
        <f t="shared" ca="1" si="7"/>
        <v>0</v>
      </c>
      <c r="G65">
        <f t="shared" ca="1" si="0"/>
        <v>0</v>
      </c>
    </row>
    <row r="66" spans="1:7" x14ac:dyDescent="0.3">
      <c r="A66" s="1" t="s">
        <v>124</v>
      </c>
      <c r="B66" s="1" t="s">
        <v>125</v>
      </c>
      <c r="C66" s="3" t="s">
        <v>174</v>
      </c>
      <c r="E66">
        <f t="shared" ca="1" si="6"/>
        <v>0</v>
      </c>
      <c r="F66">
        <f t="shared" ca="1" si="7"/>
        <v>0</v>
      </c>
      <c r="G66">
        <f t="shared" ca="1" si="0"/>
        <v>0</v>
      </c>
    </row>
    <row r="67" spans="1:7" x14ac:dyDescent="0.3">
      <c r="A67" s="1"/>
      <c r="B67" s="1"/>
      <c r="C67" s="3" t="s">
        <v>175</v>
      </c>
      <c r="E67">
        <f t="shared" ca="1" si="6"/>
        <v>0</v>
      </c>
      <c r="F67">
        <f t="shared" ca="1" si="7"/>
        <v>0</v>
      </c>
      <c r="G67">
        <f t="shared" ca="1" si="0"/>
        <v>0</v>
      </c>
    </row>
    <row r="68" spans="1:7" x14ac:dyDescent="0.3">
      <c r="A68" s="1"/>
      <c r="B68" s="1"/>
      <c r="C68" s="1"/>
      <c r="E68">
        <f t="shared" ca="1" si="6"/>
        <v>0</v>
      </c>
      <c r="F68">
        <f t="shared" ca="1" si="7"/>
        <v>0</v>
      </c>
      <c r="G68">
        <f t="shared" ca="1" si="0"/>
        <v>0</v>
      </c>
    </row>
    <row r="69" spans="1:7" ht="15.6" x14ac:dyDescent="0.3">
      <c r="A69" s="29"/>
      <c r="B69" s="29"/>
      <c r="C69" s="29" t="s">
        <v>176</v>
      </c>
      <c r="E69">
        <f ca="1">E56-E59-E60-E61-E62-E65-E66-E67</f>
        <v>-1249339.4299999957</v>
      </c>
      <c r="F69">
        <f ca="1">F56-F59-F60-F61-F62-F65-F66-F67</f>
        <v>-306433.73999999854</v>
      </c>
      <c r="G69">
        <f t="shared" ca="1" si="0"/>
        <v>-942905.68999999715</v>
      </c>
    </row>
    <row r="70" spans="1:7" x14ac:dyDescent="0.3">
      <c r="A70" s="1"/>
      <c r="B70" s="1"/>
      <c r="C70" s="1"/>
    </row>
    <row r="71" spans="1:7" x14ac:dyDescent="0.3">
      <c r="A71" s="1"/>
      <c r="B71" s="1"/>
      <c r="C71" s="1"/>
    </row>
    <row r="72" spans="1:7" x14ac:dyDescent="0.3">
      <c r="A72" s="1"/>
      <c r="B72" s="1"/>
      <c r="C72" s="1"/>
    </row>
    <row r="73" spans="1:7" x14ac:dyDescent="0.3">
      <c r="A73" s="1"/>
      <c r="B73" s="1"/>
      <c r="C73" s="1"/>
    </row>
    <row r="74" spans="1:7" x14ac:dyDescent="0.3">
      <c r="A74" s="1"/>
      <c r="B74" s="1"/>
      <c r="C74" s="1"/>
    </row>
    <row r="75" spans="1:7" x14ac:dyDescent="0.3">
      <c r="A75" s="1"/>
      <c r="B75" s="1"/>
      <c r="C75" s="1"/>
    </row>
    <row r="76" spans="1:7" x14ac:dyDescent="0.3">
      <c r="A76" s="1"/>
      <c r="B76" s="1"/>
      <c r="C76" s="1"/>
    </row>
    <row r="77" spans="1:7" x14ac:dyDescent="0.3">
      <c r="A77" s="1"/>
      <c r="B77" s="1"/>
      <c r="C77" s="1"/>
    </row>
    <row r="78" spans="1:7" x14ac:dyDescent="0.3">
      <c r="A78" s="1"/>
      <c r="B78" s="1"/>
      <c r="C78" s="1"/>
    </row>
    <row r="97" spans="1:2" x14ac:dyDescent="0.3">
      <c r="A97" t="s">
        <v>223</v>
      </c>
      <c r="B97" t="s">
        <v>462</v>
      </c>
    </row>
  </sheetData>
  <mergeCells count="1">
    <mergeCell ref="C1:L1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REFERENCE!$F$2:$F$4</xm:f>
          </x14:formula1>
          <xm:sqref>F3 I3</xm:sqref>
        </x14:dataValidation>
        <x14:dataValidation type="list" allowBlank="1" showInputMessage="1" showErrorMessage="1" xr:uid="{00000000-0002-0000-0000-000001000000}">
          <x14:formula1>
            <xm:f>REFERENCE!$A$2:$A$13</xm:f>
          </x14:formula1>
          <xm:sqref>F4 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  <pageSetUpPr fitToPage="1"/>
  </sheetPr>
  <dimension ref="A1:AN116"/>
  <sheetViews>
    <sheetView workbookViewId="0">
      <selection activeCell="I86" sqref="I86"/>
    </sheetView>
  </sheetViews>
  <sheetFormatPr defaultColWidth="9.21875" defaultRowHeight="14.4" outlineLevelRow="1" x14ac:dyDescent="0.3"/>
  <cols>
    <col min="1" max="1" width="13.5546875" style="1" customWidth="1"/>
    <col min="2" max="2" width="22" style="1" customWidth="1"/>
    <col min="3" max="3" width="36.21875" style="1" customWidth="1"/>
    <col min="4" max="5" width="13.21875" style="1" bestFit="1" customWidth="1"/>
    <col min="6" max="6" width="13.77734375" style="1" customWidth="1"/>
    <col min="7" max="8" width="13.21875" style="1" bestFit="1" customWidth="1"/>
    <col min="9" max="9" width="10.5546875" style="1" bestFit="1" customWidth="1"/>
    <col min="10" max="11" width="14" style="1" bestFit="1" customWidth="1"/>
    <col min="12" max="12" width="12.21875" style="1" bestFit="1" customWidth="1"/>
    <col min="13" max="13" width="9.21875" style="1" customWidth="1"/>
    <col min="14" max="14" width="14.5546875" style="58" hidden="1" customWidth="1"/>
    <col min="15" max="15" width="11.21875" style="58" hidden="1" customWidth="1"/>
    <col min="16" max="16" width="13.5546875" style="58" hidden="1" customWidth="1"/>
    <col min="17" max="17" width="11.5546875" style="58" hidden="1" customWidth="1"/>
    <col min="18" max="18" width="13.5546875" style="58" hidden="1" customWidth="1"/>
    <col min="19" max="19" width="10.5546875" style="1" hidden="1" customWidth="1"/>
    <col min="20" max="21" width="9.21875" style="1" hidden="1" customWidth="1"/>
    <col min="22" max="22" width="14.5546875" style="1" hidden="1" customWidth="1"/>
    <col min="23" max="23" width="12.21875" style="1" hidden="1" customWidth="1"/>
    <col min="24" max="24" width="15.21875" style="1" hidden="1" customWidth="1"/>
    <col min="25" max="25" width="11.5546875" style="1" hidden="1" customWidth="1"/>
    <col min="26" max="26" width="13.77734375" style="1" hidden="1" customWidth="1"/>
    <col min="27" max="27" width="12.77734375" style="1" hidden="1" customWidth="1"/>
    <col min="28" max="28" width="10.5546875" style="1" hidden="1" customWidth="1"/>
    <col min="29" max="29" width="4.77734375" style="1" hidden="1" customWidth="1"/>
    <col min="30" max="30" width="25.21875" style="1" bestFit="1" customWidth="1"/>
    <col min="31" max="31" width="12.21875" style="1" bestFit="1" customWidth="1"/>
    <col min="32" max="32" width="11.21875" style="1" bestFit="1" customWidth="1"/>
    <col min="33" max="33" width="10.5546875" style="1" bestFit="1" customWidth="1"/>
    <col min="34" max="34" width="9.21875" style="1"/>
    <col min="35" max="35" width="14.21875" style="22" bestFit="1" customWidth="1"/>
    <col min="36" max="38" width="9.21875" style="1"/>
    <col min="39" max="39" width="31" style="1" bestFit="1" customWidth="1"/>
    <col min="40" max="40" width="14.44140625" style="1" bestFit="1" customWidth="1"/>
    <col min="41" max="16384" width="9.21875" style="1"/>
  </cols>
  <sheetData>
    <row r="1" spans="1:40" ht="33.6" x14ac:dyDescent="0.65">
      <c r="C1" s="111" t="s">
        <v>461</v>
      </c>
      <c r="D1" s="111"/>
      <c r="E1" s="111"/>
      <c r="F1" s="111"/>
      <c r="G1" s="111"/>
      <c r="H1" s="111"/>
      <c r="I1" s="111"/>
      <c r="J1" s="111"/>
      <c r="K1" s="111"/>
      <c r="L1" s="111"/>
    </row>
    <row r="3" spans="1:40" x14ac:dyDescent="0.3">
      <c r="B3" s="16" t="str">
        <f>IFERROR(VLOOKUP($D$3,REFERENCE!$J$2:$M$3,3,FALSE),0)</f>
        <v>LY10</v>
      </c>
      <c r="C3" s="15" t="s">
        <v>448</v>
      </c>
      <c r="D3" s="1" t="s">
        <v>216</v>
      </c>
      <c r="F3" s="15"/>
    </row>
    <row r="4" spans="1:40" x14ac:dyDescent="0.3">
      <c r="B4" s="24" t="str">
        <f>IFERROR(VLOOKUP($D$4,REFERENCE!$A$2:$B$13,2,FALSE),0)</f>
        <v>12</v>
      </c>
      <c r="C4" s="15" t="s">
        <v>449</v>
      </c>
      <c r="D4" s="1" t="s">
        <v>191</v>
      </c>
      <c r="F4" s="15"/>
    </row>
    <row r="6" spans="1:40" x14ac:dyDescent="0.3">
      <c r="C6" s="1">
        <f ca="1">CNYM</f>
        <v>0</v>
      </c>
    </row>
    <row r="7" spans="1:40" s="30" customFormat="1" ht="16.2" thickBot="1" x14ac:dyDescent="0.35">
      <c r="D7" s="37" t="s">
        <v>450</v>
      </c>
      <c r="E7" s="37" t="s">
        <v>451</v>
      </c>
      <c r="F7" s="37" t="s">
        <v>179</v>
      </c>
      <c r="G7" s="37" t="s">
        <v>180</v>
      </c>
      <c r="H7" s="37" t="s">
        <v>181</v>
      </c>
      <c r="I7" s="37" t="s">
        <v>179</v>
      </c>
      <c r="J7" s="37" t="s">
        <v>182</v>
      </c>
      <c r="K7" s="37" t="s">
        <v>183</v>
      </c>
      <c r="L7" s="37" t="s">
        <v>179</v>
      </c>
      <c r="N7" s="61" t="s">
        <v>240</v>
      </c>
      <c r="O7" s="61" t="s">
        <v>241</v>
      </c>
      <c r="P7" s="61" t="s">
        <v>242</v>
      </c>
      <c r="Q7" s="61" t="s">
        <v>284</v>
      </c>
      <c r="R7" s="61" t="s">
        <v>285</v>
      </c>
      <c r="S7" s="30" t="s">
        <v>286</v>
      </c>
      <c r="T7" s="30" t="s">
        <v>179</v>
      </c>
      <c r="V7" s="61" t="s">
        <v>240</v>
      </c>
      <c r="W7" s="61" t="s">
        <v>241</v>
      </c>
      <c r="X7" s="61" t="s">
        <v>242</v>
      </c>
      <c r="Y7" s="61" t="s">
        <v>284</v>
      </c>
      <c r="Z7" s="61" t="s">
        <v>285</v>
      </c>
      <c r="AA7" s="30" t="s">
        <v>286</v>
      </c>
      <c r="AB7" s="30" t="s">
        <v>179</v>
      </c>
      <c r="AI7" s="35"/>
    </row>
    <row r="8" spans="1:40" ht="15" thickTop="1" x14ac:dyDescent="0.3">
      <c r="D8" s="17"/>
      <c r="E8" s="17"/>
      <c r="F8" s="19"/>
      <c r="G8" s="17"/>
      <c r="H8" s="17"/>
      <c r="I8" s="19"/>
      <c r="J8" s="17"/>
      <c r="K8" s="17"/>
      <c r="L8" s="19"/>
      <c r="AD8" s="76"/>
      <c r="AE8" s="77" t="s">
        <v>240</v>
      </c>
      <c r="AF8" s="77" t="s">
        <v>242</v>
      </c>
      <c r="AG8" s="77" t="s">
        <v>241</v>
      </c>
      <c r="AH8" s="77" t="s">
        <v>341</v>
      </c>
      <c r="AI8" s="80" t="s">
        <v>244</v>
      </c>
    </row>
    <row r="9" spans="1:40" outlineLevel="1" x14ac:dyDescent="0.3">
      <c r="A9" s="1" t="s">
        <v>74</v>
      </c>
      <c r="B9" s="1" t="s">
        <v>75</v>
      </c>
      <c r="D9" s="22">
        <f ca="1">CNYM</f>
        <v>998987.72</v>
      </c>
      <c r="E9" s="22">
        <f ca="1">CBNYM</f>
        <v>1222999.1499999999</v>
      </c>
      <c r="F9" s="52">
        <f ca="1">+D9-E9</f>
        <v>-224011.42999999993</v>
      </c>
      <c r="G9" s="22">
        <f t="array" aca="1" ref="G9" ca="1">SUMPRODUCT((CISS[SubGroup]=$A9)*(INDIRECT("CISS[[TY"&amp;RIGHT("0"&amp;$B$3,2)&amp;"]:[TY"&amp;RIGHT("0"&amp;$B$4,2)&amp;"]]")))</f>
        <v>2707697.8099999996</v>
      </c>
      <c r="H9" s="22">
        <f ca="1">CBNYQ</f>
        <v>2771727.15</v>
      </c>
      <c r="I9" s="20"/>
      <c r="J9" s="22">
        <f t="array" aca="1" ref="J9" ca="1">SUMPRODUCT((CISS[SubGroup]=$A9)*(INDIRECT("CISS[[TY01]:[TY"&amp;RIGHT("0"&amp;$B$4,2)&amp;"]]")))</f>
        <v>14042002.530000001</v>
      </c>
      <c r="K9" s="22">
        <f ca="1">CBNYY</f>
        <v>15715151.000000002</v>
      </c>
      <c r="L9" s="20"/>
      <c r="AD9" s="78"/>
      <c r="AE9" s="76"/>
      <c r="AF9" s="76"/>
      <c r="AG9" s="76"/>
      <c r="AH9" s="76"/>
      <c r="AI9" s="80"/>
    </row>
    <row r="10" spans="1:40" outlineLevel="1" x14ac:dyDescent="0.3">
      <c r="A10" s="1" t="s">
        <v>76</v>
      </c>
      <c r="B10" s="1" t="s">
        <v>77</v>
      </c>
      <c r="D10" s="22">
        <f ca="1">CNYM</f>
        <v>34602.1</v>
      </c>
      <c r="E10" s="22">
        <f ca="1">CBNYM</f>
        <v>31928.639999999999</v>
      </c>
      <c r="F10" s="52">
        <f t="shared" ref="F10" ca="1" si="0">+D10-E10</f>
        <v>2673.4599999999991</v>
      </c>
      <c r="G10" s="22">
        <f ca="1">CNYQ</f>
        <v>96099.199999999997</v>
      </c>
      <c r="H10" s="22">
        <f ca="1">CBNYQ</f>
        <v>83010.48</v>
      </c>
      <c r="I10" s="20"/>
      <c r="J10" s="22">
        <f ca="1">CNYY</f>
        <v>448362.05999999994</v>
      </c>
      <c r="K10" s="22">
        <f ca="1">CBNYY</f>
        <v>432945.05000000005</v>
      </c>
      <c r="L10" s="20"/>
      <c r="AD10" s="78"/>
      <c r="AE10" s="79"/>
      <c r="AF10" s="79"/>
      <c r="AG10" s="76"/>
      <c r="AH10" s="79"/>
      <c r="AI10" s="80"/>
    </row>
    <row r="11" spans="1:40" s="30" customFormat="1" ht="15.6" x14ac:dyDescent="0.3">
      <c r="C11" s="29" t="s">
        <v>130</v>
      </c>
      <c r="D11" s="31">
        <f ca="1">SUM(D9:D10)</f>
        <v>1033589.82</v>
      </c>
      <c r="E11" s="31">
        <f t="shared" ref="E11:K11" ca="1" si="1">SUM(E9:E10)</f>
        <v>1254927.7899999998</v>
      </c>
      <c r="F11" s="54">
        <f ca="1">+D11-E11</f>
        <v>-221337.96999999986</v>
      </c>
      <c r="G11" s="31">
        <f t="shared" ca="1" si="1"/>
        <v>2803797.01</v>
      </c>
      <c r="H11" s="31">
        <f t="shared" ca="1" si="1"/>
        <v>2854737.63</v>
      </c>
      <c r="I11" s="54">
        <f ca="1">+G11-H11</f>
        <v>-50940.620000000112</v>
      </c>
      <c r="J11" s="31">
        <f t="shared" ca="1" si="1"/>
        <v>14490364.590000002</v>
      </c>
      <c r="K11" s="31">
        <f t="shared" ca="1" si="1"/>
        <v>16148096.050000003</v>
      </c>
      <c r="L11" s="54">
        <f ca="1">+J11-K11</f>
        <v>-1657731.4600000009</v>
      </c>
      <c r="N11" s="61">
        <v>699065.43</v>
      </c>
      <c r="O11" s="61">
        <v>9347.08</v>
      </c>
      <c r="P11" s="61"/>
      <c r="Q11" s="61">
        <v>31573.439999999999</v>
      </c>
      <c r="R11" s="61">
        <f>SUM(N11:Q11)</f>
        <v>739985.95</v>
      </c>
      <c r="S11" s="63">
        <f ca="1">+D11</f>
        <v>1033589.82</v>
      </c>
      <c r="T11" s="63">
        <f ca="1">+R11-S11</f>
        <v>-293603.87</v>
      </c>
      <c r="V11" s="30">
        <v>13826311.380000001</v>
      </c>
      <c r="W11" s="30">
        <v>207251.28</v>
      </c>
      <c r="Y11" s="30">
        <v>413759.96</v>
      </c>
      <c r="Z11" s="30">
        <f>SUM(V11:Y11)</f>
        <v>14447322.620000001</v>
      </c>
      <c r="AA11" s="63">
        <f ca="1">+J11</f>
        <v>14490364.590000002</v>
      </c>
      <c r="AB11" s="63">
        <f ca="1">+Z11-AA11</f>
        <v>-43041.970000000671</v>
      </c>
      <c r="AD11" s="85" t="s">
        <v>342</v>
      </c>
      <c r="AE11" s="82">
        <v>13826311.380000001</v>
      </c>
      <c r="AF11" s="79">
        <v>0</v>
      </c>
      <c r="AG11" s="79">
        <v>213178.06</v>
      </c>
      <c r="AH11" s="79">
        <v>452945.51</v>
      </c>
      <c r="AI11" s="81">
        <f>IF(AE11&lt;&gt;"",SUM(AE11:AH11),"")</f>
        <v>14492434.950000001</v>
      </c>
    </row>
    <row r="12" spans="1:40" x14ac:dyDescent="0.3">
      <c r="D12" s="22"/>
      <c r="E12" s="22"/>
      <c r="F12" s="20"/>
      <c r="G12" s="22"/>
      <c r="H12" s="22"/>
      <c r="I12" s="20"/>
      <c r="J12" s="22"/>
      <c r="K12" s="22"/>
      <c r="L12" s="20"/>
      <c r="AD12" s="86"/>
      <c r="AE12" s="76"/>
      <c r="AF12" s="79"/>
      <c r="AG12" s="76"/>
      <c r="AH12" s="79"/>
      <c r="AI12" s="83" t="str">
        <f>IF(AE12&lt;&gt;"",SUM(AE12:AH12),"")</f>
        <v/>
      </c>
      <c r="AN12" s="79"/>
    </row>
    <row r="13" spans="1:40" ht="15.6" x14ac:dyDescent="0.3">
      <c r="C13" s="29" t="s">
        <v>131</v>
      </c>
      <c r="D13" s="22"/>
      <c r="E13" s="22"/>
      <c r="F13" s="20"/>
      <c r="G13" s="22"/>
      <c r="H13" s="22"/>
      <c r="I13" s="20"/>
      <c r="J13" s="22"/>
      <c r="K13" s="22"/>
      <c r="L13" s="20"/>
      <c r="AD13" s="85"/>
      <c r="AE13" s="82"/>
      <c r="AF13" s="79"/>
      <c r="AG13" s="76"/>
      <c r="AH13" s="79"/>
      <c r="AI13" s="83"/>
      <c r="AN13" s="79"/>
    </row>
    <row r="14" spans="1:40" outlineLevel="1" x14ac:dyDescent="0.3">
      <c r="A14" s="1" t="s">
        <v>78</v>
      </c>
      <c r="B14" s="1" t="s">
        <v>79</v>
      </c>
      <c r="C14" s="3"/>
      <c r="D14" s="22">
        <f ca="1">CNYM</f>
        <v>14000.95</v>
      </c>
      <c r="E14" s="22">
        <f ca="1">CBNYM</f>
        <v>15039.43</v>
      </c>
      <c r="F14" s="20"/>
      <c r="G14" s="22">
        <f ca="1">CNYQ</f>
        <v>38929.61</v>
      </c>
      <c r="H14" s="22">
        <f ca="1">CBNYQ</f>
        <v>37360.46</v>
      </c>
      <c r="I14" s="20"/>
      <c r="J14" s="22">
        <f ca="1">CNYY</f>
        <v>184406.21000000002</v>
      </c>
      <c r="K14" s="22">
        <f ca="1">CBNYY</f>
        <v>176860.5</v>
      </c>
      <c r="L14" s="20"/>
      <c r="AD14" s="86"/>
      <c r="AE14" s="76"/>
      <c r="AF14" s="79"/>
      <c r="AG14" s="76"/>
      <c r="AH14" s="79"/>
      <c r="AI14" s="83" t="str">
        <f t="shared" ref="AI14:AI61" si="2">IF(AE14&lt;&gt;"",SUM(AE14:AH14),"")</f>
        <v/>
      </c>
      <c r="AN14" s="79"/>
    </row>
    <row r="15" spans="1:40" outlineLevel="1" x14ac:dyDescent="0.3">
      <c r="A15" s="1" t="s">
        <v>80</v>
      </c>
      <c r="B15" s="1" t="s">
        <v>81</v>
      </c>
      <c r="D15" s="23">
        <f ca="1">CNYM</f>
        <v>531731.16</v>
      </c>
      <c r="E15" s="23">
        <f ca="1">CBNYM</f>
        <v>524192.19</v>
      </c>
      <c r="F15" s="21"/>
      <c r="G15" s="23">
        <f ca="1">CNYQ</f>
        <v>1219283.4300000002</v>
      </c>
      <c r="H15" s="23">
        <f ca="1">CBNYQ</f>
        <v>1305538.1099999999</v>
      </c>
      <c r="I15" s="21"/>
      <c r="J15" s="23">
        <f ca="1">CNYY</f>
        <v>6741300.5999999996</v>
      </c>
      <c r="K15" s="23">
        <f ca="1">CBNYY</f>
        <v>7823900.4700000007</v>
      </c>
      <c r="L15" s="21"/>
      <c r="AD15" s="85" t="s">
        <v>343</v>
      </c>
      <c r="AE15" s="76"/>
      <c r="AF15" s="79"/>
      <c r="AG15" s="76"/>
      <c r="AH15" s="79"/>
      <c r="AI15" s="83" t="str">
        <f t="shared" si="2"/>
        <v/>
      </c>
      <c r="AN15" s="79"/>
    </row>
    <row r="16" spans="1:40" ht="15.6" x14ac:dyDescent="0.3">
      <c r="C16" s="3" t="s">
        <v>132</v>
      </c>
      <c r="D16" s="22">
        <f ca="1">SUM(D14:D15)</f>
        <v>545732.11</v>
      </c>
      <c r="E16" s="22">
        <f ca="1">SUM(E14:E15)</f>
        <v>539231.62</v>
      </c>
      <c r="F16" s="52">
        <f t="shared" ref="F16:F17" ca="1" si="3">+D16-E16</f>
        <v>6500.4899999999907</v>
      </c>
      <c r="G16" s="22">
        <f t="shared" ref="G16:K16" ca="1" si="4">SUM(G14:G15)</f>
        <v>1258213.0400000003</v>
      </c>
      <c r="H16" s="22">
        <f t="shared" ca="1" si="4"/>
        <v>1342898.5699999998</v>
      </c>
      <c r="I16" s="52">
        <f t="shared" ref="I16:I17" ca="1" si="5">+G16-H16</f>
        <v>-84685.529999999562</v>
      </c>
      <c r="J16" s="22">
        <f ca="1">SUM(J14:J15)</f>
        <v>6925706.8099999996</v>
      </c>
      <c r="K16" s="22">
        <f t="shared" ca="1" si="4"/>
        <v>8000760.9700000007</v>
      </c>
      <c r="L16" s="52">
        <f t="shared" ref="L16:L17" ca="1" si="6">+J16-K16</f>
        <v>-1075054.1600000011</v>
      </c>
      <c r="N16" s="58">
        <v>297951.5</v>
      </c>
      <c r="O16" s="58">
        <v>3347.01</v>
      </c>
      <c r="Q16" s="58">
        <v>12520.03</v>
      </c>
      <c r="R16" s="61">
        <f t="shared" ref="R16:R18" si="7">SUM(N16:Q16)</f>
        <v>313818.54000000004</v>
      </c>
      <c r="S16" s="63">
        <f t="shared" ref="S16:S18" ca="1" si="8">+D16</f>
        <v>545732.11</v>
      </c>
      <c r="T16" s="63">
        <f t="shared" ref="T16:T18" ca="1" si="9">+R16-S16</f>
        <v>-231913.56999999995</v>
      </c>
      <c r="V16" s="1">
        <v>6607537.1399999997</v>
      </c>
      <c r="W16" s="1">
        <v>48896.09</v>
      </c>
      <c r="Y16" s="1">
        <v>170405.26</v>
      </c>
      <c r="Z16" s="30">
        <f t="shared" ref="Z16:Z17" si="10">SUM(V16:Y16)</f>
        <v>6826838.4899999993</v>
      </c>
      <c r="AA16" s="63">
        <f t="shared" ref="AA16:AA17" ca="1" si="11">+J16</f>
        <v>6925706.8099999996</v>
      </c>
      <c r="AB16" s="63">
        <f t="shared" ref="AB16:AB17" ca="1" si="12">+Z16-AA16</f>
        <v>-98868.320000000298</v>
      </c>
      <c r="AD16" s="85" t="s">
        <v>344</v>
      </c>
      <c r="AE16" s="79">
        <v>6607537.1400000006</v>
      </c>
      <c r="AF16" s="79">
        <v>0</v>
      </c>
      <c r="AG16" s="79">
        <v>57928.65</v>
      </c>
      <c r="AH16" s="79">
        <v>184406.21</v>
      </c>
      <c r="AI16" s="81">
        <f t="shared" si="2"/>
        <v>6849872.0000000009</v>
      </c>
      <c r="AN16" s="79"/>
    </row>
    <row r="17" spans="1:40" ht="15.6" x14ac:dyDescent="0.3">
      <c r="A17" s="1" t="s">
        <v>116</v>
      </c>
      <c r="B17" s="1" t="s">
        <v>117</v>
      </c>
      <c r="C17" s="3" t="s">
        <v>133</v>
      </c>
      <c r="D17" s="22">
        <f ca="1">CNYM</f>
        <v>337005.35</v>
      </c>
      <c r="E17" s="22">
        <f ca="1">CBNYM</f>
        <v>250395.83</v>
      </c>
      <c r="F17" s="52">
        <f t="shared" ca="1" si="3"/>
        <v>86609.51999999999</v>
      </c>
      <c r="G17" s="22">
        <f ca="1">CNYQ</f>
        <v>594152.87</v>
      </c>
      <c r="H17" s="22">
        <f ca="1">CBNYQ</f>
        <v>271187.49</v>
      </c>
      <c r="I17" s="52">
        <f t="shared" ca="1" si="5"/>
        <v>322965.38</v>
      </c>
      <c r="J17" s="22">
        <f ca="1">CNYY</f>
        <v>1278484.3799999999</v>
      </c>
      <c r="K17" s="22">
        <f ca="1">CBNYY</f>
        <v>494947.61999999988</v>
      </c>
      <c r="L17" s="52">
        <f t="shared" ca="1" si="6"/>
        <v>783536.76</v>
      </c>
      <c r="N17" s="58">
        <v>81979.87</v>
      </c>
      <c r="R17" s="61">
        <f t="shared" si="7"/>
        <v>81979.87</v>
      </c>
      <c r="S17" s="63">
        <f t="shared" ca="1" si="8"/>
        <v>337005.35</v>
      </c>
      <c r="T17" s="63">
        <f t="shared" ca="1" si="9"/>
        <v>-255025.47999999998</v>
      </c>
      <c r="V17" s="1">
        <v>982243.81</v>
      </c>
      <c r="W17" s="1">
        <v>56391</v>
      </c>
      <c r="Z17" s="30">
        <f t="shared" si="10"/>
        <v>1038634.81</v>
      </c>
      <c r="AA17" s="63">
        <f t="shared" ca="1" si="11"/>
        <v>1278484.3799999999</v>
      </c>
      <c r="AB17" s="63">
        <f t="shared" ca="1" si="12"/>
        <v>-239849.56999999983</v>
      </c>
      <c r="AD17" s="85" t="s">
        <v>147</v>
      </c>
      <c r="AE17" s="79">
        <v>110145.18000000001</v>
      </c>
      <c r="AF17" s="79">
        <v>0</v>
      </c>
      <c r="AG17" s="79">
        <v>0</v>
      </c>
      <c r="AH17" s="79">
        <v>3336.04</v>
      </c>
      <c r="AI17" s="81">
        <f t="shared" si="2"/>
        <v>113481.22</v>
      </c>
      <c r="AN17" s="79"/>
    </row>
    <row r="18" spans="1:40" ht="16.2" thickBot="1" x14ac:dyDescent="0.35">
      <c r="A18" s="1" t="s">
        <v>110</v>
      </c>
      <c r="B18" s="1" t="s">
        <v>111</v>
      </c>
      <c r="C18" s="3" t="s">
        <v>134</v>
      </c>
      <c r="D18" s="25">
        <f ca="1">CNYM</f>
        <v>20778.14</v>
      </c>
      <c r="E18" s="25">
        <f ca="1">CBNYM</f>
        <v>13150.32</v>
      </c>
      <c r="F18" s="53">
        <f ca="1">+D18-E18</f>
        <v>7627.82</v>
      </c>
      <c r="G18" s="25">
        <f ca="1">CNYQ</f>
        <v>51355.1</v>
      </c>
      <c r="H18" s="25">
        <f ca="1">CBNYQ</f>
        <v>39054.300000000003</v>
      </c>
      <c r="I18" s="53">
        <f ca="1">+G18-H18</f>
        <v>12300.799999999996</v>
      </c>
      <c r="J18" s="25">
        <f ca="1">CNYY</f>
        <v>171474.39999999997</v>
      </c>
      <c r="K18" s="25">
        <f ca="1">CBNYY</f>
        <v>157265.86000000002</v>
      </c>
      <c r="L18" s="53">
        <f ca="1">+J18-K18</f>
        <v>14208.53999999995</v>
      </c>
      <c r="N18" s="58">
        <v>11561.99</v>
      </c>
      <c r="O18" s="58">
        <v>1016.06</v>
      </c>
      <c r="Q18" s="58">
        <v>1000</v>
      </c>
      <c r="R18" s="61">
        <f t="shared" si="7"/>
        <v>13578.05</v>
      </c>
      <c r="S18" s="63">
        <f t="shared" ca="1" si="8"/>
        <v>20778.14</v>
      </c>
      <c r="T18" s="63">
        <f t="shared" ca="1" si="9"/>
        <v>-7200.09</v>
      </c>
      <c r="V18" s="1">
        <v>18743.02</v>
      </c>
      <c r="W18" s="1">
        <v>11574.24</v>
      </c>
      <c r="Y18" s="1">
        <v>11000</v>
      </c>
      <c r="Z18" s="30">
        <f t="shared" ref="Z18" si="13">SUM(V18:Y18)</f>
        <v>41317.26</v>
      </c>
      <c r="AA18" s="63">
        <f t="shared" ref="AA18" ca="1" si="14">+J18</f>
        <v>171474.39999999997</v>
      </c>
      <c r="AB18" s="63">
        <f t="shared" ref="AB18" ca="1" si="15">+Z18-AA18</f>
        <v>-130157.13999999996</v>
      </c>
      <c r="AD18" s="85" t="s">
        <v>345</v>
      </c>
      <c r="AE18" s="79">
        <v>982243.81</v>
      </c>
      <c r="AF18" s="79">
        <v>0</v>
      </c>
      <c r="AG18" s="79">
        <v>56391</v>
      </c>
      <c r="AH18" s="79">
        <v>0</v>
      </c>
      <c r="AI18" s="81">
        <f t="shared" si="2"/>
        <v>1038634.81</v>
      </c>
      <c r="AN18" s="79"/>
    </row>
    <row r="19" spans="1:40" s="30" customFormat="1" ht="16.2" thickTop="1" x14ac:dyDescent="0.3">
      <c r="C19" s="29" t="s">
        <v>135</v>
      </c>
      <c r="D19" s="31">
        <f ca="1">SUM(D16:D18)</f>
        <v>903515.6</v>
      </c>
      <c r="E19" s="31">
        <f t="shared" ref="E19:K19" ca="1" si="16">SUM(E16:E18)</f>
        <v>802777.7699999999</v>
      </c>
      <c r="F19" s="54">
        <f t="shared" ca="1" si="16"/>
        <v>100737.82999999999</v>
      </c>
      <c r="G19" s="31">
        <f t="shared" ca="1" si="16"/>
        <v>1903721.0100000002</v>
      </c>
      <c r="H19" s="31">
        <f t="shared" ca="1" si="16"/>
        <v>1653140.3599999999</v>
      </c>
      <c r="I19" s="54">
        <f t="shared" ref="I19" ca="1" si="17">SUM(I16:I18)</f>
        <v>250580.65000000043</v>
      </c>
      <c r="J19" s="31">
        <f t="shared" ca="1" si="16"/>
        <v>8375665.5899999999</v>
      </c>
      <c r="K19" s="31">
        <f t="shared" ca="1" si="16"/>
        <v>8652974.4499999993</v>
      </c>
      <c r="L19" s="54">
        <f t="shared" ref="L19" ca="1" si="18">SUM(L16:L18)</f>
        <v>-277308.86000000115</v>
      </c>
      <c r="N19" s="61"/>
      <c r="O19" s="61"/>
      <c r="P19" s="61"/>
      <c r="Q19" s="61"/>
      <c r="R19" s="61"/>
      <c r="AD19" s="85" t="s">
        <v>346</v>
      </c>
      <c r="AE19" s="82">
        <v>7699926.1299999999</v>
      </c>
      <c r="AF19" s="79">
        <v>0</v>
      </c>
      <c r="AG19" s="79">
        <v>114319.65</v>
      </c>
      <c r="AH19" s="79">
        <v>187742.25</v>
      </c>
      <c r="AI19" s="84">
        <f t="shared" si="2"/>
        <v>8001988.0300000003</v>
      </c>
      <c r="AN19" s="79"/>
    </row>
    <row r="20" spans="1:40" s="29" customFormat="1" ht="15.6" x14ac:dyDescent="0.3">
      <c r="C20" s="29" t="s">
        <v>136</v>
      </c>
      <c r="D20" s="31">
        <f ca="1">D11-D19</f>
        <v>130074.21999999997</v>
      </c>
      <c r="E20" s="31">
        <f ca="1">E11-E19</f>
        <v>452150.0199999999</v>
      </c>
      <c r="F20" s="54">
        <f ca="1">+D20-E20</f>
        <v>-322075.79999999993</v>
      </c>
      <c r="G20" s="31">
        <f ca="1">G11-G19</f>
        <v>900075.99999999953</v>
      </c>
      <c r="H20" s="31">
        <f ca="1">H11-H19</f>
        <v>1201597.27</v>
      </c>
      <c r="I20" s="54">
        <f ca="1">+G20-H20</f>
        <v>-301521.27000000048</v>
      </c>
      <c r="J20" s="31">
        <f ca="1">J11-J19</f>
        <v>6114699.0000000019</v>
      </c>
      <c r="K20" s="31">
        <f ca="1">K11-K19</f>
        <v>7495121.6000000034</v>
      </c>
      <c r="L20" s="54">
        <f ca="1">+J20-K20</f>
        <v>-1380422.6000000015</v>
      </c>
      <c r="N20" s="62"/>
      <c r="O20" s="62"/>
      <c r="P20" s="62"/>
      <c r="Q20" s="62"/>
      <c r="R20" s="62"/>
      <c r="AD20" s="85" t="s">
        <v>347</v>
      </c>
      <c r="AE20" s="82">
        <v>6126385.25</v>
      </c>
      <c r="AF20" s="79">
        <v>0</v>
      </c>
      <c r="AG20" s="79">
        <v>98858.41</v>
      </c>
      <c r="AH20" s="79">
        <v>265203.26</v>
      </c>
      <c r="AI20" s="84">
        <f>AI11-AI19</f>
        <v>6490446.9200000009</v>
      </c>
      <c r="AN20" s="79"/>
    </row>
    <row r="21" spans="1:40" s="30" customFormat="1" ht="15.6" x14ac:dyDescent="0.3">
      <c r="C21" s="29" t="s">
        <v>137</v>
      </c>
      <c r="D21" s="33">
        <f ca="1">D20/D11</f>
        <v>0.12584704056005502</v>
      </c>
      <c r="E21" s="33">
        <f ca="1">E20/E11</f>
        <v>0.36029963126404269</v>
      </c>
      <c r="F21" s="34"/>
      <c r="G21" s="33">
        <f ca="1">G20/G11</f>
        <v>0.32102038656500304</v>
      </c>
      <c r="H21" s="33">
        <f ca="1">H20/H11</f>
        <v>0.42091338180174548</v>
      </c>
      <c r="I21" s="34"/>
      <c r="J21" s="33">
        <f ca="1">J20/J11</f>
        <v>0.42198379219663246</v>
      </c>
      <c r="K21" s="33">
        <f ca="1">K20/K11</f>
        <v>0.46414893599793777</v>
      </c>
      <c r="L21" s="34"/>
      <c r="N21" s="61"/>
      <c r="O21" s="61"/>
      <c r="P21" s="61"/>
      <c r="Q21" s="61"/>
      <c r="R21" s="61"/>
      <c r="AD21" s="86"/>
      <c r="AE21" s="76"/>
      <c r="AF21" s="79"/>
      <c r="AG21" s="79"/>
      <c r="AH21" s="79"/>
      <c r="AI21" s="83" t="str">
        <f t="shared" si="2"/>
        <v/>
      </c>
      <c r="AN21" s="79"/>
    </row>
    <row r="22" spans="1:40" x14ac:dyDescent="0.3">
      <c r="C22" s="2"/>
      <c r="D22" s="26"/>
      <c r="E22" s="26"/>
      <c r="F22" s="27"/>
      <c r="G22" s="26"/>
      <c r="H22" s="26"/>
      <c r="I22" s="27"/>
      <c r="J22" s="26"/>
      <c r="K22" s="26"/>
      <c r="L22" s="27"/>
      <c r="AD22" s="85" t="s">
        <v>348</v>
      </c>
      <c r="AE22" s="76"/>
      <c r="AF22" s="79"/>
      <c r="AG22" s="79"/>
      <c r="AH22" s="79"/>
      <c r="AI22" s="83" t="str">
        <f t="shared" si="2"/>
        <v/>
      </c>
      <c r="AN22" s="79"/>
    </row>
    <row r="23" spans="1:40" ht="15.6" x14ac:dyDescent="0.3">
      <c r="C23" s="29" t="s">
        <v>238</v>
      </c>
      <c r="D23" s="22"/>
      <c r="E23" s="22"/>
      <c r="F23" s="20"/>
      <c r="G23" s="22"/>
      <c r="H23" s="22"/>
      <c r="I23" s="20"/>
      <c r="J23" s="22"/>
      <c r="K23" s="22"/>
      <c r="L23" s="20"/>
      <c r="AD23" s="85" t="s">
        <v>349</v>
      </c>
      <c r="AE23" s="79">
        <v>1742076.81</v>
      </c>
      <c r="AF23" s="79">
        <v>8079.2300000000005</v>
      </c>
      <c r="AG23" s="79">
        <v>18298.5</v>
      </c>
      <c r="AH23" s="79">
        <v>19914.22</v>
      </c>
      <c r="AI23" s="81">
        <f t="shared" si="2"/>
        <v>1788368.76</v>
      </c>
      <c r="AN23" s="79"/>
    </row>
    <row r="24" spans="1:40" x14ac:dyDescent="0.3">
      <c r="C24" s="3" t="s">
        <v>138</v>
      </c>
      <c r="D24" s="22"/>
      <c r="E24" s="22"/>
      <c r="F24" s="20"/>
      <c r="G24" s="22"/>
      <c r="H24" s="22"/>
      <c r="I24" s="20"/>
      <c r="J24" s="22"/>
      <c r="K24" s="22"/>
      <c r="L24" s="20"/>
      <c r="AD24" s="85" t="s">
        <v>350</v>
      </c>
      <c r="AE24" s="79">
        <v>916383.25</v>
      </c>
      <c r="AF24" s="79">
        <v>0</v>
      </c>
      <c r="AG24" s="79">
        <v>8355.0400000000009</v>
      </c>
      <c r="AH24" s="79">
        <v>1011.99</v>
      </c>
      <c r="AI24" s="81">
        <f t="shared" si="2"/>
        <v>925750.28</v>
      </c>
      <c r="AN24" s="79"/>
    </row>
    <row r="25" spans="1:40" ht="15.6" x14ac:dyDescent="0.3">
      <c r="A25" s="1" t="s">
        <v>90</v>
      </c>
      <c r="B25" s="1" t="s">
        <v>91</v>
      </c>
      <c r="C25" s="4" t="s">
        <v>139</v>
      </c>
      <c r="D25" s="22">
        <f ca="1">CNYM</f>
        <v>109502.81</v>
      </c>
      <c r="E25" s="22">
        <f ca="1">CBNYM</f>
        <v>123277.31</v>
      </c>
      <c r="F25" s="52">
        <f ca="1">+D25-E25</f>
        <v>-13774.5</v>
      </c>
      <c r="G25" s="22">
        <f ca="1">CNYQ</f>
        <v>336998.16</v>
      </c>
      <c r="H25" s="22">
        <f ca="1">CBNYQ</f>
        <v>351478.87</v>
      </c>
      <c r="I25" s="52">
        <f ca="1">+G25-H25</f>
        <v>-14480.710000000021</v>
      </c>
      <c r="J25" s="22">
        <f ca="1">CNYY</f>
        <v>1386711.2000000002</v>
      </c>
      <c r="K25" s="22">
        <f ca="1">CBNYY</f>
        <v>1457798.1500000001</v>
      </c>
      <c r="L25" s="52">
        <f ca="1">+J25-K25</f>
        <v>-71086.949999999953</v>
      </c>
      <c r="N25" s="58">
        <v>51606</v>
      </c>
      <c r="O25" s="58">
        <v>2403.16</v>
      </c>
      <c r="P25" s="58">
        <v>37429.5</v>
      </c>
      <c r="Q25" s="58">
        <v>7413.93</v>
      </c>
      <c r="R25" s="61">
        <f t="shared" ref="R25:R27" si="19">SUM(N25:Q25)</f>
        <v>98852.59</v>
      </c>
      <c r="S25" s="63">
        <f t="shared" ref="S25:S26" ca="1" si="20">+D25</f>
        <v>109502.81</v>
      </c>
      <c r="T25" s="63">
        <f t="shared" ref="T25:T26" ca="1" si="21">+R25-S25</f>
        <v>-10650.220000000001</v>
      </c>
      <c r="V25" s="1">
        <v>62133.8</v>
      </c>
      <c r="W25" s="1">
        <v>40312.870000000003</v>
      </c>
      <c r="X25" s="1">
        <v>553903.88</v>
      </c>
      <c r="Y25" s="1">
        <v>86480.56</v>
      </c>
      <c r="Z25" s="30">
        <f t="shared" ref="Z25:Z26" si="22">SUM(V25:Y25)</f>
        <v>742831.1100000001</v>
      </c>
      <c r="AA25" s="63">
        <f t="shared" ref="AA25:AA26" ca="1" si="23">+J25</f>
        <v>1386711.2000000002</v>
      </c>
      <c r="AB25" s="63">
        <f t="shared" ref="AB25:AB26" ca="1" si="24">+Z25-AA25</f>
        <v>-643880.09000000008</v>
      </c>
      <c r="AD25" s="85" t="s">
        <v>351</v>
      </c>
      <c r="AE25" s="79">
        <v>658644.88</v>
      </c>
      <c r="AF25" s="79">
        <v>614795.22</v>
      </c>
      <c r="AG25" s="79">
        <v>43102.23</v>
      </c>
      <c r="AH25" s="79">
        <v>94453</v>
      </c>
      <c r="AI25" s="81">
        <f t="shared" si="2"/>
        <v>1410995.33</v>
      </c>
      <c r="AN25" s="79"/>
    </row>
    <row r="26" spans="1:40" ht="15.6" x14ac:dyDescent="0.3">
      <c r="A26" s="1" t="s">
        <v>84</v>
      </c>
      <c r="B26" s="1" t="s">
        <v>85</v>
      </c>
      <c r="C26" s="4" t="s">
        <v>140</v>
      </c>
      <c r="D26" s="22">
        <f ca="1">CNYM</f>
        <v>7455.07</v>
      </c>
      <c r="E26" s="22">
        <f ca="1">CBNYM</f>
        <v>7801.68</v>
      </c>
      <c r="F26" s="52">
        <f ca="1">+D26-E26</f>
        <v>-346.61000000000058</v>
      </c>
      <c r="G26" s="22">
        <f ca="1">CNYQ</f>
        <v>22926.65</v>
      </c>
      <c r="H26" s="22">
        <f ca="1">CBNYQ</f>
        <v>22240.23</v>
      </c>
      <c r="I26" s="52">
        <f ca="1">+G26-H26</f>
        <v>686.42000000000189</v>
      </c>
      <c r="J26" s="22">
        <f ca="1">CNYY</f>
        <v>93554.34</v>
      </c>
      <c r="K26" s="22">
        <f ca="1">CBNYY</f>
        <v>84207.47</v>
      </c>
      <c r="L26" s="52">
        <f ca="1">+J26-K26</f>
        <v>9346.8699999999953</v>
      </c>
      <c r="N26" s="58">
        <v>6399.45</v>
      </c>
      <c r="P26" s="58">
        <v>1008.31</v>
      </c>
      <c r="Q26" s="58">
        <v>39.700000000000003</v>
      </c>
      <c r="R26" s="61">
        <f t="shared" si="19"/>
        <v>7447.46</v>
      </c>
      <c r="S26" s="63">
        <f t="shared" ca="1" si="20"/>
        <v>7455.07</v>
      </c>
      <c r="T26" s="63">
        <f t="shared" ca="1" si="21"/>
        <v>-7.6099999999996726</v>
      </c>
      <c r="V26" s="1">
        <v>6774.36</v>
      </c>
      <c r="X26" s="1">
        <v>11360.88</v>
      </c>
      <c r="Y26" s="1">
        <v>39.700000000000003</v>
      </c>
      <c r="Z26" s="30">
        <f t="shared" si="22"/>
        <v>18174.939999999999</v>
      </c>
      <c r="AA26" s="63">
        <f t="shared" ca="1" si="23"/>
        <v>93554.34</v>
      </c>
      <c r="AB26" s="63">
        <f t="shared" ca="1" si="24"/>
        <v>-75379.399999999994</v>
      </c>
      <c r="AD26" s="85" t="s">
        <v>352</v>
      </c>
      <c r="AE26" s="79">
        <v>146865.04</v>
      </c>
      <c r="AF26" s="79">
        <v>0</v>
      </c>
      <c r="AG26" s="79">
        <v>12609.36</v>
      </c>
      <c r="AH26" s="79">
        <v>12000</v>
      </c>
      <c r="AI26" s="81">
        <f t="shared" si="2"/>
        <v>171474.40000000002</v>
      </c>
      <c r="AN26" s="79"/>
    </row>
    <row r="27" spans="1:40" ht="15.6" x14ac:dyDescent="0.3">
      <c r="C27" s="4" t="s">
        <v>141</v>
      </c>
      <c r="D27" s="23">
        <f ca="1">CNYM</f>
        <v>0</v>
      </c>
      <c r="E27" s="23">
        <f ca="1">CBNYM</f>
        <v>0</v>
      </c>
      <c r="F27" s="21"/>
      <c r="G27" s="23">
        <f ca="1">CNYQ</f>
        <v>0</v>
      </c>
      <c r="H27" s="23">
        <f ca="1">CBNYQ</f>
        <v>0</v>
      </c>
      <c r="I27" s="21"/>
      <c r="J27" s="23">
        <f ca="1">CNYY</f>
        <v>0</v>
      </c>
      <c r="K27" s="23">
        <f ca="1">CBNYY</f>
        <v>0</v>
      </c>
      <c r="L27" s="21"/>
      <c r="R27" s="61">
        <f t="shared" si="19"/>
        <v>0</v>
      </c>
      <c r="S27" s="63">
        <f ca="1">+D27</f>
        <v>0</v>
      </c>
      <c r="T27" s="63">
        <f ca="1">+R27-S27</f>
        <v>0</v>
      </c>
      <c r="AD27" s="85" t="s">
        <v>353</v>
      </c>
      <c r="AE27" s="82">
        <v>3464394.98</v>
      </c>
      <c r="AF27" s="79">
        <v>622874.45000000007</v>
      </c>
      <c r="AG27" s="79">
        <v>82365.13</v>
      </c>
      <c r="AH27" s="79">
        <v>127379.21</v>
      </c>
      <c r="AI27" s="84">
        <f t="shared" si="2"/>
        <v>4297013.7700000005</v>
      </c>
      <c r="AN27" s="79"/>
    </row>
    <row r="28" spans="1:40" x14ac:dyDescent="0.3">
      <c r="C28" s="3" t="s">
        <v>142</v>
      </c>
      <c r="D28" s="22">
        <f ca="1">SUM(D25:D27)</f>
        <v>116957.88</v>
      </c>
      <c r="E28" s="22">
        <f ca="1">SUM(E25:E27)</f>
        <v>131078.99</v>
      </c>
      <c r="F28" s="52">
        <f ca="1">+D28-E28</f>
        <v>-14121.109999999986</v>
      </c>
      <c r="G28" s="22">
        <f t="shared" ref="G28:K28" ca="1" si="25">SUM(G25:G27)</f>
        <v>359924.81</v>
      </c>
      <c r="H28" s="22">
        <f t="shared" ca="1" si="25"/>
        <v>373719.1</v>
      </c>
      <c r="I28" s="52">
        <f ca="1">+G28-H28</f>
        <v>-13794.289999999979</v>
      </c>
      <c r="J28" s="22">
        <f t="shared" ca="1" si="25"/>
        <v>1480265.5400000003</v>
      </c>
      <c r="K28" s="22">
        <f t="shared" ca="1" si="25"/>
        <v>1542005.62</v>
      </c>
      <c r="L28" s="52">
        <f ca="1">+J28-K28</f>
        <v>-61740.079999999842</v>
      </c>
      <c r="AD28" s="85" t="s">
        <v>354</v>
      </c>
      <c r="AE28" s="82">
        <v>2661990.27</v>
      </c>
      <c r="AF28" s="79">
        <v>-622874.45000000007</v>
      </c>
      <c r="AG28" s="79">
        <v>16493.28</v>
      </c>
      <c r="AH28" s="79">
        <v>137824.04999999999</v>
      </c>
      <c r="AI28" s="84">
        <f>AI20-AI27</f>
        <v>2193433.1500000004</v>
      </c>
      <c r="AN28" s="79"/>
    </row>
    <row r="29" spans="1:40" x14ac:dyDescent="0.3">
      <c r="C29" s="3"/>
      <c r="D29" s="22"/>
      <c r="E29" s="22"/>
      <c r="F29" s="20"/>
      <c r="G29" s="22"/>
      <c r="H29" s="22"/>
      <c r="I29" s="20"/>
      <c r="J29" s="22"/>
      <c r="K29" s="22"/>
      <c r="L29" s="20"/>
      <c r="AD29" s="86"/>
      <c r="AE29" s="76"/>
      <c r="AF29" s="79"/>
      <c r="AG29" s="79"/>
      <c r="AH29" s="79"/>
      <c r="AI29" s="83" t="str">
        <f t="shared" si="2"/>
        <v/>
      </c>
      <c r="AN29" s="79"/>
    </row>
    <row r="30" spans="1:40" x14ac:dyDescent="0.3">
      <c r="C30" s="3" t="s">
        <v>143</v>
      </c>
      <c r="D30" s="22"/>
      <c r="E30" s="22"/>
      <c r="F30" s="20"/>
      <c r="G30" s="22"/>
      <c r="H30" s="22"/>
      <c r="I30" s="20"/>
      <c r="J30" s="22"/>
      <c r="K30" s="22"/>
      <c r="L30" s="20"/>
      <c r="AD30" s="85" t="s">
        <v>355</v>
      </c>
      <c r="AE30" s="76"/>
      <c r="AF30" s="79"/>
      <c r="AG30" s="79"/>
      <c r="AH30" s="79"/>
      <c r="AI30" s="83" t="str">
        <f t="shared" si="2"/>
        <v/>
      </c>
      <c r="AN30" s="79"/>
    </row>
    <row r="31" spans="1:40" ht="15.6" x14ac:dyDescent="0.3">
      <c r="A31" s="1" t="s">
        <v>88</v>
      </c>
      <c r="B31" s="1" t="s">
        <v>89</v>
      </c>
      <c r="C31" s="4" t="s">
        <v>144</v>
      </c>
      <c r="D31" s="22">
        <f ca="1">CNYM</f>
        <v>68157.539999999994</v>
      </c>
      <c r="E31" s="22">
        <f ca="1">CBNYM</f>
        <v>70019.899999999994</v>
      </c>
      <c r="F31" s="52">
        <f t="shared" ref="F31:F34" ca="1" si="26">+D31-E31</f>
        <v>-1862.3600000000006</v>
      </c>
      <c r="G31" s="22">
        <f ca="1">CNYQ</f>
        <v>212704.77999999997</v>
      </c>
      <c r="H31" s="22">
        <f ca="1">CBNYQ</f>
        <v>202880.55</v>
      </c>
      <c r="I31" s="52">
        <f t="shared" ref="I31:I34" ca="1" si="27">+G31-H31</f>
        <v>9824.2299999999814</v>
      </c>
      <c r="J31" s="22">
        <f ca="1">CNYY</f>
        <v>929986.5</v>
      </c>
      <c r="K31" s="22">
        <f ca="1">CBNYY</f>
        <v>1165903.43</v>
      </c>
      <c r="L31" s="52">
        <f t="shared" ref="L31:L34" ca="1" si="28">+J31-K31</f>
        <v>-235916.92999999993</v>
      </c>
      <c r="N31" s="58">
        <v>66364.53</v>
      </c>
      <c r="O31" s="58">
        <v>452.65</v>
      </c>
      <c r="Q31" s="58">
        <v>61.49</v>
      </c>
      <c r="R31" s="61">
        <f t="shared" ref="R31:R34" si="29">SUM(N31:Q31)</f>
        <v>66878.67</v>
      </c>
      <c r="S31" s="63">
        <f t="shared" ref="S31:S34" ca="1" si="30">+D31</f>
        <v>68157.539999999994</v>
      </c>
      <c r="T31" s="63">
        <f t="shared" ref="T31:T34" ca="1" si="31">+R31-S31</f>
        <v>-1278.8699999999953</v>
      </c>
      <c r="V31" s="1">
        <v>60825.59</v>
      </c>
      <c r="W31" s="1">
        <v>7974.65</v>
      </c>
      <c r="Y31" s="1">
        <v>987.27</v>
      </c>
      <c r="Z31" s="30">
        <f t="shared" ref="Z31:Z34" si="32">SUM(V31:Y31)</f>
        <v>69787.509999999995</v>
      </c>
      <c r="AA31" s="63">
        <f t="shared" ref="AA31:AA34" ca="1" si="33">+J31</f>
        <v>929986.5</v>
      </c>
      <c r="AB31" s="63">
        <f t="shared" ref="AB31:AB34" ca="1" si="34">+Z31-AA31</f>
        <v>-860198.99</v>
      </c>
      <c r="AD31" s="85" t="s">
        <v>356</v>
      </c>
      <c r="AE31" s="79">
        <v>81473.05</v>
      </c>
      <c r="AF31" s="79">
        <v>12041.59</v>
      </c>
      <c r="AG31" s="79">
        <v>0</v>
      </c>
      <c r="AH31" s="79">
        <v>39.700000000000003</v>
      </c>
      <c r="AI31" s="81">
        <f t="shared" si="2"/>
        <v>93554.34</v>
      </c>
      <c r="AN31" s="79"/>
    </row>
    <row r="32" spans="1:40" ht="15.6" x14ac:dyDescent="0.3">
      <c r="A32" s="1" t="s">
        <v>82</v>
      </c>
      <c r="B32" s="1" t="s">
        <v>83</v>
      </c>
      <c r="C32" s="4" t="s">
        <v>145</v>
      </c>
      <c r="D32" s="22">
        <f ca="1">CNYM-D33</f>
        <v>28626.579999999998</v>
      </c>
      <c r="E32" s="22">
        <f ca="1">CBNYM-E33</f>
        <v>116366.63</v>
      </c>
      <c r="F32" s="52">
        <f t="shared" ca="1" si="26"/>
        <v>-87740.05</v>
      </c>
      <c r="G32" s="22">
        <f ca="1">CNYQ-G33</f>
        <v>314292.23000000004</v>
      </c>
      <c r="H32" s="22">
        <f ca="1">CBNYQ-H33</f>
        <v>283442.46999999997</v>
      </c>
      <c r="I32" s="52">
        <f t="shared" ca="1" si="27"/>
        <v>30849.760000000068</v>
      </c>
      <c r="J32" s="22">
        <f ca="1">CNYY-J33</f>
        <v>1735557.34</v>
      </c>
      <c r="K32" s="22">
        <f ca="1">CBNYY-K33</f>
        <v>1797584.2200000002</v>
      </c>
      <c r="L32" s="52">
        <f t="shared" ca="1" si="28"/>
        <v>-62026.880000000121</v>
      </c>
      <c r="N32" s="58">
        <v>175458.51</v>
      </c>
      <c r="O32" s="58">
        <v>1350.53</v>
      </c>
      <c r="P32" s="58">
        <v>645.62</v>
      </c>
      <c r="Q32" s="58">
        <v>839.25</v>
      </c>
      <c r="R32" s="61">
        <f t="shared" si="29"/>
        <v>178293.91</v>
      </c>
      <c r="S32" s="63">
        <f t="shared" ca="1" si="30"/>
        <v>28626.579999999998</v>
      </c>
      <c r="T32" s="63">
        <f t="shared" ca="1" si="31"/>
        <v>149667.33000000002</v>
      </c>
      <c r="V32" s="1">
        <v>1689251.66</v>
      </c>
      <c r="W32" s="1">
        <v>17507.009999999998</v>
      </c>
      <c r="X32" s="1">
        <v>7592.81</v>
      </c>
      <c r="Y32" s="1">
        <v>14337.56</v>
      </c>
      <c r="Z32" s="30">
        <f t="shared" si="32"/>
        <v>1728689.04</v>
      </c>
      <c r="AA32" s="63">
        <f t="shared" ca="1" si="33"/>
        <v>1735557.34</v>
      </c>
      <c r="AB32" s="63">
        <f t="shared" ca="1" si="34"/>
        <v>-6868.3000000000466</v>
      </c>
      <c r="AD32" s="85" t="s">
        <v>357</v>
      </c>
      <c r="AE32" s="79">
        <v>15021.31</v>
      </c>
      <c r="AF32" s="79">
        <v>0</v>
      </c>
      <c r="AG32" s="79">
        <v>1224.1500000000001</v>
      </c>
      <c r="AH32" s="79">
        <v>351</v>
      </c>
      <c r="AI32" s="81">
        <f t="shared" si="2"/>
        <v>16596.46</v>
      </c>
      <c r="AN32" s="79"/>
    </row>
    <row r="33" spans="1:40" ht="15.6" x14ac:dyDescent="0.3">
      <c r="A33" s="1" t="s">
        <v>236</v>
      </c>
      <c r="B33" s="1" t="s">
        <v>83</v>
      </c>
      <c r="C33" s="28" t="s">
        <v>146</v>
      </c>
      <c r="D33" s="93">
        <f ca="1">DM</f>
        <v>376.38</v>
      </c>
      <c r="E33" s="22">
        <f ca="1">DBM</f>
        <v>3185</v>
      </c>
      <c r="F33" s="52">
        <f t="shared" ca="1" si="26"/>
        <v>-2808.62</v>
      </c>
      <c r="G33" s="22">
        <f ca="1">DQ</f>
        <v>-1787.1399999999999</v>
      </c>
      <c r="H33" s="22">
        <f ca="1">DBQ</f>
        <v>6837</v>
      </c>
      <c r="I33" s="52">
        <f t="shared" ca="1" si="27"/>
        <v>-8624.14</v>
      </c>
      <c r="J33" s="22">
        <f ca="1">DY</f>
        <v>22134.659999999996</v>
      </c>
      <c r="K33" s="22">
        <f ca="1">DBY</f>
        <v>48097</v>
      </c>
      <c r="L33" s="52">
        <f t="shared" ca="1" si="28"/>
        <v>-25962.340000000004</v>
      </c>
      <c r="R33" s="61">
        <f t="shared" si="29"/>
        <v>0</v>
      </c>
      <c r="S33" s="63">
        <f t="shared" ca="1" si="30"/>
        <v>376.38</v>
      </c>
      <c r="T33" s="63">
        <f t="shared" ca="1" si="31"/>
        <v>-376.38</v>
      </c>
      <c r="Z33" s="30">
        <f t="shared" si="32"/>
        <v>0</v>
      </c>
      <c r="AA33" s="63">
        <f t="shared" ca="1" si="33"/>
        <v>22134.659999999996</v>
      </c>
      <c r="AB33" s="63">
        <f t="shared" ca="1" si="34"/>
        <v>-22134.659999999996</v>
      </c>
      <c r="AD33" s="85" t="s">
        <v>358</v>
      </c>
      <c r="AE33" s="79">
        <v>8655</v>
      </c>
      <c r="AF33" s="79">
        <v>22660.79</v>
      </c>
      <c r="AG33" s="79">
        <v>354.35</v>
      </c>
      <c r="AH33" s="79">
        <v>394.40000000000003</v>
      </c>
      <c r="AI33" s="81">
        <f t="shared" si="2"/>
        <v>32064.54</v>
      </c>
      <c r="AN33" s="79"/>
    </row>
    <row r="34" spans="1:40" ht="15.6" x14ac:dyDescent="0.3">
      <c r="A34" s="1" t="s">
        <v>108</v>
      </c>
      <c r="B34" s="1" t="s">
        <v>109</v>
      </c>
      <c r="C34" s="4" t="s">
        <v>147</v>
      </c>
      <c r="D34" s="23">
        <f ca="1">CNYM</f>
        <v>6435.37</v>
      </c>
      <c r="E34" s="23">
        <f ca="1">CBNYM</f>
        <v>6683.96</v>
      </c>
      <c r="F34" s="55">
        <f t="shared" ca="1" si="26"/>
        <v>-248.59000000000015</v>
      </c>
      <c r="G34" s="23">
        <f ca="1">CNYQ</f>
        <v>24439.98</v>
      </c>
      <c r="H34" s="23">
        <f ca="1">CBNYQ</f>
        <v>20295.18</v>
      </c>
      <c r="I34" s="55">
        <f t="shared" ca="1" si="27"/>
        <v>4144.7999999999993</v>
      </c>
      <c r="J34" s="23">
        <f ca="1">CNYY</f>
        <v>113481.22</v>
      </c>
      <c r="K34" s="23">
        <f ca="1">CBNYY</f>
        <v>140646.28</v>
      </c>
      <c r="L34" s="55">
        <f t="shared" ca="1" si="28"/>
        <v>-27165.059999999998</v>
      </c>
      <c r="N34" s="58">
        <v>6003.77</v>
      </c>
      <c r="Q34" s="58">
        <v>171.97</v>
      </c>
      <c r="R34" s="61">
        <f t="shared" si="29"/>
        <v>6175.7400000000007</v>
      </c>
      <c r="S34" s="63">
        <f t="shared" ca="1" si="30"/>
        <v>6435.37</v>
      </c>
      <c r="T34" s="63">
        <f t="shared" ca="1" si="31"/>
        <v>-259.6299999999992</v>
      </c>
      <c r="V34" s="1">
        <v>104046.76</v>
      </c>
      <c r="Y34" s="1">
        <v>2999.09</v>
      </c>
      <c r="Z34" s="30">
        <f t="shared" si="32"/>
        <v>107045.84999999999</v>
      </c>
      <c r="AA34" s="63">
        <f t="shared" ca="1" si="33"/>
        <v>113481.22</v>
      </c>
      <c r="AB34" s="63">
        <f t="shared" ca="1" si="34"/>
        <v>-6435.3700000000099</v>
      </c>
      <c r="AD34" s="85" t="s">
        <v>359</v>
      </c>
      <c r="AE34" s="79">
        <v>0</v>
      </c>
      <c r="AF34" s="79">
        <v>0</v>
      </c>
      <c r="AG34" s="79">
        <v>0</v>
      </c>
      <c r="AH34" s="79">
        <v>0</v>
      </c>
      <c r="AI34" s="83">
        <f t="shared" si="2"/>
        <v>0</v>
      </c>
      <c r="AN34" s="79"/>
    </row>
    <row r="35" spans="1:40" x14ac:dyDescent="0.3">
      <c r="C35" s="3" t="s">
        <v>148</v>
      </c>
      <c r="D35" s="22">
        <f ca="1">SUM(D31:D34)</f>
        <v>103595.87</v>
      </c>
      <c r="E35" s="22">
        <f ca="1">SUM(E31:E34)</f>
        <v>196255.49</v>
      </c>
      <c r="F35" s="52">
        <f ca="1">+D35-E35</f>
        <v>-92659.62</v>
      </c>
      <c r="G35" s="22">
        <f t="shared" ref="G35:K35" ca="1" si="35">SUM(G31:G34)</f>
        <v>549649.85</v>
      </c>
      <c r="H35" s="22">
        <f t="shared" ca="1" si="35"/>
        <v>513455.19999999995</v>
      </c>
      <c r="I35" s="52">
        <f ca="1">+G35-H35</f>
        <v>36194.650000000023</v>
      </c>
      <c r="J35" s="22">
        <f t="shared" ca="1" si="35"/>
        <v>2801159.72</v>
      </c>
      <c r="K35" s="22">
        <f t="shared" ca="1" si="35"/>
        <v>3152230.93</v>
      </c>
      <c r="L35" s="52">
        <f ca="1">+J35-K35</f>
        <v>-351071.20999999996</v>
      </c>
      <c r="AD35" s="85" t="s">
        <v>360</v>
      </c>
      <c r="AE35" s="79">
        <v>0</v>
      </c>
      <c r="AF35" s="79">
        <v>1190.95</v>
      </c>
      <c r="AG35" s="79">
        <v>77773.8</v>
      </c>
      <c r="AH35" s="79">
        <v>49538.770000000004</v>
      </c>
      <c r="AI35" s="81">
        <f t="shared" si="2"/>
        <v>128503.52</v>
      </c>
      <c r="AN35" s="79"/>
    </row>
    <row r="36" spans="1:40" x14ac:dyDescent="0.3">
      <c r="C36" s="3"/>
      <c r="D36" s="22"/>
      <c r="E36" s="22">
        <f t="shared" ref="E36:E51" ca="1" si="36">CBNYM</f>
        <v>0</v>
      </c>
      <c r="F36" s="20"/>
      <c r="G36" s="22"/>
      <c r="H36" s="22"/>
      <c r="I36" s="20"/>
      <c r="J36" s="22"/>
      <c r="K36" s="22"/>
      <c r="L36" s="20"/>
      <c r="AD36" s="85" t="s">
        <v>361</v>
      </c>
      <c r="AE36" s="79">
        <v>78250.97</v>
      </c>
      <c r="AF36" s="79">
        <v>105232.79000000001</v>
      </c>
      <c r="AG36" s="79">
        <v>3163.5</v>
      </c>
      <c r="AH36" s="79">
        <v>8581.630000000001</v>
      </c>
      <c r="AI36" s="81">
        <f t="shared" si="2"/>
        <v>195228.89</v>
      </c>
      <c r="AN36" s="79"/>
    </row>
    <row r="37" spans="1:40" x14ac:dyDescent="0.3">
      <c r="C37" s="3" t="s">
        <v>149</v>
      </c>
      <c r="D37" s="22"/>
      <c r="E37" s="22">
        <f t="shared" ca="1" si="36"/>
        <v>0</v>
      </c>
      <c r="F37" s="20"/>
      <c r="G37" s="22"/>
      <c r="H37" s="22"/>
      <c r="I37" s="20"/>
      <c r="J37" s="22"/>
      <c r="K37" s="22"/>
      <c r="L37" s="20"/>
      <c r="AD37" s="85" t="s">
        <v>362</v>
      </c>
      <c r="AE37" s="79">
        <v>5175</v>
      </c>
      <c r="AF37" s="79">
        <v>284316.52</v>
      </c>
      <c r="AG37" s="79">
        <v>0</v>
      </c>
      <c r="AH37" s="79">
        <v>-412.5</v>
      </c>
      <c r="AI37" s="81">
        <f t="shared" si="2"/>
        <v>289079.02</v>
      </c>
      <c r="AN37" s="79"/>
    </row>
    <row r="38" spans="1:40" ht="15.6" x14ac:dyDescent="0.3">
      <c r="A38" s="1" t="s">
        <v>86</v>
      </c>
      <c r="B38" s="1" t="s">
        <v>87</v>
      </c>
      <c r="C38" s="4" t="s">
        <v>150</v>
      </c>
      <c r="D38" s="22">
        <f t="shared" ref="D38:D51" ca="1" si="37">CNYM</f>
        <v>60423.040000000001</v>
      </c>
      <c r="E38" s="22">
        <f t="shared" ca="1" si="36"/>
        <v>200</v>
      </c>
      <c r="F38" s="52">
        <f t="shared" ref="F38:F50" ca="1" si="38">+D38-E38</f>
        <v>60223.040000000001</v>
      </c>
      <c r="G38" s="22">
        <f t="shared" ref="G38:G51" ca="1" si="39">CNYQ</f>
        <v>60423.040000000001</v>
      </c>
      <c r="H38" s="22">
        <f t="shared" ref="H38:H51" ca="1" si="40">CBNYQ</f>
        <v>600</v>
      </c>
      <c r="I38" s="52">
        <f t="shared" ref="I38:I50" ca="1" si="41">+G38-H38</f>
        <v>59823.040000000001</v>
      </c>
      <c r="J38" s="22">
        <f t="shared" ref="J38:J51" ca="1" si="42">CNYY</f>
        <v>68229.490000000005</v>
      </c>
      <c r="K38" s="22">
        <f t="shared" ref="K38:K51" ca="1" si="43">CBNYY</f>
        <v>2400</v>
      </c>
      <c r="L38" s="52">
        <f t="shared" ref="L38:L50" ca="1" si="44">+J38-K38</f>
        <v>65829.490000000005</v>
      </c>
      <c r="R38" s="61">
        <f t="shared" ref="R38:R51" si="45">SUM(N38:Q38)</f>
        <v>0</v>
      </c>
      <c r="S38" s="63">
        <f t="shared" ref="S38:S51" ca="1" si="46">+D38</f>
        <v>60423.040000000001</v>
      </c>
      <c r="T38" s="63">
        <f t="shared" ref="T38:T51" ca="1" si="47">+R38-S38</f>
        <v>-60423.040000000001</v>
      </c>
      <c r="V38" s="1">
        <v>7593.9</v>
      </c>
      <c r="W38" s="1">
        <v>212.55</v>
      </c>
      <c r="Z38" s="30">
        <f>SUM(V38:Y38)</f>
        <v>7806.45</v>
      </c>
      <c r="AA38" s="63">
        <f ca="1">+J38</f>
        <v>68229.490000000005</v>
      </c>
      <c r="AB38" s="63">
        <f ca="1">+Z38-AA38</f>
        <v>-60423.040000000008</v>
      </c>
      <c r="AD38" s="85" t="s">
        <v>363</v>
      </c>
      <c r="AE38" s="79">
        <v>88201.32</v>
      </c>
      <c r="AF38" s="79">
        <v>0</v>
      </c>
      <c r="AG38" s="79">
        <v>12135.56</v>
      </c>
      <c r="AH38" s="79">
        <v>4005.51</v>
      </c>
      <c r="AI38" s="81">
        <f t="shared" si="2"/>
        <v>104342.39</v>
      </c>
      <c r="AN38" s="79"/>
    </row>
    <row r="39" spans="1:40" ht="15.6" x14ac:dyDescent="0.3">
      <c r="A39" s="1" t="s">
        <v>92</v>
      </c>
      <c r="B39" s="1" t="s">
        <v>93</v>
      </c>
      <c r="C39" s="4" t="s">
        <v>151</v>
      </c>
      <c r="D39" s="22">
        <f t="shared" ca="1" si="37"/>
        <v>4114.99</v>
      </c>
      <c r="E39" s="22">
        <f t="shared" ca="1" si="36"/>
        <v>2069</v>
      </c>
      <c r="F39" s="52">
        <f t="shared" ca="1" si="38"/>
        <v>2045.9899999999998</v>
      </c>
      <c r="G39" s="22">
        <f t="shared" ca="1" si="39"/>
        <v>12344.97</v>
      </c>
      <c r="H39" s="22">
        <f t="shared" ca="1" si="40"/>
        <v>6207</v>
      </c>
      <c r="I39" s="52">
        <f t="shared" ca="1" si="41"/>
        <v>6137.9699999999993</v>
      </c>
      <c r="J39" s="22">
        <f t="shared" ca="1" si="42"/>
        <v>34298.71</v>
      </c>
      <c r="K39" s="22">
        <f t="shared" ca="1" si="43"/>
        <v>24828</v>
      </c>
      <c r="L39" s="52">
        <f t="shared" ca="1" si="44"/>
        <v>9470.7099999999991</v>
      </c>
      <c r="N39" s="58">
        <v>1731</v>
      </c>
      <c r="P39" s="58">
        <v>2292.88</v>
      </c>
      <c r="R39" s="61">
        <f t="shared" si="45"/>
        <v>4023.88</v>
      </c>
      <c r="S39" s="63">
        <f t="shared" ca="1" si="46"/>
        <v>4114.99</v>
      </c>
      <c r="T39" s="63">
        <f t="shared" ca="1" si="47"/>
        <v>-91.109999999999673</v>
      </c>
      <c r="V39" s="1">
        <v>6924</v>
      </c>
      <c r="W39" s="1">
        <v>317.91000000000003</v>
      </c>
      <c r="X39" s="1">
        <v>22602.080000000002</v>
      </c>
      <c r="Y39" s="1">
        <v>339.73</v>
      </c>
      <c r="Z39" s="30">
        <f t="shared" ref="Z39:Z48" si="48">SUM(V39:Y39)</f>
        <v>30183.72</v>
      </c>
      <c r="AA39" s="63">
        <f t="shared" ref="AA39:AA48" ca="1" si="49">+J39</f>
        <v>34298.71</v>
      </c>
      <c r="AB39" s="63">
        <f t="shared" ref="AB39:AB51" ca="1" si="50">+Z39-AA39</f>
        <v>-4114.989999999998</v>
      </c>
      <c r="AD39" s="85" t="s">
        <v>364</v>
      </c>
      <c r="AE39" s="79">
        <v>24245.119999999999</v>
      </c>
      <c r="AF39" s="79">
        <v>10259.27</v>
      </c>
      <c r="AG39" s="79">
        <v>10853.54</v>
      </c>
      <c r="AH39" s="79">
        <v>2305.85</v>
      </c>
      <c r="AI39" s="81">
        <f t="shared" si="2"/>
        <v>47663.78</v>
      </c>
      <c r="AN39" s="79"/>
    </row>
    <row r="40" spans="1:40" ht="15.6" x14ac:dyDescent="0.3">
      <c r="A40" s="1" t="s">
        <v>94</v>
      </c>
      <c r="B40" s="1" t="s">
        <v>95</v>
      </c>
      <c r="C40" s="4" t="s">
        <v>152</v>
      </c>
      <c r="D40" s="22">
        <f t="shared" ca="1" si="37"/>
        <v>0</v>
      </c>
      <c r="E40" s="22">
        <f t="shared" ca="1" si="36"/>
        <v>0</v>
      </c>
      <c r="F40" s="52">
        <f t="shared" ca="1" si="38"/>
        <v>0</v>
      </c>
      <c r="G40" s="22">
        <f t="shared" ca="1" si="39"/>
        <v>0</v>
      </c>
      <c r="H40" s="22">
        <f t="shared" ca="1" si="40"/>
        <v>0</v>
      </c>
      <c r="I40" s="52">
        <f t="shared" ca="1" si="41"/>
        <v>0</v>
      </c>
      <c r="J40" s="22">
        <f t="shared" ca="1" si="42"/>
        <v>0</v>
      </c>
      <c r="K40" s="22">
        <f t="shared" ca="1" si="43"/>
        <v>0</v>
      </c>
      <c r="L40" s="52">
        <f t="shared" ca="1" si="44"/>
        <v>0</v>
      </c>
      <c r="R40" s="61">
        <f t="shared" si="45"/>
        <v>0</v>
      </c>
      <c r="S40" s="63">
        <f t="shared" ca="1" si="46"/>
        <v>0</v>
      </c>
      <c r="T40" s="63">
        <f t="shared" ca="1" si="47"/>
        <v>0</v>
      </c>
      <c r="Z40" s="30">
        <f t="shared" si="48"/>
        <v>0</v>
      </c>
      <c r="AA40" s="63">
        <f t="shared" ca="1" si="49"/>
        <v>0</v>
      </c>
      <c r="AB40" s="63">
        <f t="shared" ca="1" si="50"/>
        <v>0</v>
      </c>
      <c r="AD40" s="85" t="s">
        <v>365</v>
      </c>
      <c r="AE40" s="79">
        <v>6881.26</v>
      </c>
      <c r="AF40" s="79">
        <v>0</v>
      </c>
      <c r="AG40" s="79">
        <v>10853.54</v>
      </c>
      <c r="AH40" s="79">
        <v>6848.62</v>
      </c>
      <c r="AI40" s="81">
        <f t="shared" si="2"/>
        <v>24583.420000000002</v>
      </c>
      <c r="AN40" s="79"/>
    </row>
    <row r="41" spans="1:40" ht="15.6" x14ac:dyDescent="0.3">
      <c r="A41" s="1" t="s">
        <v>96</v>
      </c>
      <c r="B41" s="1" t="s">
        <v>97</v>
      </c>
      <c r="C41" s="4" t="s">
        <v>153</v>
      </c>
      <c r="D41" s="22">
        <f ca="1">CNYM-D42</f>
        <v>4127.33</v>
      </c>
      <c r="E41" s="22">
        <f ca="1">CBNYM-E42</f>
        <v>4179</v>
      </c>
      <c r="F41" s="52">
        <f t="shared" ca="1" si="38"/>
        <v>-51.670000000000073</v>
      </c>
      <c r="G41" s="22">
        <f ca="1">CNYQ-G42</f>
        <v>12381.990000000002</v>
      </c>
      <c r="H41" s="22">
        <f ca="1">CBNYQ-H42</f>
        <v>12537</v>
      </c>
      <c r="I41" s="52">
        <f t="shared" ca="1" si="41"/>
        <v>-155.0099999999984</v>
      </c>
      <c r="J41" s="22">
        <f ca="1">CNYY-J42</f>
        <v>50729.720000000016</v>
      </c>
      <c r="K41" s="22">
        <f ca="1">CBNYY-K42</f>
        <v>50148</v>
      </c>
      <c r="L41" s="52">
        <f t="shared" ca="1" si="44"/>
        <v>581.72000000001572</v>
      </c>
      <c r="Q41" s="58">
        <v>4127.33</v>
      </c>
      <c r="R41" s="61">
        <f t="shared" si="45"/>
        <v>4127.33</v>
      </c>
      <c r="S41" s="63">
        <f t="shared" ca="1" si="46"/>
        <v>4127.33</v>
      </c>
      <c r="T41" s="63">
        <f t="shared" ca="1" si="47"/>
        <v>0</v>
      </c>
      <c r="X41" s="1">
        <v>1190.95</v>
      </c>
      <c r="Y41" s="1">
        <v>45411.44</v>
      </c>
      <c r="Z41" s="30">
        <f t="shared" si="48"/>
        <v>46602.39</v>
      </c>
      <c r="AA41" s="63">
        <f t="shared" ca="1" si="49"/>
        <v>50729.720000000016</v>
      </c>
      <c r="AB41" s="63">
        <f t="shared" ca="1" si="50"/>
        <v>-4127.3300000000163</v>
      </c>
      <c r="AD41" s="85" t="s">
        <v>366</v>
      </c>
      <c r="AE41" s="79">
        <v>0</v>
      </c>
      <c r="AF41" s="79">
        <v>1396.31</v>
      </c>
      <c r="AG41" s="79">
        <v>953.12</v>
      </c>
      <c r="AH41" s="79">
        <v>0</v>
      </c>
      <c r="AI41" s="81">
        <f t="shared" si="2"/>
        <v>2349.4299999999998</v>
      </c>
      <c r="AN41" s="79"/>
    </row>
    <row r="42" spans="1:40" ht="15.6" x14ac:dyDescent="0.3">
      <c r="A42" s="1" t="s">
        <v>233</v>
      </c>
      <c r="B42" s="1" t="s">
        <v>97</v>
      </c>
      <c r="C42" s="28" t="s">
        <v>154</v>
      </c>
      <c r="D42" s="92">
        <f ca="1">LCDESOM</f>
        <v>7500</v>
      </c>
      <c r="E42" s="22">
        <f ca="1">LCDESOBM</f>
        <v>7644</v>
      </c>
      <c r="F42" s="52">
        <f t="shared" ca="1" si="38"/>
        <v>-144</v>
      </c>
      <c r="G42" s="22">
        <f ca="1">LCDESOQ</f>
        <v>25993.200000000001</v>
      </c>
      <c r="H42" s="22">
        <f ca="1">LCDESOBQ</f>
        <v>21945</v>
      </c>
      <c r="I42" s="52">
        <f t="shared" ca="1" si="41"/>
        <v>4048.2000000000007</v>
      </c>
      <c r="J42" s="22">
        <f ca="1">LCDESOY</f>
        <v>77773.8</v>
      </c>
      <c r="K42" s="22">
        <f ca="1">LCDESOBY</f>
        <v>74577</v>
      </c>
      <c r="L42" s="52">
        <f t="shared" ca="1" si="44"/>
        <v>3196.8000000000029</v>
      </c>
      <c r="O42" s="58">
        <v>7500</v>
      </c>
      <c r="R42" s="61">
        <f t="shared" si="45"/>
        <v>7500</v>
      </c>
      <c r="S42" s="63">
        <f t="shared" ca="1" si="46"/>
        <v>7500</v>
      </c>
      <c r="T42" s="63">
        <f t="shared" ca="1" si="47"/>
        <v>0</v>
      </c>
      <c r="W42" s="1">
        <v>70273.8</v>
      </c>
      <c r="Z42" s="30">
        <f t="shared" si="48"/>
        <v>70273.8</v>
      </c>
      <c r="AA42" s="63">
        <f t="shared" ca="1" si="49"/>
        <v>77773.8</v>
      </c>
      <c r="AB42" s="63">
        <f t="shared" ca="1" si="50"/>
        <v>-7500</v>
      </c>
      <c r="AD42" s="85" t="s">
        <v>367</v>
      </c>
      <c r="AE42" s="82">
        <v>307903.03000000003</v>
      </c>
      <c r="AF42" s="79">
        <v>437098.22000000003</v>
      </c>
      <c r="AG42" s="79">
        <v>109033.08</v>
      </c>
      <c r="AH42" s="79">
        <v>71652.98</v>
      </c>
      <c r="AI42" s="84">
        <f t="shared" si="2"/>
        <v>925687.30999999994</v>
      </c>
      <c r="AN42" s="79"/>
    </row>
    <row r="43" spans="1:40" ht="15.6" x14ac:dyDescent="0.3">
      <c r="A43" s="1" t="s">
        <v>98</v>
      </c>
      <c r="B43" s="1" t="s">
        <v>99</v>
      </c>
      <c r="C43" s="4" t="s">
        <v>155</v>
      </c>
      <c r="D43" s="22">
        <f t="shared" ca="1" si="37"/>
        <v>22917.62</v>
      </c>
      <c r="E43" s="22">
        <f t="shared" ca="1" si="36"/>
        <v>18262.07</v>
      </c>
      <c r="F43" s="52">
        <f t="shared" ca="1" si="38"/>
        <v>4655.5499999999993</v>
      </c>
      <c r="G43" s="22">
        <f t="shared" ca="1" si="39"/>
        <v>51967.28</v>
      </c>
      <c r="H43" s="22">
        <f t="shared" ca="1" si="40"/>
        <v>42765.87</v>
      </c>
      <c r="I43" s="52">
        <f t="shared" ca="1" si="41"/>
        <v>9201.4099999999962</v>
      </c>
      <c r="J43" s="22">
        <f t="shared" ca="1" si="42"/>
        <v>197967.56</v>
      </c>
      <c r="K43" s="22">
        <f t="shared" ca="1" si="43"/>
        <v>186262.65999999997</v>
      </c>
      <c r="L43" s="52">
        <f t="shared" ca="1" si="44"/>
        <v>11704.900000000023</v>
      </c>
      <c r="N43" s="58">
        <v>5360.11</v>
      </c>
      <c r="O43" s="58">
        <v>157</v>
      </c>
      <c r="P43" s="58">
        <v>5450.1</v>
      </c>
      <c r="Q43" s="58">
        <v>868.98</v>
      </c>
      <c r="R43" s="61">
        <f t="shared" si="45"/>
        <v>11836.189999999999</v>
      </c>
      <c r="S43" s="63">
        <f t="shared" ca="1" si="46"/>
        <v>22917.62</v>
      </c>
      <c r="T43" s="63">
        <f t="shared" ca="1" si="47"/>
        <v>-11081.43</v>
      </c>
      <c r="V43" s="1">
        <v>71682.11</v>
      </c>
      <c r="W43" s="1">
        <v>3006.5</v>
      </c>
      <c r="X43" s="1">
        <v>91438.48</v>
      </c>
      <c r="Y43" s="1">
        <v>8072.85</v>
      </c>
      <c r="Z43" s="30">
        <f t="shared" si="48"/>
        <v>174199.94</v>
      </c>
      <c r="AA43" s="63">
        <f t="shared" ca="1" si="49"/>
        <v>197967.56</v>
      </c>
      <c r="AB43" s="63">
        <f t="shared" ca="1" si="50"/>
        <v>-23767.619999999995</v>
      </c>
      <c r="AD43" s="86"/>
      <c r="AE43" s="76"/>
      <c r="AF43" s="79"/>
      <c r="AG43" s="79"/>
      <c r="AH43" s="79"/>
      <c r="AI43" s="83" t="str">
        <f t="shared" si="2"/>
        <v/>
      </c>
      <c r="AN43" s="79"/>
    </row>
    <row r="44" spans="1:40" ht="15.6" x14ac:dyDescent="0.3">
      <c r="A44" s="1" t="s">
        <v>100</v>
      </c>
      <c r="B44" s="1" t="s">
        <v>101</v>
      </c>
      <c r="C44" s="4" t="s">
        <v>156</v>
      </c>
      <c r="D44" s="22">
        <f t="shared" ca="1" si="37"/>
        <v>21399.08</v>
      </c>
      <c r="E44" s="22">
        <f t="shared" ca="1" si="36"/>
        <v>14293.61</v>
      </c>
      <c r="F44" s="52">
        <f t="shared" ca="1" si="38"/>
        <v>7105.4700000000012</v>
      </c>
      <c r="G44" s="22">
        <f t="shared" ca="1" si="39"/>
        <v>57354.61</v>
      </c>
      <c r="H44" s="22">
        <f t="shared" ca="1" si="40"/>
        <v>42159.040000000001</v>
      </c>
      <c r="I44" s="52">
        <f t="shared" ca="1" si="41"/>
        <v>15195.57</v>
      </c>
      <c r="J44" s="22">
        <f t="shared" ca="1" si="42"/>
        <v>286240.54000000004</v>
      </c>
      <c r="K44" s="22">
        <f t="shared" ca="1" si="43"/>
        <v>279932.56</v>
      </c>
      <c r="L44" s="52">
        <f t="shared" ca="1" si="44"/>
        <v>6307.9800000000396</v>
      </c>
      <c r="P44" s="58">
        <v>30630.85</v>
      </c>
      <c r="Q44" s="58">
        <v>-311.31</v>
      </c>
      <c r="R44" s="61">
        <f t="shared" si="45"/>
        <v>30319.539999999997</v>
      </c>
      <c r="S44" s="63">
        <f t="shared" ca="1" si="46"/>
        <v>21399.08</v>
      </c>
      <c r="T44" s="63">
        <f t="shared" ca="1" si="47"/>
        <v>8920.4599999999955</v>
      </c>
      <c r="X44" s="1">
        <v>274886.59000000003</v>
      </c>
      <c r="Y44" s="1">
        <v>-416.38</v>
      </c>
      <c r="Z44" s="30">
        <f t="shared" si="48"/>
        <v>274470.21000000002</v>
      </c>
      <c r="AA44" s="63">
        <f t="shared" ca="1" si="49"/>
        <v>286240.54000000004</v>
      </c>
      <c r="AB44" s="63">
        <f t="shared" ca="1" si="50"/>
        <v>-11770.330000000016</v>
      </c>
      <c r="AD44" s="85" t="s">
        <v>368</v>
      </c>
      <c r="AE44" s="76"/>
      <c r="AF44" s="79"/>
      <c r="AG44" s="79"/>
      <c r="AH44" s="79"/>
      <c r="AI44" s="83" t="str">
        <f t="shared" si="2"/>
        <v/>
      </c>
      <c r="AN44" s="79"/>
    </row>
    <row r="45" spans="1:40" ht="15.6" x14ac:dyDescent="0.3">
      <c r="A45" s="1" t="s">
        <v>102</v>
      </c>
      <c r="B45" s="1" t="s">
        <v>103</v>
      </c>
      <c r="C45" s="4" t="s">
        <v>157</v>
      </c>
      <c r="D45" s="22">
        <f t="shared" ca="1" si="37"/>
        <v>5976.81</v>
      </c>
      <c r="E45" s="22">
        <f t="shared" ca="1" si="36"/>
        <v>5186.8100000000004</v>
      </c>
      <c r="F45" s="52">
        <f t="shared" ca="1" si="38"/>
        <v>790</v>
      </c>
      <c r="G45" s="22">
        <f t="shared" ca="1" si="39"/>
        <v>23133.010000000002</v>
      </c>
      <c r="H45" s="22">
        <f t="shared" ca="1" si="40"/>
        <v>17691.760000000002</v>
      </c>
      <c r="I45" s="52">
        <f t="shared" ca="1" si="41"/>
        <v>5441.25</v>
      </c>
      <c r="J45" s="22">
        <f t="shared" ca="1" si="42"/>
        <v>97314.390000000014</v>
      </c>
      <c r="K45" s="22">
        <f t="shared" ca="1" si="43"/>
        <v>70314.319999999992</v>
      </c>
      <c r="L45" s="52">
        <f t="shared" ca="1" si="44"/>
        <v>27000.070000000022</v>
      </c>
      <c r="N45" s="58">
        <v>2700.63</v>
      </c>
      <c r="O45" s="58">
        <v>50</v>
      </c>
      <c r="Q45" s="58">
        <v>21.22</v>
      </c>
      <c r="R45" s="61">
        <f t="shared" si="45"/>
        <v>2771.85</v>
      </c>
      <c r="S45" s="63">
        <f t="shared" ca="1" si="46"/>
        <v>5976.81</v>
      </c>
      <c r="T45" s="63">
        <f t="shared" ca="1" si="47"/>
        <v>-3204.9600000000005</v>
      </c>
      <c r="V45" s="1">
        <v>75957.41</v>
      </c>
      <c r="W45" s="1">
        <v>11395.88</v>
      </c>
      <c r="Y45" s="1">
        <v>3984.29</v>
      </c>
      <c r="Z45" s="30">
        <f t="shared" si="48"/>
        <v>91337.58</v>
      </c>
      <c r="AA45" s="63">
        <f t="shared" ca="1" si="49"/>
        <v>97314.390000000014</v>
      </c>
      <c r="AB45" s="63">
        <f t="shared" ca="1" si="50"/>
        <v>-5976.8100000000122</v>
      </c>
      <c r="AD45" s="85" t="s">
        <v>369</v>
      </c>
      <c r="AE45" s="79">
        <v>0.5</v>
      </c>
      <c r="AF45" s="79">
        <v>1806.8700000000001</v>
      </c>
      <c r="AG45" s="79">
        <v>0</v>
      </c>
      <c r="AH45" s="79"/>
      <c r="AI45" s="81">
        <f t="shared" si="2"/>
        <v>1807.3700000000001</v>
      </c>
      <c r="AN45" s="79"/>
    </row>
    <row r="46" spans="1:40" ht="15.6" x14ac:dyDescent="0.3">
      <c r="A46" s="1" t="s">
        <v>104</v>
      </c>
      <c r="B46" s="1" t="s">
        <v>105</v>
      </c>
      <c r="C46" s="4" t="s">
        <v>158</v>
      </c>
      <c r="D46" s="22">
        <f t="shared" ca="1" si="37"/>
        <v>2727.96</v>
      </c>
      <c r="E46" s="22">
        <f t="shared" ca="1" si="36"/>
        <v>3135.98</v>
      </c>
      <c r="F46" s="52">
        <f t="shared" ca="1" si="38"/>
        <v>-408.02</v>
      </c>
      <c r="G46" s="22">
        <f t="shared" ca="1" si="39"/>
        <v>8713.59</v>
      </c>
      <c r="H46" s="22">
        <f t="shared" ca="1" si="40"/>
        <v>9255.5399999999991</v>
      </c>
      <c r="I46" s="52">
        <f t="shared" ca="1" si="41"/>
        <v>-541.94999999999891</v>
      </c>
      <c r="J46" s="22">
        <f t="shared" ca="1" si="42"/>
        <v>39052.1</v>
      </c>
      <c r="K46" s="22">
        <f t="shared" ca="1" si="43"/>
        <v>37115.21</v>
      </c>
      <c r="L46" s="52">
        <f t="shared" ca="1" si="44"/>
        <v>1936.8899999999994</v>
      </c>
      <c r="N46" s="58">
        <v>2194.48</v>
      </c>
      <c r="O46" s="58">
        <v>198.6</v>
      </c>
      <c r="P46" s="58">
        <v>821</v>
      </c>
      <c r="Q46" s="58">
        <v>194.41</v>
      </c>
      <c r="R46" s="61">
        <f t="shared" si="45"/>
        <v>3408.49</v>
      </c>
      <c r="S46" s="63">
        <f t="shared" ca="1" si="46"/>
        <v>2727.96</v>
      </c>
      <c r="T46" s="63">
        <f t="shared" ca="1" si="47"/>
        <v>680.52999999999975</v>
      </c>
      <c r="V46" s="1">
        <v>22332.38</v>
      </c>
      <c r="W46" s="1">
        <v>2373.96</v>
      </c>
      <c r="X46" s="1">
        <v>9505.6200000000008</v>
      </c>
      <c r="Y46" s="1">
        <v>2112.1799999999998</v>
      </c>
      <c r="Z46" s="30">
        <f t="shared" si="48"/>
        <v>36324.14</v>
      </c>
      <c r="AA46" s="63">
        <f t="shared" ca="1" si="49"/>
        <v>39052.1</v>
      </c>
      <c r="AB46" s="63">
        <f t="shared" ca="1" si="50"/>
        <v>-2727.9599999999991</v>
      </c>
      <c r="AD46" s="85" t="s">
        <v>370</v>
      </c>
      <c r="AE46" s="79">
        <v>867039.34</v>
      </c>
      <c r="AF46" s="79">
        <v>5469.14</v>
      </c>
      <c r="AG46" s="79">
        <v>0</v>
      </c>
      <c r="AH46" s="79">
        <v>5317.05</v>
      </c>
      <c r="AI46" s="81">
        <f t="shared" si="2"/>
        <v>877825.53</v>
      </c>
      <c r="AN46" s="79"/>
    </row>
    <row r="47" spans="1:40" ht="15.6" x14ac:dyDescent="0.3">
      <c r="A47" s="1" t="s">
        <v>106</v>
      </c>
      <c r="B47" s="1" t="s">
        <v>107</v>
      </c>
      <c r="C47" s="4" t="s">
        <v>159</v>
      </c>
      <c r="D47" s="22">
        <f t="shared" ca="1" si="37"/>
        <v>2889.56</v>
      </c>
      <c r="E47" s="22">
        <f t="shared" ca="1" si="36"/>
        <v>1465.39</v>
      </c>
      <c r="F47" s="52">
        <f t="shared" ca="1" si="38"/>
        <v>1424.1699999999998</v>
      </c>
      <c r="G47" s="22">
        <f t="shared" ca="1" si="39"/>
        <v>8458.18</v>
      </c>
      <c r="H47" s="22">
        <f t="shared" ca="1" si="40"/>
        <v>7576.9800000000005</v>
      </c>
      <c r="I47" s="52">
        <f t="shared" ca="1" si="41"/>
        <v>881.19999999999982</v>
      </c>
      <c r="J47" s="22">
        <f t="shared" ca="1" si="42"/>
        <v>24583.420000000002</v>
      </c>
      <c r="K47" s="22">
        <f t="shared" ca="1" si="43"/>
        <v>22032.29</v>
      </c>
      <c r="L47" s="52">
        <f t="shared" ca="1" si="44"/>
        <v>2551.130000000001</v>
      </c>
      <c r="N47" s="58">
        <v>1082.3599999999999</v>
      </c>
      <c r="O47" s="58">
        <v>1013.16</v>
      </c>
      <c r="Q47" s="58">
        <v>523.27</v>
      </c>
      <c r="R47" s="61">
        <f t="shared" si="45"/>
        <v>2618.79</v>
      </c>
      <c r="S47" s="63">
        <f t="shared" ca="1" si="46"/>
        <v>2889.56</v>
      </c>
      <c r="T47" s="63">
        <f t="shared" ca="1" si="47"/>
        <v>-270.77</v>
      </c>
      <c r="V47" s="1">
        <v>5877.66</v>
      </c>
      <c r="W47" s="1">
        <v>9571.59</v>
      </c>
      <c r="Y47" s="1">
        <v>6244.61</v>
      </c>
      <c r="Z47" s="30">
        <f t="shared" si="48"/>
        <v>21693.86</v>
      </c>
      <c r="AA47" s="63">
        <f t="shared" ca="1" si="49"/>
        <v>24583.420000000002</v>
      </c>
      <c r="AB47" s="63">
        <f t="shared" ca="1" si="50"/>
        <v>-2889.5600000000013</v>
      </c>
      <c r="AD47" s="85" t="s">
        <v>371</v>
      </c>
      <c r="AE47" s="79">
        <v>1361.8</v>
      </c>
      <c r="AF47" s="79">
        <v>0</v>
      </c>
      <c r="AG47" s="79">
        <v>0</v>
      </c>
      <c r="AH47" s="79"/>
      <c r="AI47" s="81">
        <f t="shared" si="2"/>
        <v>1361.8</v>
      </c>
      <c r="AN47" s="79"/>
    </row>
    <row r="48" spans="1:40" ht="15.6" x14ac:dyDescent="0.3">
      <c r="A48" s="1" t="s">
        <v>112</v>
      </c>
      <c r="B48" s="1" t="s">
        <v>113</v>
      </c>
      <c r="C48" s="4" t="s">
        <v>160</v>
      </c>
      <c r="D48" s="22">
        <f t="shared" ca="1" si="37"/>
        <v>137.08000000000001</v>
      </c>
      <c r="E48" s="22">
        <f t="shared" ca="1" si="36"/>
        <v>263.33</v>
      </c>
      <c r="F48" s="52">
        <f t="shared" ca="1" si="38"/>
        <v>-126.24999999999997</v>
      </c>
      <c r="G48" s="22">
        <f t="shared" ca="1" si="39"/>
        <v>400.62</v>
      </c>
      <c r="H48" s="22">
        <f t="shared" ca="1" si="40"/>
        <v>789.99</v>
      </c>
      <c r="I48" s="52">
        <f t="shared" ca="1" si="41"/>
        <v>-389.37</v>
      </c>
      <c r="J48" s="22">
        <f t="shared" ca="1" si="42"/>
        <v>2349.4299999999998</v>
      </c>
      <c r="K48" s="22">
        <f t="shared" ca="1" si="43"/>
        <v>3159.9599999999996</v>
      </c>
      <c r="L48" s="52">
        <f t="shared" ca="1" si="44"/>
        <v>-810.52999999999975</v>
      </c>
      <c r="O48" s="58">
        <v>63.54</v>
      </c>
      <c r="P48" s="58">
        <v>10</v>
      </c>
      <c r="R48" s="61">
        <f t="shared" si="45"/>
        <v>73.539999999999992</v>
      </c>
      <c r="S48" s="63">
        <f t="shared" ca="1" si="46"/>
        <v>137.08000000000001</v>
      </c>
      <c r="T48" s="63">
        <f t="shared" ca="1" si="47"/>
        <v>-63.54000000000002</v>
      </c>
      <c r="W48" s="1">
        <v>826.04</v>
      </c>
      <c r="X48" s="1">
        <v>1386.31</v>
      </c>
      <c r="Z48" s="30">
        <f t="shared" si="48"/>
        <v>2212.35</v>
      </c>
      <c r="AA48" s="63">
        <f t="shared" ca="1" si="49"/>
        <v>2349.4299999999998</v>
      </c>
      <c r="AB48" s="63">
        <f t="shared" ca="1" si="50"/>
        <v>-137.07999999999993</v>
      </c>
      <c r="AD48" s="85" t="s">
        <v>372</v>
      </c>
      <c r="AE48" s="79">
        <v>77311.95</v>
      </c>
      <c r="AF48" s="79">
        <v>1086858.6499999999</v>
      </c>
      <c r="AG48" s="79">
        <v>8470.16</v>
      </c>
      <c r="AH48" s="79">
        <v>4700</v>
      </c>
      <c r="AI48" s="81">
        <f t="shared" si="2"/>
        <v>1177340.7599999998</v>
      </c>
      <c r="AN48" s="79"/>
    </row>
    <row r="49" spans="1:40" ht="15.6" x14ac:dyDescent="0.3">
      <c r="A49" s="1" t="s">
        <v>126</v>
      </c>
      <c r="B49" s="1" t="s">
        <v>127</v>
      </c>
      <c r="C49" s="4" t="s">
        <v>161</v>
      </c>
      <c r="D49" s="22">
        <f t="shared" ca="1" si="37"/>
        <v>0</v>
      </c>
      <c r="E49" s="22">
        <f t="shared" ca="1" si="36"/>
        <v>0</v>
      </c>
      <c r="F49" s="52">
        <f t="shared" ca="1" si="38"/>
        <v>0</v>
      </c>
      <c r="G49" s="22">
        <f t="shared" ca="1" si="39"/>
        <v>0</v>
      </c>
      <c r="H49" s="22">
        <f t="shared" ca="1" si="40"/>
        <v>0</v>
      </c>
      <c r="I49" s="52">
        <f t="shared" ca="1" si="41"/>
        <v>0</v>
      </c>
      <c r="J49" s="22">
        <f t="shared" ca="1" si="42"/>
        <v>0</v>
      </c>
      <c r="K49" s="22">
        <f t="shared" ca="1" si="43"/>
        <v>0</v>
      </c>
      <c r="L49" s="52">
        <f t="shared" ca="1" si="44"/>
        <v>0</v>
      </c>
      <c r="R49" s="61">
        <f t="shared" si="45"/>
        <v>0</v>
      </c>
      <c r="S49" s="63">
        <f t="shared" ca="1" si="46"/>
        <v>0</v>
      </c>
      <c r="T49" s="63">
        <f t="shared" ca="1" si="47"/>
        <v>0</v>
      </c>
      <c r="Z49" s="30">
        <f t="shared" ref="Z49:Z51" si="51">SUM(V49:Y49)</f>
        <v>0</v>
      </c>
      <c r="AA49" s="63">
        <f t="shared" ref="AA49:AA51" ca="1" si="52">+J49</f>
        <v>0</v>
      </c>
      <c r="AB49" s="63">
        <f t="shared" ca="1" si="50"/>
        <v>0</v>
      </c>
      <c r="AD49" s="85" t="s">
        <v>373</v>
      </c>
      <c r="AE49" s="82">
        <v>945713.59</v>
      </c>
      <c r="AF49" s="79">
        <v>1094134.6599999999</v>
      </c>
      <c r="AG49" s="79">
        <v>8470.16</v>
      </c>
      <c r="AH49" s="79">
        <v>10017.050000000001</v>
      </c>
      <c r="AI49" s="84">
        <f t="shared" si="2"/>
        <v>2058335.46</v>
      </c>
      <c r="AN49" s="79"/>
    </row>
    <row r="50" spans="1:40" ht="15.6" x14ac:dyDescent="0.3">
      <c r="A50" s="1" t="s">
        <v>162</v>
      </c>
      <c r="B50" s="1" t="s">
        <v>163</v>
      </c>
      <c r="C50" s="4" t="s">
        <v>163</v>
      </c>
      <c r="D50" s="22">
        <f t="shared" ca="1" si="37"/>
        <v>0</v>
      </c>
      <c r="E50" s="22">
        <f t="shared" ca="1" si="36"/>
        <v>0</v>
      </c>
      <c r="F50" s="52">
        <f t="shared" ca="1" si="38"/>
        <v>0</v>
      </c>
      <c r="G50" s="22">
        <f t="shared" ca="1" si="39"/>
        <v>0</v>
      </c>
      <c r="H50" s="22">
        <f t="shared" ca="1" si="40"/>
        <v>0</v>
      </c>
      <c r="I50" s="52">
        <f t="shared" ca="1" si="41"/>
        <v>0</v>
      </c>
      <c r="J50" s="22">
        <f t="shared" ca="1" si="42"/>
        <v>0</v>
      </c>
      <c r="K50" s="22">
        <f t="shared" ca="1" si="43"/>
        <v>0</v>
      </c>
      <c r="L50" s="52">
        <f t="shared" ca="1" si="44"/>
        <v>0</v>
      </c>
      <c r="R50" s="61">
        <f t="shared" si="45"/>
        <v>0</v>
      </c>
      <c r="S50" s="63">
        <f t="shared" ca="1" si="46"/>
        <v>0</v>
      </c>
      <c r="T50" s="63">
        <f t="shared" ca="1" si="47"/>
        <v>0</v>
      </c>
      <c r="Z50" s="30">
        <f t="shared" si="51"/>
        <v>0</v>
      </c>
      <c r="AA50" s="63">
        <f t="shared" ca="1" si="52"/>
        <v>0</v>
      </c>
      <c r="AB50" s="63">
        <f t="shared" ca="1" si="50"/>
        <v>0</v>
      </c>
      <c r="AD50" s="86"/>
      <c r="AE50" s="76"/>
      <c r="AF50" s="79"/>
      <c r="AG50" s="79"/>
      <c r="AH50" s="79"/>
      <c r="AI50" s="83" t="str">
        <f t="shared" si="2"/>
        <v/>
      </c>
      <c r="AN50" s="79"/>
    </row>
    <row r="51" spans="1:40" ht="15.6" x14ac:dyDescent="0.3">
      <c r="A51" s="1" t="s">
        <v>128</v>
      </c>
      <c r="B51" s="1" t="s">
        <v>129</v>
      </c>
      <c r="C51" s="4" t="s">
        <v>163</v>
      </c>
      <c r="D51" s="23">
        <f t="shared" ca="1" si="37"/>
        <v>0</v>
      </c>
      <c r="E51" s="23">
        <f t="shared" ca="1" si="36"/>
        <v>0</v>
      </c>
      <c r="F51" s="21"/>
      <c r="G51" s="23">
        <f t="shared" ca="1" si="39"/>
        <v>0</v>
      </c>
      <c r="H51" s="23">
        <f t="shared" ca="1" si="40"/>
        <v>0</v>
      </c>
      <c r="I51" s="21"/>
      <c r="J51" s="23">
        <f t="shared" ca="1" si="42"/>
        <v>0</v>
      </c>
      <c r="K51" s="23">
        <f t="shared" ca="1" si="43"/>
        <v>0</v>
      </c>
      <c r="L51" s="21"/>
      <c r="R51" s="61">
        <f t="shared" si="45"/>
        <v>0</v>
      </c>
      <c r="S51" s="63">
        <f t="shared" ca="1" si="46"/>
        <v>0</v>
      </c>
      <c r="T51" s="63">
        <f t="shared" ca="1" si="47"/>
        <v>0</v>
      </c>
      <c r="Z51" s="30">
        <f t="shared" si="51"/>
        <v>0</v>
      </c>
      <c r="AA51" s="63">
        <f t="shared" ca="1" si="52"/>
        <v>0</v>
      </c>
      <c r="AB51" s="63">
        <f t="shared" ca="1" si="50"/>
        <v>0</v>
      </c>
      <c r="AD51" s="85" t="s">
        <v>374</v>
      </c>
      <c r="AE51" s="76"/>
      <c r="AF51" s="79"/>
      <c r="AG51" s="79"/>
      <c r="AH51" s="79"/>
      <c r="AI51" s="83" t="str">
        <f t="shared" si="2"/>
        <v/>
      </c>
      <c r="AN51" s="79"/>
    </row>
    <row r="52" spans="1:40" x14ac:dyDescent="0.3">
      <c r="C52" s="3" t="s">
        <v>164</v>
      </c>
      <c r="D52" s="22">
        <f ca="1">SUM(D38:D51)</f>
        <v>132213.47</v>
      </c>
      <c r="E52" s="22">
        <f ca="1">SUM(E38:E51)</f>
        <v>56699.19</v>
      </c>
      <c r="F52" s="52">
        <f ca="1">+D52-E52</f>
        <v>75514.28</v>
      </c>
      <c r="G52" s="22">
        <f t="shared" ref="G52:K52" ca="1" si="53">SUM(G38:G51)</f>
        <v>261170.48999999996</v>
      </c>
      <c r="H52" s="22">
        <f t="shared" ca="1" si="53"/>
        <v>161528.18000000002</v>
      </c>
      <c r="I52" s="52">
        <f ca="1">+G52-H52</f>
        <v>99642.309999999939</v>
      </c>
      <c r="J52" s="22">
        <f t="shared" ca="1" si="53"/>
        <v>878539.16000000015</v>
      </c>
      <c r="K52" s="22">
        <f t="shared" ca="1" si="53"/>
        <v>750769.99999999988</v>
      </c>
      <c r="L52" s="52">
        <f ca="1">+J52-K52</f>
        <v>127769.16000000027</v>
      </c>
      <c r="AD52" s="85" t="s">
        <v>375</v>
      </c>
      <c r="AE52" s="79">
        <v>0</v>
      </c>
      <c r="AF52" s="79">
        <v>0</v>
      </c>
      <c r="AG52" s="79">
        <v>0</v>
      </c>
      <c r="AH52" s="79">
        <v>0</v>
      </c>
      <c r="AI52" s="81">
        <f t="shared" si="2"/>
        <v>0</v>
      </c>
      <c r="AN52" s="79"/>
    </row>
    <row r="53" spans="1:40" ht="15" thickBot="1" x14ac:dyDescent="0.35">
      <c r="D53" s="45"/>
      <c r="E53" s="45"/>
      <c r="F53" s="46"/>
      <c r="G53" s="45"/>
      <c r="H53" s="45"/>
      <c r="I53" s="46"/>
      <c r="J53" s="45"/>
      <c r="K53" s="45"/>
      <c r="L53" s="46"/>
      <c r="AD53" s="85" t="s">
        <v>376</v>
      </c>
      <c r="AE53" s="82">
        <v>0</v>
      </c>
      <c r="AF53" s="79">
        <v>0</v>
      </c>
      <c r="AG53" s="79">
        <v>0</v>
      </c>
      <c r="AH53" s="79">
        <v>0</v>
      </c>
      <c r="AI53" s="81">
        <f t="shared" si="2"/>
        <v>0</v>
      </c>
      <c r="AN53" s="79"/>
    </row>
    <row r="54" spans="1:40" s="29" customFormat="1" ht="16.2" thickTop="1" x14ac:dyDescent="0.3">
      <c r="C54" s="29" t="s">
        <v>165</v>
      </c>
      <c r="D54" s="31">
        <f ca="1">D28+D35+D52</f>
        <v>352767.22</v>
      </c>
      <c r="E54" s="31">
        <f ca="1">E28+E35+E52</f>
        <v>384033.67</v>
      </c>
      <c r="F54" s="52">
        <f ca="1">+D54-E54</f>
        <v>-31266.450000000012</v>
      </c>
      <c r="G54" s="31">
        <f t="shared" ref="G54:H54" ca="1" si="54">G28+G35+G52</f>
        <v>1170745.1499999999</v>
      </c>
      <c r="H54" s="31">
        <f t="shared" ca="1" si="54"/>
        <v>1048702.48</v>
      </c>
      <c r="I54" s="52">
        <f ca="1">+G54-H54</f>
        <v>122042.66999999993</v>
      </c>
      <c r="J54" s="31">
        <f t="shared" ref="J54:K54" ca="1" si="55">J28+J35+J52</f>
        <v>5159964.4200000009</v>
      </c>
      <c r="K54" s="31">
        <f t="shared" ca="1" si="55"/>
        <v>5445006.5500000007</v>
      </c>
      <c r="L54" s="52">
        <f ca="1">+J54-K54</f>
        <v>-285042.12999999989</v>
      </c>
      <c r="N54" s="62"/>
      <c r="O54" s="62"/>
      <c r="P54" s="62"/>
      <c r="Q54" s="62"/>
      <c r="R54" s="62"/>
      <c r="AD54" s="85" t="s">
        <v>377</v>
      </c>
      <c r="AE54" s="82">
        <v>1408373.6500000001</v>
      </c>
      <c r="AF54" s="79">
        <v>-2154107.33</v>
      </c>
      <c r="AG54" s="79">
        <v>-101009.96</v>
      </c>
      <c r="AH54" s="79">
        <v>56154.020000000004</v>
      </c>
      <c r="AI54" s="84">
        <f t="shared" si="2"/>
        <v>-790589.61999999988</v>
      </c>
      <c r="AN54" s="79"/>
    </row>
    <row r="55" spans="1:40" x14ac:dyDescent="0.3">
      <c r="D55" s="22"/>
      <c r="E55" s="22"/>
      <c r="F55" s="20"/>
      <c r="G55" s="22"/>
      <c r="H55" s="22"/>
      <c r="I55" s="20"/>
      <c r="J55" s="22"/>
      <c r="K55" s="22"/>
      <c r="L55" s="20"/>
      <c r="AD55" s="86"/>
      <c r="AE55" s="76"/>
      <c r="AF55" s="79"/>
      <c r="AG55" s="79"/>
      <c r="AH55" s="79"/>
      <c r="AI55" s="83" t="str">
        <f t="shared" si="2"/>
        <v/>
      </c>
    </row>
    <row r="56" spans="1:40" s="29" customFormat="1" ht="15.6" x14ac:dyDescent="0.3">
      <c r="C56" s="29" t="s">
        <v>166</v>
      </c>
      <c r="D56" s="31">
        <f ca="1">D20-D54</f>
        <v>-222693</v>
      </c>
      <c r="E56" s="31">
        <f ca="1">E20-E54</f>
        <v>68116.349999999919</v>
      </c>
      <c r="F56" s="52">
        <f ca="1">+D56-E56</f>
        <v>-290809.34999999992</v>
      </c>
      <c r="G56" s="31">
        <f t="shared" ref="G56:H56" ca="1" si="56">G20-G54</f>
        <v>-270669.15000000037</v>
      </c>
      <c r="H56" s="31">
        <f t="shared" ca="1" si="56"/>
        <v>152894.79000000004</v>
      </c>
      <c r="I56" s="52">
        <f ca="1">+G56-H56</f>
        <v>-423563.94000000041</v>
      </c>
      <c r="J56" s="31">
        <f t="shared" ref="J56:K56" ca="1" si="57">J20-J54</f>
        <v>954734.58000000101</v>
      </c>
      <c r="K56" s="31">
        <f t="shared" ca="1" si="57"/>
        <v>2050115.0500000026</v>
      </c>
      <c r="L56" s="52">
        <f ca="1">+J56-K56</f>
        <v>-1095380.4700000016</v>
      </c>
      <c r="N56" s="62"/>
      <c r="O56" s="62"/>
      <c r="P56" s="62"/>
      <c r="Q56" s="62"/>
      <c r="R56" s="62"/>
      <c r="AD56" s="85" t="s">
        <v>378</v>
      </c>
      <c r="AE56" s="76"/>
      <c r="AF56" s="79"/>
      <c r="AG56" s="79"/>
      <c r="AH56" s="79"/>
      <c r="AI56" s="83" t="str">
        <f t="shared" si="2"/>
        <v/>
      </c>
    </row>
    <row r="57" spans="1:40" s="30" customFormat="1" ht="15.6" x14ac:dyDescent="0.3">
      <c r="C57" s="29" t="s">
        <v>167</v>
      </c>
      <c r="D57" s="38">
        <f ca="1">D56/D11</f>
        <v>-0.21545587591023296</v>
      </c>
      <c r="E57" s="38">
        <f ca="1">E56/E11</f>
        <v>5.4279099198209585E-2</v>
      </c>
      <c r="F57" s="39"/>
      <c r="G57" s="38">
        <f ca="1">G56/G11</f>
        <v>-9.6536642643755582E-2</v>
      </c>
      <c r="H57" s="38">
        <f ca="1">H56/H11</f>
        <v>5.3558263426120897E-2</v>
      </c>
      <c r="I57" s="39"/>
      <c r="J57" s="38">
        <f t="shared" ref="J57:K57" ca="1" si="58">J56/J11</f>
        <v>6.588754714004065E-2</v>
      </c>
      <c r="K57" s="38">
        <f t="shared" ca="1" si="58"/>
        <v>0.12695707553708799</v>
      </c>
      <c r="L57" s="39"/>
      <c r="N57" s="61"/>
      <c r="O57" s="61"/>
      <c r="P57" s="61"/>
      <c r="Q57" s="61"/>
      <c r="R57" s="61"/>
      <c r="AD57" s="85" t="s">
        <v>379</v>
      </c>
      <c r="AE57" s="79">
        <v>0</v>
      </c>
      <c r="AF57" s="79">
        <v>0</v>
      </c>
      <c r="AG57" s="79">
        <v>0</v>
      </c>
      <c r="AH57" s="79">
        <v>0</v>
      </c>
      <c r="AI57" s="83">
        <f t="shared" si="2"/>
        <v>0</v>
      </c>
    </row>
    <row r="58" spans="1:40" x14ac:dyDescent="0.3">
      <c r="D58" s="22"/>
      <c r="E58" s="22"/>
      <c r="F58" s="20"/>
      <c r="G58" s="22"/>
      <c r="H58" s="22"/>
      <c r="I58" s="20"/>
      <c r="J58" s="22"/>
      <c r="K58" s="22"/>
      <c r="L58" s="20"/>
      <c r="AD58" s="85" t="s">
        <v>380</v>
      </c>
      <c r="AE58" s="82">
        <v>0</v>
      </c>
      <c r="AF58" s="79">
        <v>0</v>
      </c>
      <c r="AG58" s="79">
        <v>0</v>
      </c>
      <c r="AH58" s="79">
        <v>0</v>
      </c>
      <c r="AI58" s="83">
        <f t="shared" si="2"/>
        <v>0</v>
      </c>
    </row>
    <row r="59" spans="1:40" ht="15.6" x14ac:dyDescent="0.3">
      <c r="A59" s="1" t="s">
        <v>122</v>
      </c>
      <c r="B59" s="1" t="s">
        <v>123</v>
      </c>
      <c r="C59" s="3" t="s">
        <v>168</v>
      </c>
      <c r="D59" s="22">
        <f ca="1">CNYM</f>
        <v>31774.05</v>
      </c>
      <c r="E59" s="22">
        <f ca="1">CBNYM</f>
        <v>99397.58</v>
      </c>
      <c r="F59" s="52">
        <f t="shared" ref="F59:F62" ca="1" si="59">+D59-E59</f>
        <v>-67623.53</v>
      </c>
      <c r="G59" s="22">
        <f ca="1">CNYQ</f>
        <v>217649.25</v>
      </c>
      <c r="H59" s="22">
        <f ca="1">CBNYQ</f>
        <v>298097.16000000003</v>
      </c>
      <c r="I59" s="52">
        <f t="shared" ref="I59:I62" ca="1" si="60">+G59-H59</f>
        <v>-80447.910000000033</v>
      </c>
      <c r="J59" s="22">
        <f ca="1">CNYY</f>
        <v>1113434.93</v>
      </c>
      <c r="K59" s="22">
        <f ca="1">CBNYY</f>
        <v>1170611.7200000002</v>
      </c>
      <c r="L59" s="52">
        <f t="shared" ref="L59:L62" ca="1" si="61">+J59-K59</f>
        <v>-57176.79000000027</v>
      </c>
      <c r="N59" s="58">
        <v>4241.9399999999996</v>
      </c>
      <c r="O59" s="58">
        <v>367.02</v>
      </c>
      <c r="P59" s="58">
        <v>80461.55</v>
      </c>
      <c r="Q59" s="58">
        <v>583.19000000000005</v>
      </c>
      <c r="R59" s="61">
        <f t="shared" ref="R59:R62" si="62">SUM(N59:Q59)</f>
        <v>85653.700000000012</v>
      </c>
      <c r="S59" s="63">
        <f t="shared" ref="S59:S62" ca="1" si="63">+D59</f>
        <v>31774.05</v>
      </c>
      <c r="T59" s="63">
        <f t="shared" ref="T59:T62" ca="1" si="64">+R59-S59</f>
        <v>53879.650000000009</v>
      </c>
      <c r="V59" s="1">
        <v>71920.78</v>
      </c>
      <c r="W59" s="1">
        <v>8005.15</v>
      </c>
      <c r="X59" s="1">
        <v>997728.12</v>
      </c>
      <c r="Y59" s="1">
        <v>4006.83</v>
      </c>
      <c r="Z59" s="30">
        <f t="shared" ref="Z59:Z62" si="65">SUM(V59:Y59)</f>
        <v>1081660.8800000001</v>
      </c>
      <c r="AA59" s="63">
        <f t="shared" ref="AA59:AA62" ca="1" si="66">+J59</f>
        <v>1113434.93</v>
      </c>
      <c r="AB59" s="63">
        <f t="shared" ref="AB59:AB62" ca="1" si="67">+Z59-AA59</f>
        <v>-31774.049999999814</v>
      </c>
      <c r="AD59" s="86"/>
      <c r="AE59" s="76"/>
      <c r="AF59" s="79"/>
      <c r="AG59" s="79"/>
      <c r="AH59" s="79"/>
      <c r="AI59" s="83" t="str">
        <f t="shared" si="2"/>
        <v/>
      </c>
    </row>
    <row r="60" spans="1:40" ht="15.6" x14ac:dyDescent="0.3">
      <c r="A60" s="1" t="s">
        <v>114</v>
      </c>
      <c r="B60" s="1" t="s">
        <v>115</v>
      </c>
      <c r="C60" s="3" t="s">
        <v>169</v>
      </c>
      <c r="D60" s="22">
        <f ca="1">CNYM</f>
        <v>0</v>
      </c>
      <c r="E60" s="22">
        <f ca="1">CBNYM</f>
        <v>0</v>
      </c>
      <c r="F60" s="52">
        <f t="shared" ca="1" si="59"/>
        <v>0</v>
      </c>
      <c r="G60" s="22">
        <f ca="1">CNYQ</f>
        <v>0</v>
      </c>
      <c r="H60" s="22">
        <f ca="1">CBNYQ</f>
        <v>0</v>
      </c>
      <c r="I60" s="52">
        <f t="shared" ca="1" si="60"/>
        <v>0</v>
      </c>
      <c r="J60" s="22">
        <f ca="1">CNYY</f>
        <v>1807.3700000000008</v>
      </c>
      <c r="K60" s="22">
        <f ca="1">CBNYY</f>
        <v>180000</v>
      </c>
      <c r="L60" s="52">
        <f t="shared" ca="1" si="61"/>
        <v>-178192.63</v>
      </c>
      <c r="R60" s="61">
        <f t="shared" si="62"/>
        <v>0</v>
      </c>
      <c r="S60" s="63">
        <f t="shared" ca="1" si="63"/>
        <v>0</v>
      </c>
      <c r="T60" s="63">
        <f t="shared" ca="1" si="64"/>
        <v>0</v>
      </c>
      <c r="X60" s="1">
        <v>1806.87</v>
      </c>
      <c r="Z60" s="30">
        <f t="shared" si="65"/>
        <v>1806.87</v>
      </c>
      <c r="AA60" s="63">
        <f t="shared" ca="1" si="66"/>
        <v>1807.3700000000008</v>
      </c>
      <c r="AB60" s="63">
        <f t="shared" ca="1" si="67"/>
        <v>-0.50000000000090949</v>
      </c>
      <c r="AD60" s="85" t="s">
        <v>165</v>
      </c>
      <c r="AE60" s="82">
        <v>12417937.73</v>
      </c>
      <c r="AF60" s="79">
        <v>2154107.33</v>
      </c>
      <c r="AG60" s="79">
        <v>314188.02</v>
      </c>
      <c r="AH60" s="79">
        <v>396791.49</v>
      </c>
      <c r="AI60" s="84">
        <f t="shared" si="2"/>
        <v>15283024.57</v>
      </c>
    </row>
    <row r="61" spans="1:40" ht="15.6" x14ac:dyDescent="0.3">
      <c r="A61" s="1" t="s">
        <v>118</v>
      </c>
      <c r="B61" s="1" t="s">
        <v>119</v>
      </c>
      <c r="C61" s="3" t="s">
        <v>170</v>
      </c>
      <c r="D61" s="22">
        <f ca="1">CNYM</f>
        <v>78264.5</v>
      </c>
      <c r="E61" s="22">
        <f ca="1">CBNYM</f>
        <v>75433.66</v>
      </c>
      <c r="F61" s="52">
        <f t="shared" ca="1" si="59"/>
        <v>2830.8399999999965</v>
      </c>
      <c r="G61" s="22">
        <f ca="1">CNYQ</f>
        <v>225936.19</v>
      </c>
      <c r="H61" s="22">
        <f ca="1">CBNYQ</f>
        <v>226600.71</v>
      </c>
      <c r="I61" s="52">
        <f t="shared" ca="1" si="60"/>
        <v>-664.51999999998952</v>
      </c>
      <c r="J61" s="22">
        <f ca="1">CNYY</f>
        <v>882671.96</v>
      </c>
      <c r="K61" s="22">
        <f ca="1">CBNYY</f>
        <v>899008.7300000001</v>
      </c>
      <c r="L61" s="52">
        <f t="shared" ca="1" si="61"/>
        <v>-16336.770000000135</v>
      </c>
      <c r="N61" s="58">
        <v>72401.98</v>
      </c>
      <c r="P61" s="58">
        <v>911.52</v>
      </c>
      <c r="Q61" s="58">
        <v>443.09</v>
      </c>
      <c r="R61" s="61">
        <f t="shared" si="62"/>
        <v>73756.59</v>
      </c>
      <c r="S61" s="63">
        <f t="shared" ca="1" si="63"/>
        <v>78264.5</v>
      </c>
      <c r="T61" s="63">
        <f t="shared" ca="1" si="64"/>
        <v>-4507.9100000000035</v>
      </c>
      <c r="V61" s="1">
        <v>794520.12</v>
      </c>
      <c r="X61" s="1">
        <v>5013.38</v>
      </c>
      <c r="Y61" s="1">
        <v>4873.96</v>
      </c>
      <c r="Z61" s="30">
        <f t="shared" si="65"/>
        <v>804407.46</v>
      </c>
      <c r="AA61" s="63">
        <f t="shared" ca="1" si="66"/>
        <v>882671.96</v>
      </c>
      <c r="AB61" s="63">
        <f t="shared" ca="1" si="67"/>
        <v>-78264.5</v>
      </c>
      <c r="AD61" s="87" t="s">
        <v>381</v>
      </c>
      <c r="AE61" s="82">
        <v>1408373.6500000001</v>
      </c>
      <c r="AF61" s="79">
        <v>-2154107.33</v>
      </c>
      <c r="AG61" s="79">
        <v>-101009.96</v>
      </c>
      <c r="AH61" s="79">
        <v>56154.020000000004</v>
      </c>
      <c r="AI61" s="84">
        <f t="shared" si="2"/>
        <v>-790589.61999999988</v>
      </c>
    </row>
    <row r="62" spans="1:40" ht="15.6" x14ac:dyDescent="0.3">
      <c r="A62" s="1" t="s">
        <v>120</v>
      </c>
      <c r="B62" s="1" t="s">
        <v>121</v>
      </c>
      <c r="C62" s="3" t="s">
        <v>171</v>
      </c>
      <c r="D62" s="22">
        <f ca="1">CNYM</f>
        <v>113.51</v>
      </c>
      <c r="E62" s="22">
        <f ca="1">CBNYM</f>
        <v>67.48</v>
      </c>
      <c r="F62" s="52">
        <f t="shared" ca="1" si="59"/>
        <v>46.03</v>
      </c>
      <c r="G62" s="22">
        <f ca="1">CNYQ</f>
        <v>340.47</v>
      </c>
      <c r="H62" s="22">
        <f ca="1">CBNYQ</f>
        <v>202.44</v>
      </c>
      <c r="I62" s="52">
        <f t="shared" ca="1" si="60"/>
        <v>138.03000000000003</v>
      </c>
      <c r="J62" s="22">
        <f ca="1">CNYY</f>
        <v>1361.8000000000002</v>
      </c>
      <c r="K62" s="22">
        <f ca="1">CBNYY</f>
        <v>809.80000000000007</v>
      </c>
      <c r="L62" s="52">
        <f t="shared" ca="1" si="61"/>
        <v>552.00000000000011</v>
      </c>
      <c r="N62" s="58">
        <v>113.48</v>
      </c>
      <c r="R62" s="61">
        <f t="shared" si="62"/>
        <v>113.48</v>
      </c>
      <c r="S62" s="63">
        <f t="shared" ca="1" si="63"/>
        <v>113.51</v>
      </c>
      <c r="T62" s="63">
        <f t="shared" ca="1" si="64"/>
        <v>-3.0000000000001137E-2</v>
      </c>
      <c r="V62" s="1">
        <v>1248.29</v>
      </c>
      <c r="Z62" s="30">
        <f t="shared" si="65"/>
        <v>1248.29</v>
      </c>
      <c r="AA62" s="63">
        <f t="shared" ca="1" si="66"/>
        <v>1361.8000000000002</v>
      </c>
      <c r="AB62" s="63">
        <f t="shared" ca="1" si="67"/>
        <v>-113.51000000000022</v>
      </c>
    </row>
    <row r="63" spans="1:40" x14ac:dyDescent="0.3">
      <c r="D63" s="22"/>
      <c r="E63" s="22"/>
      <c r="F63" s="20"/>
      <c r="G63" s="22"/>
      <c r="H63" s="22"/>
      <c r="I63" s="20"/>
      <c r="J63" s="22"/>
      <c r="K63" s="22"/>
      <c r="L63" s="20"/>
    </row>
    <row r="64" spans="1:40" s="30" customFormat="1" ht="15.6" x14ac:dyDescent="0.3">
      <c r="C64" s="29" t="s">
        <v>172</v>
      </c>
      <c r="D64" s="35"/>
      <c r="E64" s="35"/>
      <c r="F64" s="36"/>
      <c r="G64" s="35"/>
      <c r="H64" s="35"/>
      <c r="I64" s="36"/>
      <c r="J64" s="35"/>
      <c r="K64" s="35"/>
      <c r="L64" s="36"/>
      <c r="N64" s="61"/>
      <c r="O64" s="61"/>
      <c r="P64" s="61"/>
      <c r="Q64" s="61"/>
      <c r="R64" s="61"/>
      <c r="AI64" s="35"/>
    </row>
    <row r="65" spans="1:35" x14ac:dyDescent="0.3">
      <c r="C65" s="3" t="s">
        <v>173</v>
      </c>
      <c r="D65" s="22">
        <f ca="1">CNYM</f>
        <v>0</v>
      </c>
      <c r="E65" s="22">
        <f ca="1">CBNYM</f>
        <v>0</v>
      </c>
      <c r="F65" s="20"/>
      <c r="G65" s="22">
        <f ca="1">CNYQ</f>
        <v>0</v>
      </c>
      <c r="H65" s="22">
        <f ca="1">CBNYQ</f>
        <v>0</v>
      </c>
      <c r="I65" s="20"/>
      <c r="J65" s="22">
        <f ca="1">CNYY</f>
        <v>0</v>
      </c>
      <c r="K65" s="22">
        <f ca="1">CBNYY</f>
        <v>0</v>
      </c>
      <c r="L65" s="20"/>
    </row>
    <row r="66" spans="1:35" x14ac:dyDescent="0.3">
      <c r="A66" s="1" t="s">
        <v>124</v>
      </c>
      <c r="B66" s="1" t="s">
        <v>125</v>
      </c>
      <c r="C66" s="3" t="s">
        <v>174</v>
      </c>
      <c r="D66" s="22">
        <f ca="1">CNYM</f>
        <v>0</v>
      </c>
      <c r="E66" s="22">
        <f ca="1">CBNYM</f>
        <v>0</v>
      </c>
      <c r="F66" s="20"/>
      <c r="G66" s="22">
        <f ca="1">CNYQ</f>
        <v>0</v>
      </c>
      <c r="H66" s="22">
        <f ca="1">CBNYQ</f>
        <v>0</v>
      </c>
      <c r="I66" s="20"/>
      <c r="J66" s="22">
        <f ca="1">CNYY</f>
        <v>0</v>
      </c>
      <c r="K66" s="22">
        <f ca="1">CBNYY</f>
        <v>0</v>
      </c>
      <c r="L66" s="20"/>
    </row>
    <row r="67" spans="1:35" ht="15" thickBot="1" x14ac:dyDescent="0.35">
      <c r="C67" s="3" t="s">
        <v>175</v>
      </c>
      <c r="D67" s="45"/>
      <c r="E67" s="45">
        <f ca="1">CBNYM</f>
        <v>0</v>
      </c>
      <c r="F67" s="46"/>
      <c r="G67" s="45">
        <f ca="1">CNYQ</f>
        <v>0</v>
      </c>
      <c r="H67" s="45">
        <f ca="1">CBNYQ</f>
        <v>0</v>
      </c>
      <c r="I67" s="46"/>
      <c r="J67" s="45">
        <f ca="1">CNYY</f>
        <v>0</v>
      </c>
      <c r="K67" s="45">
        <f ca="1">CBNYY</f>
        <v>0</v>
      </c>
      <c r="L67" s="46"/>
    </row>
    <row r="68" spans="1:35" ht="15" thickTop="1" x14ac:dyDescent="0.3">
      <c r="D68" s="22"/>
      <c r="E68" s="22"/>
      <c r="F68" s="20"/>
      <c r="G68" s="22"/>
      <c r="H68" s="22"/>
      <c r="I68" s="20"/>
      <c r="J68" s="22"/>
      <c r="K68" s="22"/>
      <c r="L68" s="20"/>
    </row>
    <row r="69" spans="1:35" s="29" customFormat="1" ht="15.6" x14ac:dyDescent="0.3">
      <c r="C69" s="29" t="s">
        <v>176</v>
      </c>
      <c r="D69" s="31">
        <f ca="1">D56-D59-D60-D61-D62-D65-D66-D67</f>
        <v>-332845.06</v>
      </c>
      <c r="E69" s="31">
        <f ca="1">E56-E59-E60-E61-E62-E65-E66-E67</f>
        <v>-106782.37000000008</v>
      </c>
      <c r="F69" s="56">
        <f ca="1">+D69-E69</f>
        <v>-226062.68999999992</v>
      </c>
      <c r="G69" s="31">
        <f t="shared" ref="G69:H69" ca="1" si="68">G56-G59-G60-G61-G62-G65-G66-G67</f>
        <v>-714595.06000000029</v>
      </c>
      <c r="H69" s="31">
        <f t="shared" ca="1" si="68"/>
        <v>-372005.51999999996</v>
      </c>
      <c r="I69" s="56">
        <f ca="1">+G69-H69</f>
        <v>-342589.54000000033</v>
      </c>
      <c r="J69" s="31">
        <f t="shared" ref="J69:K69" ca="1" si="69">J56-J59-J60-J61-J62-J65-J66-J67</f>
        <v>-1044541.4799999989</v>
      </c>
      <c r="K69" s="31">
        <f t="shared" ca="1" si="69"/>
        <v>-200315.19999999768</v>
      </c>
      <c r="L69" s="56">
        <f ca="1">+J69-K69</f>
        <v>-844226.28000000119</v>
      </c>
      <c r="N69" s="62">
        <f>-(-N11+N16+N17+N18+N25+N26+N27+N31+N32+N33+N34+N38+N39+N40+N41+N42+N43+N44+N45+N46+N47+N48+N49+N50+N51+N59+N61+N60+N62)</f>
        <v>-88086.16999999994</v>
      </c>
      <c r="O69" s="62">
        <f t="shared" ref="O69:R69" si="70">-(-O11+O16+O17+O18+O25+O26+O27+O31+O32+O33+O34+O38+O39+O40+O41+O42+O43+O44+O45+O46+O47+O48+O49+O50+O51+O59+O61+O60+O62)</f>
        <v>-8571.6500000000015</v>
      </c>
      <c r="P69" s="62">
        <f t="shared" si="70"/>
        <v>-159661.32999999999</v>
      </c>
      <c r="Q69" s="62">
        <f t="shared" si="70"/>
        <v>3076.8899999999962</v>
      </c>
      <c r="R69" s="62">
        <f t="shared" si="70"/>
        <v>-253242.26000000007</v>
      </c>
      <c r="S69" s="63">
        <f ca="1">+D69</f>
        <v>-332845.06</v>
      </c>
      <c r="T69" s="63">
        <f ca="1">+R69-S69</f>
        <v>79602.79999999993</v>
      </c>
      <c r="V69" s="62">
        <f>-(-V11+V16+V17+V18+V25+V26+V27+V31+V32+V33+V34+V38+V39+V40+V41+V42+V43+V44+V45+V46+V47+V48+V49+V50+V51+V59+V61+V60+V62)</f>
        <v>3236698.5900000012</v>
      </c>
      <c r="W69" s="62">
        <f t="shared" ref="W69:Z69" si="71">-(-W11+W16+W17+W18+W25+W26+W27+W31+W32+W33+W34+W38+W39+W40+W41+W42+W43+W44+W45+W46+W47+W48+W49+W50+W51+W59+W61+W60+W62)</f>
        <v>-81387.959999999992</v>
      </c>
      <c r="X69" s="62">
        <f t="shared" si="71"/>
        <v>-1978415.97</v>
      </c>
      <c r="Y69" s="62">
        <f t="shared" si="71"/>
        <v>52881.010000000031</v>
      </c>
      <c r="Z69" s="62">
        <f t="shared" si="71"/>
        <v>1229775.6700000011</v>
      </c>
      <c r="AA69" s="63">
        <f ca="1">+J69</f>
        <v>-1044541.4799999989</v>
      </c>
      <c r="AB69" s="63">
        <f ca="1">+Z69-AA69</f>
        <v>2274317.15</v>
      </c>
      <c r="AI69" s="31"/>
    </row>
    <row r="72" spans="1:35" x14ac:dyDescent="0.3">
      <c r="C72" s="1" t="s">
        <v>239</v>
      </c>
      <c r="D72" s="58"/>
      <c r="E72" s="58"/>
      <c r="J72" s="58"/>
      <c r="K72" s="58"/>
    </row>
    <row r="73" spans="1:35" x14ac:dyDescent="0.3">
      <c r="C73" s="1" t="s">
        <v>240</v>
      </c>
      <c r="D73" s="58">
        <v>108298.02</v>
      </c>
      <c r="E73" s="58">
        <v>87775.25</v>
      </c>
      <c r="J73" s="58">
        <v>1391630.1500000001</v>
      </c>
      <c r="K73" s="58">
        <v>2206164.75</v>
      </c>
    </row>
    <row r="74" spans="1:35" x14ac:dyDescent="0.3">
      <c r="C74" s="1" t="s">
        <v>241</v>
      </c>
      <c r="D74" s="58">
        <v>3107.6800000000003</v>
      </c>
      <c r="E74" s="58">
        <v>-12698.98</v>
      </c>
      <c r="J74" s="58">
        <v>-75589.66</v>
      </c>
      <c r="K74" s="58">
        <v>-56128.31</v>
      </c>
    </row>
    <row r="75" spans="1:35" x14ac:dyDescent="0.3">
      <c r="C75" s="1" t="s">
        <v>242</v>
      </c>
      <c r="D75" s="58">
        <v>-204600.86000000002</v>
      </c>
      <c r="E75" s="58">
        <v>-179897.51</v>
      </c>
      <c r="J75" s="58">
        <v>-2173388.08</v>
      </c>
      <c r="K75" s="58">
        <v>-2401856.25</v>
      </c>
    </row>
    <row r="76" spans="1:35" x14ac:dyDescent="0.3">
      <c r="C76" s="1" t="s">
        <v>243</v>
      </c>
      <c r="D76" s="58">
        <v>1322.93</v>
      </c>
      <c r="E76" s="58">
        <v>-1961.13</v>
      </c>
      <c r="J76" s="58">
        <v>54203.94</v>
      </c>
      <c r="K76" s="58">
        <v>51504.61</v>
      </c>
    </row>
    <row r="77" spans="1:35" x14ac:dyDescent="0.3">
      <c r="C77" s="1" t="s">
        <v>244</v>
      </c>
      <c r="D77" s="58">
        <f>SUM(D73:D76)</f>
        <v>-91872.23000000001</v>
      </c>
      <c r="E77" s="58">
        <f>SUM(E73:E76)</f>
        <v>-106782.37000000001</v>
      </c>
      <c r="J77" s="58">
        <f>SUM(J73:J76)</f>
        <v>-803143.64999999991</v>
      </c>
      <c r="K77" s="58">
        <f>SUM(K73:K76)</f>
        <v>-200315.20000000007</v>
      </c>
    </row>
    <row r="78" spans="1:35" x14ac:dyDescent="0.3">
      <c r="B78" s="59"/>
      <c r="D78" s="90">
        <f ca="1">+D69-D77</f>
        <v>-240972.83</v>
      </c>
      <c r="E78" s="58">
        <f ca="1">+E69-E77</f>
        <v>0</v>
      </c>
      <c r="J78" s="90">
        <f ca="1">+J69-J77</f>
        <v>-241397.82999999903</v>
      </c>
      <c r="K78" s="58">
        <f ca="1">+K69-K77</f>
        <v>2.3865140974521637E-9</v>
      </c>
    </row>
    <row r="79" spans="1:35" x14ac:dyDescent="0.3">
      <c r="D79" s="58"/>
      <c r="E79" s="58"/>
      <c r="J79" s="58"/>
      <c r="K79" s="58"/>
    </row>
    <row r="80" spans="1:35" x14ac:dyDescent="0.3">
      <c r="C80" s="51"/>
    </row>
    <row r="83" spans="1:9" ht="15" thickBot="1" x14ac:dyDescent="0.35"/>
    <row r="84" spans="1:9" ht="18" x14ac:dyDescent="0.35">
      <c r="A84" s="65"/>
      <c r="B84" s="66"/>
      <c r="C84" s="66"/>
      <c r="D84" s="66"/>
      <c r="E84" s="66"/>
      <c r="F84" s="66"/>
      <c r="G84" s="66"/>
      <c r="H84" s="66"/>
      <c r="I84" s="67"/>
    </row>
    <row r="85" spans="1:9" ht="18" x14ac:dyDescent="0.35">
      <c r="A85" s="68"/>
      <c r="I85" s="69"/>
    </row>
    <row r="86" spans="1:9" ht="18" x14ac:dyDescent="0.35">
      <c r="A86" s="68"/>
      <c r="I86" s="69"/>
    </row>
    <row r="87" spans="1:9" ht="18" x14ac:dyDescent="0.35">
      <c r="A87" s="68"/>
      <c r="I87" s="69"/>
    </row>
    <row r="88" spans="1:9" ht="18" x14ac:dyDescent="0.35">
      <c r="A88" s="68"/>
      <c r="I88" s="69"/>
    </row>
    <row r="89" spans="1:9" ht="18" x14ac:dyDescent="0.35">
      <c r="A89" s="68"/>
      <c r="I89" s="69"/>
    </row>
    <row r="90" spans="1:9" ht="18" x14ac:dyDescent="0.35">
      <c r="A90" s="68"/>
      <c r="I90" s="69"/>
    </row>
    <row r="91" spans="1:9" ht="18.600000000000001" thickBot="1" x14ac:dyDescent="0.4">
      <c r="A91" s="70"/>
      <c r="B91" s="71"/>
      <c r="C91" s="71"/>
      <c r="D91" s="71"/>
      <c r="E91" s="71"/>
      <c r="F91" s="71"/>
      <c r="G91" s="71"/>
      <c r="H91" s="71"/>
      <c r="I91" s="72"/>
    </row>
    <row r="92" spans="1:9" ht="18" x14ac:dyDescent="0.35">
      <c r="A92" s="64"/>
    </row>
    <row r="93" spans="1:9" ht="18" x14ac:dyDescent="0.35">
      <c r="A93" s="64"/>
    </row>
    <row r="94" spans="1:9" ht="18" x14ac:dyDescent="0.35">
      <c r="A94" s="64"/>
    </row>
    <row r="97" spans="1:9" outlineLevel="1" x14ac:dyDescent="0.3">
      <c r="A97" s="73" t="s">
        <v>223</v>
      </c>
      <c r="B97" s="66" t="s">
        <v>302</v>
      </c>
      <c r="C97" s="66"/>
      <c r="D97" s="66"/>
      <c r="E97" s="66"/>
      <c r="F97" s="66"/>
      <c r="G97" s="66"/>
      <c r="H97" s="66"/>
      <c r="I97" s="67"/>
    </row>
    <row r="98" spans="1:9" outlineLevel="1" x14ac:dyDescent="0.3">
      <c r="A98" s="74" t="s">
        <v>225</v>
      </c>
      <c r="B98" s="1" t="s">
        <v>303</v>
      </c>
      <c r="I98" s="69"/>
    </row>
    <row r="99" spans="1:9" outlineLevel="1" x14ac:dyDescent="0.3">
      <c r="A99" s="74" t="s">
        <v>287</v>
      </c>
      <c r="B99" s="1" t="s">
        <v>304</v>
      </c>
      <c r="I99" s="69"/>
    </row>
    <row r="100" spans="1:9" outlineLevel="1" x14ac:dyDescent="0.3">
      <c r="A100" s="74" t="s">
        <v>222</v>
      </c>
      <c r="B100" s="1" t="s">
        <v>305</v>
      </c>
      <c r="I100" s="69"/>
    </row>
    <row r="101" spans="1:9" outlineLevel="1" x14ac:dyDescent="0.3">
      <c r="A101" s="74" t="s">
        <v>224</v>
      </c>
      <c r="B101" s="1" t="s">
        <v>306</v>
      </c>
      <c r="I101" s="69"/>
    </row>
    <row r="102" spans="1:9" outlineLevel="1" x14ac:dyDescent="0.3">
      <c r="A102" s="74" t="s">
        <v>288</v>
      </c>
      <c r="B102" s="1" t="s">
        <v>307</v>
      </c>
      <c r="I102" s="69"/>
    </row>
    <row r="103" spans="1:9" outlineLevel="1" x14ac:dyDescent="0.3">
      <c r="A103" s="74" t="s">
        <v>289</v>
      </c>
      <c r="B103" s="1" t="s">
        <v>308</v>
      </c>
      <c r="I103" s="69"/>
    </row>
    <row r="104" spans="1:9" outlineLevel="1" x14ac:dyDescent="0.3">
      <c r="A104" s="74" t="s">
        <v>290</v>
      </c>
      <c r="B104" s="1" t="s">
        <v>309</v>
      </c>
      <c r="I104" s="69"/>
    </row>
    <row r="105" spans="1:9" outlineLevel="1" x14ac:dyDescent="0.3">
      <c r="A105" s="74" t="s">
        <v>291</v>
      </c>
      <c r="B105" s="1" t="s">
        <v>310</v>
      </c>
      <c r="I105" s="69"/>
    </row>
    <row r="106" spans="1:9" outlineLevel="1" x14ac:dyDescent="0.3">
      <c r="A106" s="74" t="s">
        <v>292</v>
      </c>
      <c r="B106" s="1" t="s">
        <v>311</v>
      </c>
      <c r="I106" s="69"/>
    </row>
    <row r="107" spans="1:9" outlineLevel="1" x14ac:dyDescent="0.3">
      <c r="A107" s="74" t="s">
        <v>293</v>
      </c>
      <c r="B107" s="1" t="s">
        <v>312</v>
      </c>
      <c r="I107" s="69"/>
    </row>
    <row r="108" spans="1:9" outlineLevel="1" x14ac:dyDescent="0.3">
      <c r="A108" s="74" t="s">
        <v>294</v>
      </c>
      <c r="B108" s="1" t="s">
        <v>313</v>
      </c>
      <c r="I108" s="69"/>
    </row>
    <row r="109" spans="1:9" outlineLevel="1" x14ac:dyDescent="0.3">
      <c r="A109" s="74" t="s">
        <v>295</v>
      </c>
      <c r="B109" s="1" t="s">
        <v>314</v>
      </c>
      <c r="I109" s="69"/>
    </row>
    <row r="110" spans="1:9" outlineLevel="1" x14ac:dyDescent="0.3">
      <c r="A110" s="74" t="s">
        <v>296</v>
      </c>
      <c r="B110" s="1" t="s">
        <v>315</v>
      </c>
      <c r="I110" s="69"/>
    </row>
    <row r="111" spans="1:9" outlineLevel="1" x14ac:dyDescent="0.3">
      <c r="A111" s="74" t="s">
        <v>297</v>
      </c>
      <c r="B111" s="1" t="s">
        <v>316</v>
      </c>
      <c r="I111" s="69"/>
    </row>
    <row r="112" spans="1:9" outlineLevel="1" x14ac:dyDescent="0.3">
      <c r="A112" s="74" t="s">
        <v>298</v>
      </c>
      <c r="B112" s="1" t="s">
        <v>317</v>
      </c>
      <c r="I112" s="69"/>
    </row>
    <row r="113" spans="1:9" outlineLevel="1" x14ac:dyDescent="0.3">
      <c r="A113" s="74" t="s">
        <v>299</v>
      </c>
      <c r="B113" s="1" t="s">
        <v>318</v>
      </c>
      <c r="I113" s="69"/>
    </row>
    <row r="114" spans="1:9" outlineLevel="1" x14ac:dyDescent="0.3">
      <c r="A114" s="74" t="s">
        <v>300</v>
      </c>
      <c r="B114" s="1" t="s">
        <v>319</v>
      </c>
      <c r="I114" s="69"/>
    </row>
    <row r="115" spans="1:9" ht="15" outlineLevel="1" thickBot="1" x14ac:dyDescent="0.35">
      <c r="A115" s="75" t="s">
        <v>301</v>
      </c>
      <c r="B115" s="71" t="s">
        <v>320</v>
      </c>
      <c r="C115" s="71"/>
      <c r="D115" s="71"/>
      <c r="E115" s="71"/>
      <c r="F115" s="71"/>
      <c r="G115" s="71"/>
      <c r="H115" s="71"/>
      <c r="I115" s="72"/>
    </row>
    <row r="116" spans="1:9" x14ac:dyDescent="0.3">
      <c r="A116" s="2" t="s">
        <v>321</v>
      </c>
    </row>
  </sheetData>
  <mergeCells count="1">
    <mergeCell ref="C1:L1"/>
  </mergeCells>
  <pageMargins left="0.45" right="0.45" top="0.5" bottom="0.25" header="0.05" footer="0.05"/>
  <pageSetup scale="64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REFERENCE!$A$2:$A$13</xm:f>
          </x14:formula1>
          <xm:sqref>D4 G4</xm:sqref>
        </x14:dataValidation>
        <x14:dataValidation type="list" allowBlank="1" showInputMessage="1" showErrorMessage="1" xr:uid="{00000000-0002-0000-0100-000001000000}">
          <x14:formula1>
            <xm:f>REFERENCE!$F$2:$F$4</xm:f>
          </x14:formula1>
          <xm:sqref>D3 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L99"/>
  <sheetViews>
    <sheetView workbookViewId="0">
      <selection activeCell="D4" sqref="D4"/>
    </sheetView>
  </sheetViews>
  <sheetFormatPr defaultColWidth="9.21875" defaultRowHeight="14.4" outlineLevelRow="1" x14ac:dyDescent="0.3"/>
  <cols>
    <col min="1" max="1" width="16.21875" style="1" bestFit="1" customWidth="1"/>
    <col min="2" max="2" width="32.5546875" style="1" customWidth="1"/>
    <col min="3" max="3" width="36.21875" style="1" customWidth="1"/>
    <col min="4" max="5" width="13.21875" style="1" bestFit="1" customWidth="1"/>
    <col min="6" max="6" width="9.21875" style="1"/>
    <col min="7" max="8" width="13.21875" style="1" bestFit="1" customWidth="1"/>
    <col min="9" max="9" width="9.21875" style="1"/>
    <col min="10" max="11" width="13.21875" style="1" bestFit="1" customWidth="1"/>
    <col min="12" max="16384" width="9.21875" style="1"/>
  </cols>
  <sheetData>
    <row r="1" spans="1:12" ht="33.6" x14ac:dyDescent="0.65">
      <c r="C1" s="111" t="s">
        <v>211</v>
      </c>
      <c r="D1" s="111"/>
      <c r="E1" s="111"/>
      <c r="F1" s="111"/>
      <c r="G1" s="111"/>
      <c r="H1" s="111"/>
      <c r="I1" s="111"/>
      <c r="J1" s="111"/>
      <c r="K1" s="111"/>
      <c r="L1" s="111"/>
    </row>
    <row r="3" spans="1:12" x14ac:dyDescent="0.3">
      <c r="B3" s="16" t="str">
        <f>IFERROR(VLOOKUP($D$4,REFERENCE!$A$2:$C$13,3,FALSE),0)</f>
        <v>01</v>
      </c>
      <c r="C3" s="15" t="s">
        <v>212</v>
      </c>
      <c r="D3" s="1" t="s">
        <v>218</v>
      </c>
    </row>
    <row r="4" spans="1:12" x14ac:dyDescent="0.3">
      <c r="B4" s="24" t="str">
        <f>IFERROR(VLOOKUP($D$4,REFERENCE!$A$2:$B$13,2,FALSE),0)</f>
        <v>01</v>
      </c>
      <c r="C4" s="15" t="s">
        <v>213</v>
      </c>
      <c r="D4" s="1" t="s">
        <v>193</v>
      </c>
    </row>
    <row r="7" spans="1:12" s="30" customFormat="1" ht="16.2" thickBot="1" x14ac:dyDescent="0.35">
      <c r="D7" s="37" t="s">
        <v>177</v>
      </c>
      <c r="E7" s="37" t="s">
        <v>178</v>
      </c>
      <c r="F7" s="37" t="s">
        <v>179</v>
      </c>
      <c r="G7" s="37" t="s">
        <v>180</v>
      </c>
      <c r="H7" s="37" t="s">
        <v>181</v>
      </c>
      <c r="I7" s="37" t="s">
        <v>179</v>
      </c>
      <c r="J7" s="37" t="s">
        <v>182</v>
      </c>
      <c r="K7" s="37" t="s">
        <v>183</v>
      </c>
      <c r="L7" s="37" t="s">
        <v>179</v>
      </c>
    </row>
    <row r="8" spans="1:12" ht="15" thickTop="1" x14ac:dyDescent="0.3">
      <c r="D8" s="17"/>
      <c r="E8" s="17"/>
      <c r="F8" s="19"/>
      <c r="G8" s="17"/>
      <c r="H8" s="17"/>
      <c r="I8" s="19"/>
      <c r="J8" s="17"/>
      <c r="K8" s="17"/>
      <c r="L8" s="17"/>
    </row>
    <row r="9" spans="1:12" outlineLevel="1" x14ac:dyDescent="0.3">
      <c r="A9" s="1" t="s">
        <v>74</v>
      </c>
      <c r="B9" s="1" t="s">
        <v>75</v>
      </c>
      <c r="D9" s="22">
        <f ca="1">CNYM</f>
        <v>1586011.55</v>
      </c>
      <c r="E9" s="22">
        <f ca="1">CBNYM</f>
        <v>1627169.17</v>
      </c>
      <c r="F9" s="20"/>
      <c r="G9" s="22">
        <f t="array" aca="1" ref="G9" ca="1">SUMPRODUCT((CISS[SubGroup]=$A9)*(INDIRECT("CISS[[NY"&amp;RIGHT("0"&amp;$B$3,2)&amp;"]:[NY"&amp;RIGHT("0"&amp;$B$4,2)&amp;"]]")))</f>
        <v>1586011.55</v>
      </c>
      <c r="H9" s="22">
        <f ca="1">CBNYQ</f>
        <v>1627169.17</v>
      </c>
      <c r="I9" s="20"/>
      <c r="J9" s="22">
        <f t="array" aca="1" ref="J9" ca="1">SUMPRODUCT((CISS[SubGroup]=$A9)*(INDIRECT("CISS[[NY01]:[NY"&amp;RIGHT("0"&amp;$B$4,2)&amp;"]]")))</f>
        <v>1586011.55</v>
      </c>
      <c r="K9" s="22">
        <f ca="1">CBNYY</f>
        <v>1627169.17</v>
      </c>
    </row>
    <row r="10" spans="1:12" outlineLevel="1" x14ac:dyDescent="0.3">
      <c r="A10" s="1" t="s">
        <v>76</v>
      </c>
      <c r="B10" s="1" t="s">
        <v>77</v>
      </c>
      <c r="D10" s="22">
        <f ca="1">CNYM</f>
        <v>32068.25</v>
      </c>
      <c r="E10" s="22">
        <f ca="1">CBNYM</f>
        <v>36160.18</v>
      </c>
      <c r="F10" s="20"/>
      <c r="G10" s="22">
        <f ca="1">CNYQ</f>
        <v>32068.25</v>
      </c>
      <c r="H10" s="22">
        <f ca="1">CBNYQ</f>
        <v>36160.18</v>
      </c>
      <c r="I10" s="20"/>
      <c r="J10" s="22">
        <f ca="1">CNYY</f>
        <v>32068.25</v>
      </c>
      <c r="K10" s="22">
        <f ca="1">CBNYY</f>
        <v>36160.18</v>
      </c>
    </row>
    <row r="11" spans="1:12" s="30" customFormat="1" ht="15.6" x14ac:dyDescent="0.3">
      <c r="C11" s="29" t="s">
        <v>130</v>
      </c>
      <c r="D11" s="31">
        <f ca="1">SUM(D9:D10)</f>
        <v>1618079.8</v>
      </c>
      <c r="E11" s="31">
        <f t="shared" ref="E11:K11" ca="1" si="0">SUM(E9:E10)</f>
        <v>1663329.3499999999</v>
      </c>
      <c r="F11" s="32"/>
      <c r="G11" s="31">
        <f t="shared" ca="1" si="0"/>
        <v>1618079.8</v>
      </c>
      <c r="H11" s="31">
        <f t="shared" ca="1" si="0"/>
        <v>1663329.3499999999</v>
      </c>
      <c r="I11" s="32"/>
      <c r="J11" s="31">
        <f t="shared" ca="1" si="0"/>
        <v>1618079.8</v>
      </c>
      <c r="K11" s="31">
        <f t="shared" ca="1" si="0"/>
        <v>1663329.3499999999</v>
      </c>
      <c r="L11" s="29"/>
    </row>
    <row r="12" spans="1:12" x14ac:dyDescent="0.3">
      <c r="D12" s="22"/>
      <c r="E12" s="22"/>
      <c r="F12" s="20"/>
      <c r="G12" s="22"/>
      <c r="H12" s="22"/>
      <c r="I12" s="20"/>
      <c r="J12" s="22"/>
      <c r="K12" s="22"/>
    </row>
    <row r="13" spans="1:12" ht="15.6" x14ac:dyDescent="0.3">
      <c r="C13" s="29" t="s">
        <v>131</v>
      </c>
      <c r="D13" s="22"/>
      <c r="E13" s="22"/>
      <c r="F13" s="20"/>
      <c r="G13" s="22"/>
      <c r="H13" s="22"/>
      <c r="I13" s="20"/>
      <c r="J13" s="22"/>
      <c r="K13" s="22"/>
    </row>
    <row r="14" spans="1:12" outlineLevel="1" x14ac:dyDescent="0.3">
      <c r="A14" s="1" t="s">
        <v>78</v>
      </c>
      <c r="B14" s="1" t="s">
        <v>79</v>
      </c>
      <c r="C14" s="3"/>
      <c r="D14" s="22">
        <f ca="1">CNYM</f>
        <v>12255.35</v>
      </c>
      <c r="E14" s="22">
        <f ca="1">CBNYM</f>
        <v>14737.38</v>
      </c>
      <c r="F14" s="20"/>
      <c r="G14" s="22">
        <f ca="1">CNYQ</f>
        <v>12255.35</v>
      </c>
      <c r="H14" s="22">
        <f ca="1">CBNYQ</f>
        <v>14737.38</v>
      </c>
      <c r="I14" s="20"/>
      <c r="J14" s="22">
        <f ca="1">CNYY</f>
        <v>12255.35</v>
      </c>
      <c r="K14" s="22">
        <f ca="1">CBNYY</f>
        <v>14737.38</v>
      </c>
    </row>
    <row r="15" spans="1:12" outlineLevel="1" x14ac:dyDescent="0.3">
      <c r="A15" s="1" t="s">
        <v>80</v>
      </c>
      <c r="B15" s="1" t="s">
        <v>81</v>
      </c>
      <c r="D15" s="23">
        <f ca="1">CNYM</f>
        <v>807258.39</v>
      </c>
      <c r="E15" s="23">
        <f ca="1">CBNYM</f>
        <v>915281.75</v>
      </c>
      <c r="F15" s="21"/>
      <c r="G15" s="23">
        <f ca="1">CNYQ</f>
        <v>807258.39</v>
      </c>
      <c r="H15" s="23">
        <f ca="1">CBNYQ</f>
        <v>915281.75</v>
      </c>
      <c r="I15" s="21"/>
      <c r="J15" s="23">
        <f ca="1">CNYY</f>
        <v>807258.39</v>
      </c>
      <c r="K15" s="23">
        <f ca="1">CBNYY</f>
        <v>915281.75</v>
      </c>
    </row>
    <row r="16" spans="1:12" x14ac:dyDescent="0.3">
      <c r="C16" s="3" t="s">
        <v>132</v>
      </c>
      <c r="D16" s="22">
        <f ca="1">SUM(D14:D15)</f>
        <v>819513.74</v>
      </c>
      <c r="E16" s="22">
        <f ca="1">SUM(E14:E15)</f>
        <v>930019.13</v>
      </c>
      <c r="F16" s="20"/>
      <c r="G16" s="22">
        <f t="shared" ref="G16:K16" ca="1" si="1">SUM(G14:G15)</f>
        <v>819513.74</v>
      </c>
      <c r="H16" s="22">
        <f t="shared" ca="1" si="1"/>
        <v>930019.13</v>
      </c>
      <c r="I16" s="20"/>
      <c r="J16" s="22">
        <f t="shared" ca="1" si="1"/>
        <v>819513.74</v>
      </c>
      <c r="K16" s="22">
        <f t="shared" ca="1" si="1"/>
        <v>930019.13</v>
      </c>
    </row>
    <row r="17" spans="1:12" x14ac:dyDescent="0.3">
      <c r="A17" s="1" t="s">
        <v>116</v>
      </c>
      <c r="B17" s="1" t="s">
        <v>117</v>
      </c>
      <c r="C17" s="3" t="s">
        <v>133</v>
      </c>
      <c r="D17" s="22">
        <f ca="1">CNYM</f>
        <v>17679</v>
      </c>
      <c r="E17" s="22">
        <f ca="1">CBNYM</f>
        <v>13014</v>
      </c>
      <c r="F17" s="20"/>
      <c r="G17" s="22">
        <f ca="1">CNYQ</f>
        <v>17679</v>
      </c>
      <c r="H17" s="22">
        <f ca="1">CBNYQ</f>
        <v>13014</v>
      </c>
      <c r="I17" s="20"/>
      <c r="J17" s="22">
        <f ca="1">CNYY</f>
        <v>17679</v>
      </c>
      <c r="K17" s="22">
        <f ca="1">CBNYY</f>
        <v>13014</v>
      </c>
    </row>
    <row r="18" spans="1:12" ht="15" thickBot="1" x14ac:dyDescent="0.35">
      <c r="A18" s="1" t="s">
        <v>110</v>
      </c>
      <c r="B18" s="1" t="s">
        <v>111</v>
      </c>
      <c r="C18" s="3" t="s">
        <v>134</v>
      </c>
      <c r="D18" s="45">
        <f ca="1">CNYM</f>
        <v>-5115.1400000000003</v>
      </c>
      <c r="E18" s="45">
        <f ca="1">CBNYM</f>
        <v>18317.259999999998</v>
      </c>
      <c r="F18" s="46"/>
      <c r="G18" s="45">
        <f ca="1">CNYQ</f>
        <v>-5115.1400000000003</v>
      </c>
      <c r="H18" s="45">
        <f ca="1">CBNYQ</f>
        <v>18317.259999999998</v>
      </c>
      <c r="I18" s="46"/>
      <c r="J18" s="45">
        <f ca="1">CNYY</f>
        <v>-5115.1400000000003</v>
      </c>
      <c r="K18" s="45">
        <f ca="1">CBNYY</f>
        <v>18317.259999999998</v>
      </c>
      <c r="L18" s="47"/>
    </row>
    <row r="19" spans="1:12" s="30" customFormat="1" ht="16.2" thickTop="1" x14ac:dyDescent="0.3">
      <c r="C19" s="29" t="s">
        <v>135</v>
      </c>
      <c r="D19" s="31">
        <f ca="1">SUM(D16:D18)</f>
        <v>832077.6</v>
      </c>
      <c r="E19" s="31">
        <f t="shared" ref="E19:K19" ca="1" si="2">SUM(E16:E18)</f>
        <v>961350.39</v>
      </c>
      <c r="F19" s="32"/>
      <c r="G19" s="31">
        <f t="shared" ca="1" si="2"/>
        <v>832077.6</v>
      </c>
      <c r="H19" s="31">
        <f t="shared" ca="1" si="2"/>
        <v>961350.39</v>
      </c>
      <c r="I19" s="32"/>
      <c r="J19" s="31">
        <f t="shared" ca="1" si="2"/>
        <v>832077.6</v>
      </c>
      <c r="K19" s="31">
        <f t="shared" ca="1" si="2"/>
        <v>961350.39</v>
      </c>
    </row>
    <row r="20" spans="1:12" s="29" customFormat="1" ht="15.6" x14ac:dyDescent="0.3">
      <c r="C20" s="29" t="s">
        <v>136</v>
      </c>
      <c r="D20" s="31">
        <f ca="1">D11-D19</f>
        <v>786002.20000000007</v>
      </c>
      <c r="E20" s="31">
        <f ca="1">E11-E19</f>
        <v>701978.95999999985</v>
      </c>
      <c r="F20" s="32"/>
      <c r="G20" s="31">
        <f ca="1">G11-G19</f>
        <v>786002.20000000007</v>
      </c>
      <c r="H20" s="31">
        <f ca="1">H11-H19</f>
        <v>701978.95999999985</v>
      </c>
      <c r="I20" s="32"/>
      <c r="J20" s="31">
        <f ca="1">J11-J19</f>
        <v>786002.20000000007</v>
      </c>
      <c r="K20" s="31">
        <f ca="1">K11-K19</f>
        <v>701978.95999999985</v>
      </c>
    </row>
    <row r="21" spans="1:12" s="30" customFormat="1" ht="15.6" x14ac:dyDescent="0.3">
      <c r="C21" s="29" t="s">
        <v>137</v>
      </c>
      <c r="D21" s="33">
        <f ca="1">IFERROR(D20/D11,0)</f>
        <v>0.48576232148748166</v>
      </c>
      <c r="E21" s="33">
        <f ca="1">IFERROR(E20/E11,0)</f>
        <v>0.42203244955666774</v>
      </c>
      <c r="F21" s="34"/>
      <c r="G21" s="33">
        <f ca="1">IFERROR(G20/G11,0)</f>
        <v>0.48576232148748166</v>
      </c>
      <c r="H21" s="33">
        <f ca="1">IFERROR(H20/H11,0)</f>
        <v>0.42203244955666774</v>
      </c>
      <c r="I21" s="34"/>
      <c r="J21" s="33">
        <f ca="1">IFERROR(J20/J11,0)</f>
        <v>0.48576232148748166</v>
      </c>
      <c r="K21" s="33">
        <f ca="1">IFERROR(K20/K11,0)</f>
        <v>0.42203244955666774</v>
      </c>
      <c r="L21" s="33"/>
    </row>
    <row r="22" spans="1:12" x14ac:dyDescent="0.3">
      <c r="C22" s="2"/>
      <c r="D22" s="26"/>
      <c r="E22" s="26"/>
      <c r="F22" s="27"/>
      <c r="G22" s="26"/>
      <c r="H22" s="26"/>
      <c r="I22" s="27"/>
      <c r="J22" s="26"/>
      <c r="K22" s="26"/>
      <c r="L22" s="26"/>
    </row>
    <row r="23" spans="1:12" ht="15.6" x14ac:dyDescent="0.3">
      <c r="C23" s="29" t="s">
        <v>238</v>
      </c>
      <c r="D23" s="22"/>
      <c r="E23" s="22"/>
      <c r="F23" s="20"/>
      <c r="G23" s="22"/>
      <c r="H23" s="22"/>
      <c r="I23" s="20"/>
      <c r="J23" s="22"/>
      <c r="K23" s="22"/>
    </row>
    <row r="24" spans="1:12" x14ac:dyDescent="0.3">
      <c r="C24" s="3" t="s">
        <v>138</v>
      </c>
      <c r="D24" s="22"/>
      <c r="E24" s="22"/>
      <c r="F24" s="20"/>
      <c r="G24" s="22"/>
      <c r="H24" s="22"/>
      <c r="I24" s="20"/>
      <c r="J24" s="22"/>
      <c r="K24" s="22"/>
    </row>
    <row r="25" spans="1:12" x14ac:dyDescent="0.3">
      <c r="A25" s="1" t="s">
        <v>90</v>
      </c>
      <c r="B25" s="1" t="s">
        <v>91</v>
      </c>
      <c r="C25" s="4" t="s">
        <v>139</v>
      </c>
      <c r="D25" s="22">
        <f ca="1">CNYM</f>
        <v>73381.72</v>
      </c>
      <c r="E25" s="22">
        <f ca="1">CBNYM</f>
        <v>128811.39</v>
      </c>
      <c r="F25" s="20"/>
      <c r="G25" s="22">
        <f ca="1">CNYQ</f>
        <v>73381.72</v>
      </c>
      <c r="H25" s="22">
        <f ca="1">CBNYQ</f>
        <v>128811.39</v>
      </c>
      <c r="I25" s="20"/>
      <c r="J25" s="22">
        <f ca="1">CNYY</f>
        <v>73381.72</v>
      </c>
      <c r="K25" s="22">
        <f ca="1">CBNYY</f>
        <v>128811.39</v>
      </c>
    </row>
    <row r="26" spans="1:12" x14ac:dyDescent="0.3">
      <c r="A26" s="1" t="s">
        <v>84</v>
      </c>
      <c r="B26" s="1" t="s">
        <v>85</v>
      </c>
      <c r="C26" s="4" t="s">
        <v>140</v>
      </c>
      <c r="D26" s="22">
        <f ca="1">CNYM</f>
        <v>8147.77</v>
      </c>
      <c r="E26" s="22">
        <f ca="1">CBNYM</f>
        <v>9502.85</v>
      </c>
      <c r="F26" s="20"/>
      <c r="G26" s="22">
        <f ca="1">CNYQ</f>
        <v>8147.77</v>
      </c>
      <c r="H26" s="22">
        <f ca="1">CBNYQ</f>
        <v>9502.85</v>
      </c>
      <c r="I26" s="20"/>
      <c r="J26" s="22">
        <f ca="1">CNYY</f>
        <v>8147.77</v>
      </c>
      <c r="K26" s="22">
        <f ca="1">CBNYY</f>
        <v>9502.85</v>
      </c>
    </row>
    <row r="27" spans="1:12" x14ac:dyDescent="0.3">
      <c r="C27" s="4" t="s">
        <v>141</v>
      </c>
      <c r="D27" s="23">
        <f ca="1">CNYM</f>
        <v>0</v>
      </c>
      <c r="E27" s="23">
        <f ca="1">CBNYM</f>
        <v>0</v>
      </c>
      <c r="F27" s="21"/>
      <c r="G27" s="23">
        <f ca="1">CNYQ</f>
        <v>0</v>
      </c>
      <c r="H27" s="23">
        <f ca="1">CBNYQ</f>
        <v>0</v>
      </c>
      <c r="I27" s="21"/>
      <c r="J27" s="23">
        <f ca="1">CNYY</f>
        <v>0</v>
      </c>
      <c r="K27" s="23">
        <f ca="1">CBNYY</f>
        <v>0</v>
      </c>
      <c r="L27" s="18"/>
    </row>
    <row r="28" spans="1:12" x14ac:dyDescent="0.3">
      <c r="C28" s="3" t="s">
        <v>142</v>
      </c>
      <c r="D28" s="22">
        <f ca="1">SUM(D25:D27)</f>
        <v>81529.490000000005</v>
      </c>
      <c r="E28" s="22">
        <f ca="1">SUM(E25:E27)</f>
        <v>138314.23999999999</v>
      </c>
      <c r="F28" s="20"/>
      <c r="G28" s="22">
        <f t="shared" ref="G28:K28" ca="1" si="3">SUM(G25:G27)</f>
        <v>81529.490000000005</v>
      </c>
      <c r="H28" s="22">
        <f t="shared" ca="1" si="3"/>
        <v>138314.23999999999</v>
      </c>
      <c r="I28" s="20"/>
      <c r="J28" s="22">
        <f t="shared" ca="1" si="3"/>
        <v>81529.490000000005</v>
      </c>
      <c r="K28" s="22">
        <f t="shared" ca="1" si="3"/>
        <v>138314.23999999999</v>
      </c>
    </row>
    <row r="29" spans="1:12" x14ac:dyDescent="0.3">
      <c r="C29" s="3"/>
      <c r="D29" s="22"/>
      <c r="E29" s="22"/>
      <c r="F29" s="20"/>
      <c r="G29" s="22"/>
      <c r="H29" s="22"/>
      <c r="I29" s="20"/>
      <c r="J29" s="22"/>
      <c r="K29" s="22"/>
    </row>
    <row r="30" spans="1:12" x14ac:dyDescent="0.3">
      <c r="C30" s="3" t="s">
        <v>143</v>
      </c>
      <c r="D30" s="22"/>
      <c r="E30" s="22"/>
      <c r="F30" s="20"/>
      <c r="G30" s="22"/>
      <c r="H30" s="22"/>
      <c r="I30" s="20"/>
      <c r="J30" s="22"/>
      <c r="K30" s="22"/>
    </row>
    <row r="31" spans="1:12" x14ac:dyDescent="0.3">
      <c r="A31" s="1" t="s">
        <v>88</v>
      </c>
      <c r="B31" s="1" t="s">
        <v>89</v>
      </c>
      <c r="C31" s="4" t="s">
        <v>144</v>
      </c>
      <c r="D31" s="22">
        <f ca="1">CNYM</f>
        <v>67644.69</v>
      </c>
      <c r="E31" s="22">
        <f ca="1">CBNYM</f>
        <v>82282.559999999998</v>
      </c>
      <c r="F31" s="20"/>
      <c r="G31" s="22">
        <f ca="1">CNYQ</f>
        <v>67644.69</v>
      </c>
      <c r="H31" s="22">
        <f ca="1">CBNYQ</f>
        <v>82282.559999999998</v>
      </c>
      <c r="I31" s="20"/>
      <c r="J31" s="22">
        <f ca="1">CNYY</f>
        <v>67644.69</v>
      </c>
      <c r="K31" s="22">
        <f ca="1">CBNYY</f>
        <v>82282.559999999998</v>
      </c>
    </row>
    <row r="32" spans="1:12" x14ac:dyDescent="0.3">
      <c r="A32" s="1" t="s">
        <v>82</v>
      </c>
      <c r="B32" s="1" t="s">
        <v>83</v>
      </c>
      <c r="C32" s="4" t="s">
        <v>145</v>
      </c>
      <c r="D32" s="22">
        <f ca="1">CNYM-D33</f>
        <v>96795.05</v>
      </c>
      <c r="E32" s="22">
        <f ca="1">CBNYM-E33</f>
        <v>133162.38</v>
      </c>
      <c r="F32" s="20"/>
      <c r="G32" s="22">
        <f ca="1">CNYQ-G33</f>
        <v>96795.05</v>
      </c>
      <c r="H32" s="22">
        <f ca="1">CBNYQ-H33</f>
        <v>133162.38</v>
      </c>
      <c r="I32" s="20"/>
      <c r="J32" s="22">
        <f ca="1">CNYY-J33</f>
        <v>96795.05</v>
      </c>
      <c r="K32" s="22">
        <f ca="1">CBNYY-K33</f>
        <v>133162.38</v>
      </c>
    </row>
    <row r="33" spans="1:12" x14ac:dyDescent="0.3">
      <c r="A33" s="1" t="s">
        <v>236</v>
      </c>
      <c r="B33" s="1" t="s">
        <v>83</v>
      </c>
      <c r="C33" s="28" t="s">
        <v>146</v>
      </c>
      <c r="D33" s="22">
        <f ca="1">DM</f>
        <v>0</v>
      </c>
      <c r="E33" s="22">
        <f ca="1">DBM</f>
        <v>1665.3199999999997</v>
      </c>
      <c r="F33" s="20"/>
      <c r="G33" s="22">
        <f ca="1">DQ</f>
        <v>0</v>
      </c>
      <c r="H33" s="22">
        <f ca="1">DBQ</f>
        <v>1665.3199999999997</v>
      </c>
      <c r="I33" s="20"/>
      <c r="J33" s="22">
        <f ca="1">DY</f>
        <v>0</v>
      </c>
      <c r="K33" s="22">
        <f ca="1">DBY</f>
        <v>1665.3199999999997</v>
      </c>
    </row>
    <row r="34" spans="1:12" x14ac:dyDescent="0.3">
      <c r="A34" s="1" t="s">
        <v>108</v>
      </c>
      <c r="B34" s="1" t="s">
        <v>109</v>
      </c>
      <c r="C34" s="4" t="s">
        <v>147</v>
      </c>
      <c r="D34" s="23">
        <f ca="1">CNYM</f>
        <v>12430.36</v>
      </c>
      <c r="E34" s="23">
        <f ca="1">CBNYM</f>
        <v>17683.39</v>
      </c>
      <c r="F34" s="21"/>
      <c r="G34" s="23">
        <f ca="1">CNYQ</f>
        <v>12430.36</v>
      </c>
      <c r="H34" s="23">
        <f ca="1">CBNYQ</f>
        <v>17683.39</v>
      </c>
      <c r="I34" s="21"/>
      <c r="J34" s="23">
        <f ca="1">CNYY</f>
        <v>12430.36</v>
      </c>
      <c r="K34" s="23">
        <f ca="1">CBNYY</f>
        <v>17683.39</v>
      </c>
      <c r="L34" s="18"/>
    </row>
    <row r="35" spans="1:12" x14ac:dyDescent="0.3">
      <c r="C35" s="3" t="s">
        <v>148</v>
      </c>
      <c r="D35" s="22">
        <f ca="1">SUM(D31:D34)</f>
        <v>176870.09999999998</v>
      </c>
      <c r="E35" s="22">
        <f ca="1">SUM(E31:E34)</f>
        <v>234793.65000000002</v>
      </c>
      <c r="F35" s="20"/>
      <c r="G35" s="22">
        <f t="shared" ref="G35:K35" ca="1" si="4">SUM(G31:G34)</f>
        <v>176870.09999999998</v>
      </c>
      <c r="H35" s="22">
        <f t="shared" ca="1" si="4"/>
        <v>234793.65000000002</v>
      </c>
      <c r="I35" s="20"/>
      <c r="J35" s="22">
        <f t="shared" ca="1" si="4"/>
        <v>176870.09999999998</v>
      </c>
      <c r="K35" s="22">
        <f t="shared" ca="1" si="4"/>
        <v>234793.65000000002</v>
      </c>
    </row>
    <row r="36" spans="1:12" x14ac:dyDescent="0.3">
      <c r="C36" s="3"/>
      <c r="D36" s="22"/>
      <c r="E36" s="22">
        <f t="shared" ref="E36:E51" ca="1" si="5">CBNYM</f>
        <v>0</v>
      </c>
      <c r="F36" s="20"/>
      <c r="G36" s="22"/>
      <c r="H36" s="22"/>
      <c r="I36" s="20"/>
      <c r="J36" s="22"/>
      <c r="K36" s="22"/>
    </row>
    <row r="37" spans="1:12" x14ac:dyDescent="0.3">
      <c r="C37" s="3" t="s">
        <v>149</v>
      </c>
      <c r="D37" s="22"/>
      <c r="E37" s="22">
        <f t="shared" ca="1" si="5"/>
        <v>0</v>
      </c>
      <c r="F37" s="20"/>
      <c r="G37" s="22"/>
      <c r="H37" s="22"/>
      <c r="I37" s="20"/>
      <c r="J37" s="22"/>
      <c r="K37" s="22"/>
    </row>
    <row r="38" spans="1:12" x14ac:dyDescent="0.3">
      <c r="A38" s="1" t="s">
        <v>86</v>
      </c>
      <c r="B38" s="1" t="s">
        <v>87</v>
      </c>
      <c r="C38" s="4" t="s">
        <v>150</v>
      </c>
      <c r="D38" s="22">
        <f t="shared" ref="D38:D51" ca="1" si="6">CNYM</f>
        <v>-1224.1500000000001</v>
      </c>
      <c r="E38" s="22">
        <f t="shared" ca="1" si="5"/>
        <v>799.15</v>
      </c>
      <c r="F38" s="20"/>
      <c r="G38" s="22">
        <f t="shared" ref="G38:G51" ca="1" si="7">CNYQ</f>
        <v>-1224.1500000000001</v>
      </c>
      <c r="H38" s="22">
        <f t="shared" ref="H38:H51" ca="1" si="8">CBNYQ</f>
        <v>799.15</v>
      </c>
      <c r="I38" s="20"/>
      <c r="J38" s="22">
        <f t="shared" ref="J38:J51" ca="1" si="9">CNYY</f>
        <v>-1224.1500000000001</v>
      </c>
      <c r="K38" s="22">
        <f t="shared" ref="K38:K51" ca="1" si="10">CBNYY</f>
        <v>799.15</v>
      </c>
    </row>
    <row r="39" spans="1:12" x14ac:dyDescent="0.3">
      <c r="A39" s="1" t="s">
        <v>92</v>
      </c>
      <c r="B39" s="1" t="s">
        <v>93</v>
      </c>
      <c r="C39" s="4" t="s">
        <v>151</v>
      </c>
      <c r="D39" s="22">
        <f t="shared" ca="1" si="6"/>
        <v>1490.03</v>
      </c>
      <c r="E39" s="22">
        <f t="shared" ca="1" si="5"/>
        <v>3138.05</v>
      </c>
      <c r="F39" s="20"/>
      <c r="G39" s="22">
        <f t="shared" ca="1" si="7"/>
        <v>1490.03</v>
      </c>
      <c r="H39" s="22">
        <f t="shared" ca="1" si="8"/>
        <v>3138.05</v>
      </c>
      <c r="I39" s="20"/>
      <c r="J39" s="22">
        <f t="shared" ca="1" si="9"/>
        <v>1490.03</v>
      </c>
      <c r="K39" s="22">
        <f t="shared" ca="1" si="10"/>
        <v>3138.05</v>
      </c>
    </row>
    <row r="40" spans="1:12" x14ac:dyDescent="0.3">
      <c r="A40" s="1" t="s">
        <v>94</v>
      </c>
      <c r="B40" s="1" t="s">
        <v>95</v>
      </c>
      <c r="C40" s="4" t="s">
        <v>152</v>
      </c>
      <c r="D40" s="22">
        <f t="shared" ca="1" si="6"/>
        <v>0</v>
      </c>
      <c r="E40" s="22">
        <f t="shared" ca="1" si="5"/>
        <v>0</v>
      </c>
      <c r="F40" s="20"/>
      <c r="G40" s="22">
        <f t="shared" ca="1" si="7"/>
        <v>0</v>
      </c>
      <c r="H40" s="22">
        <f t="shared" ca="1" si="8"/>
        <v>0</v>
      </c>
      <c r="I40" s="20"/>
      <c r="J40" s="22">
        <f t="shared" ca="1" si="9"/>
        <v>0</v>
      </c>
      <c r="K40" s="22">
        <f t="shared" ca="1" si="10"/>
        <v>0</v>
      </c>
    </row>
    <row r="41" spans="1:12" x14ac:dyDescent="0.3">
      <c r="A41" s="1" t="s">
        <v>96</v>
      </c>
      <c r="B41" s="1" t="s">
        <v>97</v>
      </c>
      <c r="C41" s="4" t="s">
        <v>153</v>
      </c>
      <c r="D41" s="22">
        <f ca="1">CNYM-D42</f>
        <v>3849.25</v>
      </c>
      <c r="E41" s="22">
        <f ca="1">CBNYM-E42</f>
        <v>4428.3899999999994</v>
      </c>
      <c r="F41" s="20"/>
      <c r="G41" s="22">
        <f ca="1">CNYQ-G42</f>
        <v>3849.25</v>
      </c>
      <c r="H41" s="22">
        <f ca="1">CBNYQ-H42</f>
        <v>4428.3899999999994</v>
      </c>
      <c r="I41" s="20"/>
      <c r="J41" s="22">
        <f ca="1">CNYY-J42</f>
        <v>3849.25</v>
      </c>
      <c r="K41" s="22">
        <f ca="1">CBNYY-K42</f>
        <v>4428.3899999999994</v>
      </c>
    </row>
    <row r="42" spans="1:12" x14ac:dyDescent="0.3">
      <c r="A42" s="1" t="s">
        <v>233</v>
      </c>
      <c r="B42" s="1" t="s">
        <v>97</v>
      </c>
      <c r="C42" s="28" t="s">
        <v>154</v>
      </c>
      <c r="D42" s="22">
        <f ca="1">LCDESOM</f>
        <v>-77773.8</v>
      </c>
      <c r="E42" s="22">
        <f ca="1">LCDESOBM</f>
        <v>7500</v>
      </c>
      <c r="F42" s="20"/>
      <c r="G42" s="22">
        <f ca="1">LCDESOQ</f>
        <v>-77773.8</v>
      </c>
      <c r="H42" s="22">
        <f ca="1">LCDESOBQ</f>
        <v>7500</v>
      </c>
      <c r="I42" s="20"/>
      <c r="J42" s="22">
        <f ca="1">LCDESOY</f>
        <v>-77773.8</v>
      </c>
      <c r="K42" s="22">
        <f ca="1">LCDESOBY</f>
        <v>7500</v>
      </c>
    </row>
    <row r="43" spans="1:12" x14ac:dyDescent="0.3">
      <c r="A43" s="1" t="s">
        <v>98</v>
      </c>
      <c r="B43" s="1" t="s">
        <v>99</v>
      </c>
      <c r="C43" s="4" t="s">
        <v>155</v>
      </c>
      <c r="D43" s="22">
        <f t="shared" ca="1" si="6"/>
        <v>12070.6</v>
      </c>
      <c r="E43" s="22">
        <f t="shared" ca="1" si="5"/>
        <v>19506.97</v>
      </c>
      <c r="F43" s="20"/>
      <c r="G43" s="22">
        <f t="shared" ca="1" si="7"/>
        <v>12070.6</v>
      </c>
      <c r="H43" s="22">
        <f t="shared" ca="1" si="8"/>
        <v>19506.97</v>
      </c>
      <c r="I43" s="20"/>
      <c r="J43" s="22">
        <f t="shared" ca="1" si="9"/>
        <v>12070.6</v>
      </c>
      <c r="K43" s="22">
        <f t="shared" ca="1" si="10"/>
        <v>19506.97</v>
      </c>
    </row>
    <row r="44" spans="1:12" x14ac:dyDescent="0.3">
      <c r="A44" s="1" t="s">
        <v>100</v>
      </c>
      <c r="B44" s="1" t="s">
        <v>101</v>
      </c>
      <c r="C44" s="4" t="s">
        <v>156</v>
      </c>
      <c r="D44" s="22">
        <f t="shared" ca="1" si="6"/>
        <v>5048.76</v>
      </c>
      <c r="E44" s="22">
        <f t="shared" ca="1" si="5"/>
        <v>19306.669999999998</v>
      </c>
      <c r="F44" s="20"/>
      <c r="G44" s="22">
        <f t="shared" ca="1" si="7"/>
        <v>5048.76</v>
      </c>
      <c r="H44" s="22">
        <f t="shared" ca="1" si="8"/>
        <v>19306.669999999998</v>
      </c>
      <c r="I44" s="20"/>
      <c r="J44" s="22">
        <f t="shared" ca="1" si="9"/>
        <v>5048.76</v>
      </c>
      <c r="K44" s="22">
        <f t="shared" ca="1" si="10"/>
        <v>19306.669999999998</v>
      </c>
    </row>
    <row r="45" spans="1:12" x14ac:dyDescent="0.3">
      <c r="A45" s="1" t="s">
        <v>102</v>
      </c>
      <c r="B45" s="1" t="s">
        <v>103</v>
      </c>
      <c r="C45" s="4" t="s">
        <v>157</v>
      </c>
      <c r="D45" s="22">
        <f t="shared" ca="1" si="6"/>
        <v>-7126.02</v>
      </c>
      <c r="E45" s="22">
        <f t="shared" ca="1" si="5"/>
        <v>11174.86</v>
      </c>
      <c r="F45" s="20"/>
      <c r="G45" s="22">
        <f t="shared" ca="1" si="7"/>
        <v>-7126.02</v>
      </c>
      <c r="H45" s="22">
        <f t="shared" ca="1" si="8"/>
        <v>11174.86</v>
      </c>
      <c r="I45" s="20"/>
      <c r="J45" s="22">
        <f t="shared" ca="1" si="9"/>
        <v>-7126.02</v>
      </c>
      <c r="K45" s="22">
        <f t="shared" ca="1" si="10"/>
        <v>11174.86</v>
      </c>
    </row>
    <row r="46" spans="1:12" x14ac:dyDescent="0.3">
      <c r="A46" s="1" t="s">
        <v>104</v>
      </c>
      <c r="B46" s="1" t="s">
        <v>105</v>
      </c>
      <c r="C46" s="4" t="s">
        <v>158</v>
      </c>
      <c r="D46" s="22">
        <f t="shared" ca="1" si="6"/>
        <v>-217.89</v>
      </c>
      <c r="E46" s="22">
        <f t="shared" ca="1" si="5"/>
        <v>3031.36</v>
      </c>
      <c r="F46" s="20"/>
      <c r="G46" s="22">
        <f t="shared" ca="1" si="7"/>
        <v>-217.89</v>
      </c>
      <c r="H46" s="22">
        <f t="shared" ca="1" si="8"/>
        <v>3031.36</v>
      </c>
      <c r="I46" s="20"/>
      <c r="J46" s="22">
        <f t="shared" ca="1" si="9"/>
        <v>-217.89</v>
      </c>
      <c r="K46" s="22">
        <f t="shared" ca="1" si="10"/>
        <v>3031.36</v>
      </c>
    </row>
    <row r="47" spans="1:12" x14ac:dyDescent="0.3">
      <c r="A47" s="1" t="s">
        <v>106</v>
      </c>
      <c r="B47" s="1" t="s">
        <v>107</v>
      </c>
      <c r="C47" s="4" t="s">
        <v>159</v>
      </c>
      <c r="D47" s="22">
        <f t="shared" ca="1" si="6"/>
        <v>-11145.43</v>
      </c>
      <c r="E47" s="22">
        <f t="shared" ca="1" si="5"/>
        <v>2208.29</v>
      </c>
      <c r="F47" s="20"/>
      <c r="G47" s="22">
        <f t="shared" ca="1" si="7"/>
        <v>-11145.43</v>
      </c>
      <c r="H47" s="22">
        <f t="shared" ca="1" si="8"/>
        <v>2208.29</v>
      </c>
      <c r="I47" s="20"/>
      <c r="J47" s="22">
        <f t="shared" ca="1" si="9"/>
        <v>-11145.43</v>
      </c>
      <c r="K47" s="22">
        <f t="shared" ca="1" si="10"/>
        <v>2208.29</v>
      </c>
    </row>
    <row r="48" spans="1:12" x14ac:dyDescent="0.3">
      <c r="A48" s="1" t="s">
        <v>112</v>
      </c>
      <c r="B48" s="1" t="s">
        <v>113</v>
      </c>
      <c r="C48" s="4" t="s">
        <v>160</v>
      </c>
      <c r="D48" s="22">
        <f t="shared" ca="1" si="6"/>
        <v>-943.12</v>
      </c>
      <c r="E48" s="22">
        <f t="shared" ca="1" si="5"/>
        <v>11.15</v>
      </c>
      <c r="F48" s="20"/>
      <c r="G48" s="22">
        <f t="shared" ca="1" si="7"/>
        <v>-943.12</v>
      </c>
      <c r="H48" s="22">
        <f t="shared" ca="1" si="8"/>
        <v>11.15</v>
      </c>
      <c r="I48" s="20"/>
      <c r="J48" s="22">
        <f t="shared" ca="1" si="9"/>
        <v>-943.12</v>
      </c>
      <c r="K48" s="22">
        <f t="shared" ca="1" si="10"/>
        <v>11.15</v>
      </c>
    </row>
    <row r="49" spans="1:12" x14ac:dyDescent="0.3">
      <c r="A49" s="1" t="s">
        <v>126</v>
      </c>
      <c r="B49" s="1" t="s">
        <v>127</v>
      </c>
      <c r="C49" s="4" t="s">
        <v>161</v>
      </c>
      <c r="D49" s="22">
        <f t="shared" ca="1" si="6"/>
        <v>0</v>
      </c>
      <c r="E49" s="22">
        <f t="shared" ca="1" si="5"/>
        <v>0</v>
      </c>
      <c r="F49" s="20"/>
      <c r="G49" s="22">
        <f t="shared" ca="1" si="7"/>
        <v>0</v>
      </c>
      <c r="H49" s="22">
        <f t="shared" ca="1" si="8"/>
        <v>0</v>
      </c>
      <c r="I49" s="20"/>
      <c r="J49" s="22">
        <f t="shared" ca="1" si="9"/>
        <v>0</v>
      </c>
      <c r="K49" s="22">
        <f t="shared" ca="1" si="10"/>
        <v>0</v>
      </c>
    </row>
    <row r="50" spans="1:12" x14ac:dyDescent="0.3">
      <c r="A50" s="1" t="s">
        <v>162</v>
      </c>
      <c r="B50" s="1" t="s">
        <v>163</v>
      </c>
      <c r="C50" s="4" t="s">
        <v>163</v>
      </c>
      <c r="D50" s="22">
        <f t="shared" ca="1" si="6"/>
        <v>0</v>
      </c>
      <c r="E50" s="22">
        <f t="shared" ca="1" si="5"/>
        <v>0</v>
      </c>
      <c r="F50" s="20"/>
      <c r="G50" s="22">
        <f t="shared" ca="1" si="7"/>
        <v>0</v>
      </c>
      <c r="H50" s="22">
        <f t="shared" ca="1" si="8"/>
        <v>0</v>
      </c>
      <c r="I50" s="20"/>
      <c r="J50" s="22">
        <f t="shared" ca="1" si="9"/>
        <v>0</v>
      </c>
      <c r="K50" s="22">
        <f t="shared" ca="1" si="10"/>
        <v>0</v>
      </c>
    </row>
    <row r="51" spans="1:12" x14ac:dyDescent="0.3">
      <c r="A51" s="1" t="s">
        <v>128</v>
      </c>
      <c r="B51" s="1" t="s">
        <v>129</v>
      </c>
      <c r="C51" s="4" t="s">
        <v>163</v>
      </c>
      <c r="D51" s="40">
        <f t="shared" ca="1" si="6"/>
        <v>0</v>
      </c>
      <c r="E51" s="40">
        <f t="shared" ca="1" si="5"/>
        <v>0</v>
      </c>
      <c r="F51" s="20"/>
      <c r="G51" s="40">
        <f t="shared" ca="1" si="7"/>
        <v>0</v>
      </c>
      <c r="H51" s="40">
        <f t="shared" ca="1" si="8"/>
        <v>0</v>
      </c>
      <c r="I51" s="20"/>
      <c r="J51" s="40">
        <f t="shared" ca="1" si="9"/>
        <v>0</v>
      </c>
      <c r="K51" s="40">
        <f t="shared" ca="1" si="10"/>
        <v>0</v>
      </c>
    </row>
    <row r="52" spans="1:12" x14ac:dyDescent="0.3">
      <c r="C52" s="3" t="s">
        <v>164</v>
      </c>
      <c r="D52" s="48">
        <f ca="1">SUM(D38:D51)</f>
        <v>-75971.76999999999</v>
      </c>
      <c r="E52" s="48">
        <f ca="1">SUM(E38:E51)</f>
        <v>71104.889999999985</v>
      </c>
      <c r="F52" s="49"/>
      <c r="G52" s="48">
        <f t="shared" ref="G52:K52" ca="1" si="11">SUM(G38:G51)</f>
        <v>-75971.76999999999</v>
      </c>
      <c r="H52" s="48">
        <f t="shared" ca="1" si="11"/>
        <v>71104.889999999985</v>
      </c>
      <c r="I52" s="49"/>
      <c r="J52" s="48">
        <f t="shared" ca="1" si="11"/>
        <v>-75971.76999999999</v>
      </c>
      <c r="K52" s="48">
        <f t="shared" ca="1" si="11"/>
        <v>71104.889999999985</v>
      </c>
      <c r="L52" s="50"/>
    </row>
    <row r="53" spans="1:12" ht="15" thickBot="1" x14ac:dyDescent="0.35">
      <c r="D53" s="45"/>
      <c r="E53" s="45"/>
      <c r="F53" s="46"/>
      <c r="G53" s="45"/>
      <c r="H53" s="45"/>
      <c r="I53" s="46"/>
      <c r="J53" s="45"/>
      <c r="K53" s="45"/>
      <c r="L53" s="47"/>
    </row>
    <row r="54" spans="1:12" s="29" customFormat="1" ht="16.2" thickTop="1" x14ac:dyDescent="0.3">
      <c r="C54" s="29" t="s">
        <v>165</v>
      </c>
      <c r="D54" s="31">
        <f ca="1">D28+D35+D52</f>
        <v>182427.81999999998</v>
      </c>
      <c r="E54" s="31">
        <f ca="1">E28+E35+E52</f>
        <v>444212.78</v>
      </c>
      <c r="F54" s="32"/>
      <c r="G54" s="31">
        <f t="shared" ref="G54:H54" ca="1" si="12">G28+G35+G52</f>
        <v>182427.81999999998</v>
      </c>
      <c r="H54" s="31">
        <f t="shared" ca="1" si="12"/>
        <v>444212.78</v>
      </c>
      <c r="I54" s="32"/>
      <c r="J54" s="31">
        <f t="shared" ref="J54:K54" ca="1" si="13">J28+J35+J52</f>
        <v>182427.81999999998</v>
      </c>
      <c r="K54" s="31">
        <f t="shared" ca="1" si="13"/>
        <v>444212.78</v>
      </c>
    </row>
    <row r="55" spans="1:12" x14ac:dyDescent="0.3">
      <c r="D55" s="22"/>
      <c r="E55" s="22"/>
      <c r="F55" s="20"/>
      <c r="G55" s="22"/>
      <c r="H55" s="22"/>
      <c r="I55" s="20"/>
      <c r="J55" s="22"/>
      <c r="K55" s="22"/>
    </row>
    <row r="56" spans="1:12" s="29" customFormat="1" ht="15.6" x14ac:dyDescent="0.3">
      <c r="C56" s="29" t="s">
        <v>166</v>
      </c>
      <c r="D56" s="31">
        <f ca="1">D20-D54</f>
        <v>603574.38000000012</v>
      </c>
      <c r="E56" s="31">
        <f ca="1">E20-E54</f>
        <v>257766.17999999982</v>
      </c>
      <c r="F56" s="32"/>
      <c r="G56" s="31">
        <f t="shared" ref="G56:H56" ca="1" si="14">G20-G54</f>
        <v>603574.38000000012</v>
      </c>
      <c r="H56" s="31">
        <f t="shared" ca="1" si="14"/>
        <v>257766.17999999982</v>
      </c>
      <c r="I56" s="32"/>
      <c r="J56" s="31">
        <f t="shared" ref="J56:K56" ca="1" si="15">J20-J54</f>
        <v>603574.38000000012</v>
      </c>
      <c r="K56" s="31">
        <f t="shared" ca="1" si="15"/>
        <v>257766.17999999982</v>
      </c>
    </row>
    <row r="57" spans="1:12" s="30" customFormat="1" ht="15.6" x14ac:dyDescent="0.3">
      <c r="C57" s="29" t="s">
        <v>167</v>
      </c>
      <c r="D57" s="38">
        <f ca="1">IFERROR(D56/D11,0)</f>
        <v>0.37301892032766254</v>
      </c>
      <c r="E57" s="38">
        <f ca="1">IFERROR(E56/E11,0)</f>
        <v>0.15497001841517427</v>
      </c>
      <c r="F57" s="39"/>
      <c r="G57" s="38">
        <f t="shared" ref="G57:H57" ca="1" si="16">IFERROR(G56/G11,0)</f>
        <v>0.37301892032766254</v>
      </c>
      <c r="H57" s="38">
        <f t="shared" ca="1" si="16"/>
        <v>0.15497001841517427</v>
      </c>
      <c r="I57" s="39"/>
      <c r="J57" s="38">
        <f t="shared" ref="J57:K57" ca="1" si="17">IFERROR(J56/J11,0)</f>
        <v>0.37301892032766254</v>
      </c>
      <c r="K57" s="38">
        <f t="shared" ca="1" si="17"/>
        <v>0.15497001841517427</v>
      </c>
      <c r="L57" s="38"/>
    </row>
    <row r="58" spans="1:12" x14ac:dyDescent="0.3">
      <c r="D58" s="22"/>
      <c r="E58" s="22"/>
      <c r="F58" s="20"/>
      <c r="G58" s="22"/>
      <c r="H58" s="22"/>
      <c r="I58" s="20"/>
      <c r="J58" s="22"/>
      <c r="K58" s="22"/>
    </row>
    <row r="59" spans="1:12" x14ac:dyDescent="0.3">
      <c r="A59" s="1" t="s">
        <v>122</v>
      </c>
      <c r="B59" s="1" t="s">
        <v>123</v>
      </c>
      <c r="C59" s="3" t="s">
        <v>168</v>
      </c>
      <c r="D59" s="22">
        <f ca="1">CNYM</f>
        <v>123453.96</v>
      </c>
      <c r="E59" s="22">
        <f ca="1">CBNYM</f>
        <v>86529</v>
      </c>
      <c r="F59" s="20"/>
      <c r="G59" s="22">
        <f ca="1">CNYQ</f>
        <v>123453.96</v>
      </c>
      <c r="H59" s="22">
        <f ca="1">CBNYQ</f>
        <v>86529</v>
      </c>
      <c r="I59" s="20"/>
      <c r="J59" s="22">
        <f ca="1">CNYY</f>
        <v>123453.96</v>
      </c>
      <c r="K59" s="22">
        <f ca="1">CBNYY</f>
        <v>86529</v>
      </c>
    </row>
    <row r="60" spans="1:12" x14ac:dyDescent="0.3">
      <c r="A60" s="1" t="s">
        <v>114</v>
      </c>
      <c r="B60" s="1" t="s">
        <v>115</v>
      </c>
      <c r="C60" s="3" t="s">
        <v>169</v>
      </c>
      <c r="D60" s="22">
        <f ca="1">CNYM</f>
        <v>0</v>
      </c>
      <c r="E60" s="22">
        <f ca="1">CBNYM</f>
        <v>0</v>
      </c>
      <c r="F60" s="20"/>
      <c r="G60" s="22">
        <f ca="1">CNYQ</f>
        <v>0</v>
      </c>
      <c r="H60" s="22">
        <f ca="1">CBNYQ</f>
        <v>0</v>
      </c>
      <c r="I60" s="20"/>
      <c r="J60" s="22">
        <f ca="1">CNYY</f>
        <v>0</v>
      </c>
      <c r="K60" s="22">
        <f ca="1">CBNYY</f>
        <v>0</v>
      </c>
    </row>
    <row r="61" spans="1:12" x14ac:dyDescent="0.3">
      <c r="A61" s="1" t="s">
        <v>118</v>
      </c>
      <c r="B61" s="1" t="s">
        <v>119</v>
      </c>
      <c r="C61" s="3" t="s">
        <v>170</v>
      </c>
      <c r="D61" s="22">
        <f ca="1">CNYM</f>
        <v>-0.01</v>
      </c>
      <c r="E61" s="22">
        <f ca="1">CBNYM</f>
        <v>67833.19</v>
      </c>
      <c r="F61" s="20"/>
      <c r="G61" s="22">
        <f ca="1">CNYQ</f>
        <v>-0.01</v>
      </c>
      <c r="H61" s="22">
        <f ca="1">CBNYQ</f>
        <v>67833.19</v>
      </c>
      <c r="I61" s="20"/>
      <c r="J61" s="22">
        <f ca="1">CNYY</f>
        <v>-0.01</v>
      </c>
      <c r="K61" s="22">
        <f ca="1">CBNYY</f>
        <v>67833.19</v>
      </c>
    </row>
    <row r="62" spans="1:12" x14ac:dyDescent="0.3">
      <c r="A62" s="1" t="s">
        <v>120</v>
      </c>
      <c r="B62" s="1" t="s">
        <v>121</v>
      </c>
      <c r="C62" s="3" t="s">
        <v>171</v>
      </c>
      <c r="D62" s="22">
        <f ca="1">CNYM</f>
        <v>0</v>
      </c>
      <c r="E62" s="22">
        <f ca="1">CBNYM</f>
        <v>90.78</v>
      </c>
      <c r="F62" s="20"/>
      <c r="G62" s="22">
        <f ca="1">CNYQ</f>
        <v>0</v>
      </c>
      <c r="H62" s="22">
        <f ca="1">CBNYQ</f>
        <v>90.78</v>
      </c>
      <c r="I62" s="20"/>
      <c r="J62" s="22">
        <f ca="1">CNYY</f>
        <v>0</v>
      </c>
      <c r="K62" s="22">
        <f ca="1">CBNYY</f>
        <v>90.78</v>
      </c>
    </row>
    <row r="63" spans="1:12" x14ac:dyDescent="0.3">
      <c r="D63" s="22"/>
      <c r="E63" s="22"/>
      <c r="F63" s="20"/>
      <c r="G63" s="22"/>
      <c r="H63" s="22"/>
      <c r="I63" s="20"/>
      <c r="J63" s="22"/>
      <c r="K63" s="22"/>
    </row>
    <row r="64" spans="1:12" s="30" customFormat="1" ht="15.6" x14ac:dyDescent="0.3">
      <c r="C64" s="29" t="s">
        <v>172</v>
      </c>
      <c r="D64" s="35"/>
      <c r="E64" s="35"/>
      <c r="F64" s="36"/>
      <c r="G64" s="35"/>
      <c r="H64" s="35"/>
      <c r="I64" s="36"/>
      <c r="J64" s="35"/>
      <c r="K64" s="35"/>
    </row>
    <row r="65" spans="1:12" x14ac:dyDescent="0.3">
      <c r="C65" s="3" t="s">
        <v>173</v>
      </c>
      <c r="D65" s="22">
        <f ca="1">CNYM</f>
        <v>0</v>
      </c>
      <c r="E65" s="22">
        <f ca="1">CBNYM</f>
        <v>0</v>
      </c>
      <c r="F65" s="20"/>
      <c r="G65" s="22">
        <f ca="1">CNYQ</f>
        <v>0</v>
      </c>
      <c r="H65" s="22">
        <f ca="1">CBNYQ</f>
        <v>0</v>
      </c>
      <c r="I65" s="20"/>
      <c r="J65" s="22">
        <f ca="1">CNYY</f>
        <v>0</v>
      </c>
      <c r="K65" s="22">
        <f ca="1">CBNYY</f>
        <v>0</v>
      </c>
    </row>
    <row r="66" spans="1:12" x14ac:dyDescent="0.3">
      <c r="A66" s="1" t="s">
        <v>124</v>
      </c>
      <c r="B66" s="1" t="s">
        <v>125</v>
      </c>
      <c r="C66" s="3" t="s">
        <v>174</v>
      </c>
      <c r="D66" s="22">
        <f ca="1">CNYM</f>
        <v>0</v>
      </c>
      <c r="E66" s="22">
        <f ca="1">CBNYM</f>
        <v>0</v>
      </c>
      <c r="F66" s="20"/>
      <c r="G66" s="22">
        <f ca="1">CNYQ</f>
        <v>0</v>
      </c>
      <c r="H66" s="22">
        <f ca="1">CBNYQ</f>
        <v>0</v>
      </c>
      <c r="I66" s="20"/>
      <c r="J66" s="22">
        <f ca="1">CNYY</f>
        <v>0</v>
      </c>
      <c r="K66" s="22">
        <f ca="1">CBNYY</f>
        <v>0</v>
      </c>
    </row>
    <row r="67" spans="1:12" ht="15" thickBot="1" x14ac:dyDescent="0.35">
      <c r="C67" s="3" t="s">
        <v>175</v>
      </c>
      <c r="D67" s="40"/>
      <c r="E67" s="40">
        <f ca="1">CBNYM</f>
        <v>0</v>
      </c>
      <c r="F67" s="20"/>
      <c r="G67" s="40">
        <f ca="1">CNYQ</f>
        <v>0</v>
      </c>
      <c r="H67" s="40">
        <f ca="1">CBNYQ</f>
        <v>0</v>
      </c>
      <c r="I67" s="20"/>
      <c r="J67" s="40">
        <f ca="1">CNYY</f>
        <v>0</v>
      </c>
      <c r="K67" s="40">
        <f ca="1">CBNYY</f>
        <v>0</v>
      </c>
    </row>
    <row r="68" spans="1:12" ht="15" thickTop="1" x14ac:dyDescent="0.3">
      <c r="D68" s="41"/>
      <c r="E68" s="41"/>
      <c r="F68" s="42"/>
      <c r="G68" s="41"/>
      <c r="H68" s="41"/>
      <c r="I68" s="42"/>
      <c r="J68" s="41"/>
      <c r="K68" s="41"/>
      <c r="L68" s="43"/>
    </row>
    <row r="69" spans="1:12" s="29" customFormat="1" ht="15.6" x14ac:dyDescent="0.3">
      <c r="C69" s="29" t="s">
        <v>176</v>
      </c>
      <c r="D69" s="44">
        <f ca="1">D56-D59-D60-D61-D62-D65-D66-D67</f>
        <v>480120.43000000011</v>
      </c>
      <c r="E69" s="44">
        <f ca="1">E56-E59-E60-E61-E62-E65-E66-E67</f>
        <v>103313.20999999982</v>
      </c>
      <c r="F69" s="32"/>
      <c r="G69" s="44">
        <f t="shared" ref="G69:H69" ca="1" si="18">G56-G59-G60-G61-G62-G65-G66-G67</f>
        <v>480120.43000000011</v>
      </c>
      <c r="H69" s="44">
        <f t="shared" ca="1" si="18"/>
        <v>103313.20999999982</v>
      </c>
      <c r="I69" s="32"/>
      <c r="J69" s="44">
        <f t="shared" ref="J69:K69" ca="1" si="19">J56-J59-J60-J61-J62-J65-J66-J67</f>
        <v>480120.43000000011</v>
      </c>
      <c r="K69" s="44">
        <f t="shared" ca="1" si="19"/>
        <v>103313.20999999982</v>
      </c>
    </row>
    <row r="71" spans="1:12" x14ac:dyDescent="0.3">
      <c r="K71" s="1">
        <v>111382</v>
      </c>
    </row>
    <row r="72" spans="1:12" x14ac:dyDescent="0.3">
      <c r="K72" s="59">
        <f ca="1">+K69-K71</f>
        <v>-8068.7900000001828</v>
      </c>
    </row>
    <row r="80" spans="1:12" outlineLevel="1" x14ac:dyDescent="0.3">
      <c r="A80" s="73" t="s">
        <v>223</v>
      </c>
      <c r="B80" s="66" t="s">
        <v>322</v>
      </c>
      <c r="C80" s="66"/>
      <c r="D80" s="66"/>
      <c r="E80" s="66"/>
      <c r="F80" s="66"/>
      <c r="G80" s="66"/>
      <c r="H80" s="67"/>
    </row>
    <row r="81" spans="1:8" outlineLevel="1" x14ac:dyDescent="0.3">
      <c r="A81" s="74" t="s">
        <v>225</v>
      </c>
      <c r="B81" s="1" t="s">
        <v>323</v>
      </c>
      <c r="H81" s="69"/>
    </row>
    <row r="82" spans="1:8" outlineLevel="1" x14ac:dyDescent="0.3">
      <c r="A82" s="74" t="s">
        <v>287</v>
      </c>
      <c r="B82" s="1" t="s">
        <v>324</v>
      </c>
      <c r="H82" s="69"/>
    </row>
    <row r="83" spans="1:8" outlineLevel="1" x14ac:dyDescent="0.3">
      <c r="A83" s="74" t="s">
        <v>222</v>
      </c>
      <c r="B83" s="1" t="s">
        <v>325</v>
      </c>
      <c r="H83" s="69"/>
    </row>
    <row r="84" spans="1:8" outlineLevel="1" x14ac:dyDescent="0.3">
      <c r="A84" s="74" t="s">
        <v>224</v>
      </c>
      <c r="B84" s="1" t="s">
        <v>326</v>
      </c>
      <c r="H84" s="69"/>
    </row>
    <row r="85" spans="1:8" outlineLevel="1" x14ac:dyDescent="0.3">
      <c r="A85" s="74" t="s">
        <v>288</v>
      </c>
      <c r="B85" s="1" t="s">
        <v>327</v>
      </c>
      <c r="H85" s="69"/>
    </row>
    <row r="86" spans="1:8" outlineLevel="1" x14ac:dyDescent="0.3">
      <c r="A86" s="74" t="s">
        <v>289</v>
      </c>
      <c r="B86" s="1" t="s">
        <v>328</v>
      </c>
      <c r="H86" s="69"/>
    </row>
    <row r="87" spans="1:8" outlineLevel="1" x14ac:dyDescent="0.3">
      <c r="A87" s="74" t="s">
        <v>290</v>
      </c>
      <c r="B87" s="1" t="s">
        <v>329</v>
      </c>
      <c r="H87" s="69"/>
    </row>
    <row r="88" spans="1:8" outlineLevel="1" x14ac:dyDescent="0.3">
      <c r="A88" s="74" t="s">
        <v>291</v>
      </c>
      <c r="B88" s="1" t="s">
        <v>330</v>
      </c>
      <c r="H88" s="69"/>
    </row>
    <row r="89" spans="1:8" outlineLevel="1" x14ac:dyDescent="0.3">
      <c r="A89" s="74" t="s">
        <v>292</v>
      </c>
      <c r="B89" s="1" t="s">
        <v>331</v>
      </c>
      <c r="H89" s="69"/>
    </row>
    <row r="90" spans="1:8" outlineLevel="1" x14ac:dyDescent="0.3">
      <c r="A90" s="74" t="s">
        <v>293</v>
      </c>
      <c r="B90" s="1" t="s">
        <v>332</v>
      </c>
      <c r="H90" s="69"/>
    </row>
    <row r="91" spans="1:8" outlineLevel="1" x14ac:dyDescent="0.3">
      <c r="A91" s="74" t="s">
        <v>294</v>
      </c>
      <c r="B91" s="1" t="s">
        <v>333</v>
      </c>
      <c r="H91" s="69"/>
    </row>
    <row r="92" spans="1:8" outlineLevel="1" x14ac:dyDescent="0.3">
      <c r="A92" s="74" t="s">
        <v>295</v>
      </c>
      <c r="B92" s="1" t="s">
        <v>334</v>
      </c>
      <c r="H92" s="69"/>
    </row>
    <row r="93" spans="1:8" outlineLevel="1" x14ac:dyDescent="0.3">
      <c r="A93" s="74" t="s">
        <v>296</v>
      </c>
      <c r="B93" s="1" t="s">
        <v>335</v>
      </c>
      <c r="H93" s="69"/>
    </row>
    <row r="94" spans="1:8" outlineLevel="1" x14ac:dyDescent="0.3">
      <c r="A94" s="74" t="s">
        <v>297</v>
      </c>
      <c r="B94" s="1" t="s">
        <v>336</v>
      </c>
      <c r="H94" s="69"/>
    </row>
    <row r="95" spans="1:8" outlineLevel="1" x14ac:dyDescent="0.3">
      <c r="A95" s="74" t="s">
        <v>298</v>
      </c>
      <c r="B95" s="1" t="s">
        <v>337</v>
      </c>
      <c r="H95" s="69"/>
    </row>
    <row r="96" spans="1:8" outlineLevel="1" x14ac:dyDescent="0.3">
      <c r="A96" s="74" t="s">
        <v>299</v>
      </c>
      <c r="B96" s="1" t="s">
        <v>338</v>
      </c>
      <c r="H96" s="69"/>
    </row>
    <row r="97" spans="1:8" outlineLevel="1" x14ac:dyDescent="0.3">
      <c r="A97" s="74" t="s">
        <v>300</v>
      </c>
      <c r="B97" s="1" t="s">
        <v>339</v>
      </c>
      <c r="H97" s="69"/>
    </row>
    <row r="98" spans="1:8" ht="15" outlineLevel="1" thickBot="1" x14ac:dyDescent="0.35">
      <c r="A98" s="75" t="s">
        <v>301</v>
      </c>
      <c r="B98" s="71" t="s">
        <v>340</v>
      </c>
      <c r="C98" s="71"/>
      <c r="D98" s="71"/>
      <c r="E98" s="71"/>
      <c r="F98" s="71"/>
      <c r="G98" s="71"/>
      <c r="H98" s="72"/>
    </row>
    <row r="99" spans="1:8" x14ac:dyDescent="0.3">
      <c r="A99" s="2" t="s">
        <v>321</v>
      </c>
    </row>
  </sheetData>
  <mergeCells count="1">
    <mergeCell ref="C1:L1"/>
  </mergeCells>
  <pageMargins left="0.45" right="0.45" top="0.5" bottom="0.25" header="0.05" footer="0.05"/>
  <pageSetup scale="67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REFERENCE!$A$2:$A$13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1" sqref="C31"/>
    </sheetView>
  </sheetViews>
  <sheetFormatPr defaultRowHeight="14.4" x14ac:dyDescent="0.3"/>
  <cols>
    <col min="1" max="1" width="12" bestFit="1" customWidth="1"/>
    <col min="2" max="2" width="31.21875" bestFit="1" customWidth="1"/>
    <col min="3" max="9" width="11" bestFit="1" customWidth="1"/>
    <col min="10" max="12" width="10" bestFit="1" customWidth="1"/>
    <col min="13" max="19" width="11" bestFit="1" customWidth="1"/>
    <col min="20" max="20" width="10" bestFit="1" customWidth="1"/>
    <col min="21" max="22" width="11" bestFit="1" customWidth="1"/>
    <col min="23" max="23" width="10" bestFit="1" customWidth="1"/>
    <col min="24" max="24" width="11" bestFit="1" customWidth="1"/>
    <col min="25" max="26" width="10" bestFit="1" customWidth="1"/>
    <col min="27" max="27" width="11" bestFit="1" customWidth="1"/>
    <col min="28" max="28" width="10" bestFit="1" customWidth="1"/>
    <col min="29" max="29" width="9.77734375" bestFit="1" customWidth="1"/>
    <col min="30" max="32" width="8" bestFit="1" customWidth="1"/>
    <col min="33" max="38" width="7.77734375" bestFit="1" customWidth="1"/>
    <col min="39" max="50" width="9" bestFit="1" customWidth="1"/>
    <col min="51" max="53" width="11" bestFit="1" customWidth="1"/>
    <col min="54" max="54" width="10" bestFit="1" customWidth="1"/>
    <col min="55" max="59" width="11" bestFit="1" customWidth="1"/>
    <col min="60" max="61" width="10" bestFit="1" customWidth="1"/>
    <col min="62" max="64" width="11" bestFit="1" customWidth="1"/>
    <col min="65" max="67" width="10" bestFit="1" customWidth="1"/>
    <col min="68" max="69" width="11" bestFit="1" customWidth="1"/>
    <col min="70" max="74" width="10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t="s">
        <v>74</v>
      </c>
      <c r="B2" t="s">
        <v>75</v>
      </c>
      <c r="C2">
        <v>1125101.1100000001</v>
      </c>
      <c r="D2">
        <v>1174153.81</v>
      </c>
      <c r="E2">
        <v>1306564.99</v>
      </c>
      <c r="F2">
        <v>1219494.3799999999</v>
      </c>
      <c r="G2">
        <v>1421797.93</v>
      </c>
      <c r="H2">
        <v>1406953.17</v>
      </c>
      <c r="I2">
        <v>1415502.01</v>
      </c>
      <c r="J2">
        <v>805900.75</v>
      </c>
      <c r="K2">
        <v>920773.58</v>
      </c>
      <c r="L2">
        <v>659552.55000000005</v>
      </c>
      <c r="M2">
        <v>1048904.93</v>
      </c>
      <c r="N2">
        <v>1140859.45</v>
      </c>
      <c r="O2">
        <v>1101854.26</v>
      </c>
      <c r="P2">
        <v>1439577.65</v>
      </c>
      <c r="Q2">
        <v>1136161.18</v>
      </c>
      <c r="R2">
        <v>1226515.44</v>
      </c>
      <c r="S2">
        <v>1096604.05</v>
      </c>
      <c r="T2">
        <v>1472597.5</v>
      </c>
      <c r="U2">
        <v>1751603.36</v>
      </c>
      <c r="V2">
        <v>1261046.72</v>
      </c>
      <c r="W2">
        <v>848344.56</v>
      </c>
      <c r="X2">
        <v>1000297.58</v>
      </c>
      <c r="Y2">
        <v>708412.51</v>
      </c>
      <c r="Z2">
        <v>998987.72</v>
      </c>
      <c r="AA2">
        <v>1586011.55</v>
      </c>
      <c r="AB2">
        <v>899683.19</v>
      </c>
      <c r="AC2">
        <v>771.75</v>
      </c>
      <c r="AD2">
        <v>771.75</v>
      </c>
      <c r="AE2">
        <v>771.75</v>
      </c>
      <c r="AF2">
        <v>771.75</v>
      </c>
      <c r="AG2">
        <v>771.75</v>
      </c>
      <c r="AH2">
        <v>771.75</v>
      </c>
      <c r="AI2">
        <v>771.75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1171090.9099999999</v>
      </c>
      <c r="AZ2">
        <v>2085140.5</v>
      </c>
      <c r="BA2">
        <v>1066903.73</v>
      </c>
      <c r="BB2">
        <v>1196026.8</v>
      </c>
      <c r="BC2">
        <v>1048255.61</v>
      </c>
      <c r="BD2">
        <v>2237545.14</v>
      </c>
      <c r="BE2">
        <v>1618727.12</v>
      </c>
      <c r="BF2">
        <v>1380928.17</v>
      </c>
      <c r="BG2">
        <v>1138805.8700000001</v>
      </c>
      <c r="BH2">
        <v>738559.19</v>
      </c>
      <c r="BI2">
        <v>810168.81</v>
      </c>
      <c r="BJ2">
        <v>1222999.1499999999</v>
      </c>
      <c r="BK2">
        <v>1627169.17</v>
      </c>
      <c r="BL2">
        <v>2215616.64</v>
      </c>
      <c r="BM2">
        <v>1048863.8999999999</v>
      </c>
      <c r="BN2">
        <v>813611.57</v>
      </c>
      <c r="BO2">
        <v>949913.8</v>
      </c>
      <c r="BP2">
        <v>3768364.54</v>
      </c>
      <c r="BQ2">
        <v>2113905.34</v>
      </c>
      <c r="BR2">
        <v>929872.62</v>
      </c>
      <c r="BS2">
        <v>859493.39</v>
      </c>
      <c r="BT2">
        <v>676738.61</v>
      </c>
      <c r="BU2">
        <v>836697.84</v>
      </c>
      <c r="BV2">
        <v>584879.92000000004</v>
      </c>
    </row>
    <row r="3" spans="1:74" x14ac:dyDescent="0.3">
      <c r="A3" t="s">
        <v>76</v>
      </c>
      <c r="B3" t="s">
        <v>77</v>
      </c>
      <c r="C3">
        <v>35559.51</v>
      </c>
      <c r="D3">
        <v>33343.03</v>
      </c>
      <c r="E3">
        <v>35628.620000000003</v>
      </c>
      <c r="F3">
        <v>36408.44</v>
      </c>
      <c r="G3">
        <v>43945.08</v>
      </c>
      <c r="H3">
        <v>38083.22</v>
      </c>
      <c r="I3">
        <v>41771.35</v>
      </c>
      <c r="J3">
        <v>37202.06</v>
      </c>
      <c r="K3">
        <v>58707.35</v>
      </c>
      <c r="L3">
        <v>25193.35</v>
      </c>
      <c r="M3">
        <v>24798.03</v>
      </c>
      <c r="N3">
        <v>30167.91</v>
      </c>
      <c r="O3">
        <v>50661.55</v>
      </c>
      <c r="P3">
        <v>39317.660000000003</v>
      </c>
      <c r="Q3">
        <v>44711.79</v>
      </c>
      <c r="R3">
        <v>37419.519999999997</v>
      </c>
      <c r="S3">
        <v>32659.1</v>
      </c>
      <c r="T3">
        <v>31905.85</v>
      </c>
      <c r="U3">
        <v>33598.379999999997</v>
      </c>
      <c r="V3">
        <v>33561.33</v>
      </c>
      <c r="W3">
        <v>48427.68</v>
      </c>
      <c r="X3">
        <v>29923.66</v>
      </c>
      <c r="Y3">
        <v>31573.439999999999</v>
      </c>
      <c r="Z3">
        <v>34602.1</v>
      </c>
      <c r="AA3">
        <v>32068.25</v>
      </c>
      <c r="AB3">
        <v>25553.84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41242.519999999997</v>
      </c>
      <c r="AN3">
        <v>38616.51</v>
      </c>
      <c r="AO3">
        <v>41688.949999999997</v>
      </c>
      <c r="AP3">
        <v>40627.919999999998</v>
      </c>
      <c r="AQ3">
        <v>45204.54</v>
      </c>
      <c r="AR3">
        <v>36500.449999999997</v>
      </c>
      <c r="AS3">
        <v>42193.91</v>
      </c>
      <c r="AT3">
        <v>40940.44</v>
      </c>
      <c r="AU3">
        <v>57175.44</v>
      </c>
      <c r="AV3">
        <v>34237.040000000001</v>
      </c>
      <c r="AW3">
        <v>33694.6</v>
      </c>
      <c r="AX3">
        <v>40730.639999999999</v>
      </c>
      <c r="AY3">
        <v>37059.5</v>
      </c>
      <c r="AZ3">
        <v>33514.94</v>
      </c>
      <c r="BA3">
        <v>36820.49</v>
      </c>
      <c r="BB3">
        <v>35936.400000000001</v>
      </c>
      <c r="BC3">
        <v>42010.06</v>
      </c>
      <c r="BD3">
        <v>35326.629999999997</v>
      </c>
      <c r="BE3">
        <v>37387.17</v>
      </c>
      <c r="BF3">
        <v>34986.65</v>
      </c>
      <c r="BG3">
        <v>56892.73</v>
      </c>
      <c r="BH3">
        <v>25000.63</v>
      </c>
      <c r="BI3">
        <v>26081.21</v>
      </c>
      <c r="BJ3">
        <v>31928.639999999999</v>
      </c>
      <c r="BK3">
        <v>36160.18</v>
      </c>
      <c r="BL3">
        <v>35823.69</v>
      </c>
      <c r="BM3">
        <v>37584.76</v>
      </c>
      <c r="BN3">
        <v>37593.269999999997</v>
      </c>
      <c r="BO3">
        <v>35520.730000000003</v>
      </c>
      <c r="BP3">
        <v>35253.43</v>
      </c>
      <c r="BQ3">
        <v>38394.42</v>
      </c>
      <c r="BR3">
        <v>39446.15</v>
      </c>
      <c r="BS3">
        <v>53436.77</v>
      </c>
      <c r="BT3">
        <v>32417.08</v>
      </c>
      <c r="BU3">
        <v>33002.19</v>
      </c>
      <c r="BV3">
        <v>38920.29</v>
      </c>
    </row>
    <row r="4" spans="1:74" x14ac:dyDescent="0.3">
      <c r="A4" t="s">
        <v>78</v>
      </c>
      <c r="B4" t="s">
        <v>79</v>
      </c>
      <c r="C4">
        <v>14522.29</v>
      </c>
      <c r="D4">
        <v>13914.12</v>
      </c>
      <c r="E4">
        <v>13003.33</v>
      </c>
      <c r="F4">
        <v>14460.35</v>
      </c>
      <c r="G4">
        <v>16721.84</v>
      </c>
      <c r="H4">
        <v>14506.69</v>
      </c>
      <c r="I4">
        <v>17348.689999999999</v>
      </c>
      <c r="J4">
        <v>14750.64</v>
      </c>
      <c r="K4">
        <v>24593.33</v>
      </c>
      <c r="L4">
        <v>10393.370000000001</v>
      </c>
      <c r="M4">
        <v>10820.9</v>
      </c>
      <c r="N4">
        <v>13851.05</v>
      </c>
      <c r="O4">
        <v>23590.74</v>
      </c>
      <c r="P4">
        <v>17346.2</v>
      </c>
      <c r="Q4">
        <v>19370.66</v>
      </c>
      <c r="R4">
        <v>13908.37</v>
      </c>
      <c r="S4">
        <v>13099.53</v>
      </c>
      <c r="T4">
        <v>15836.28</v>
      </c>
      <c r="U4">
        <v>13314.6</v>
      </c>
      <c r="V4">
        <v>9710.2999999999993</v>
      </c>
      <c r="W4">
        <v>19299.919999999998</v>
      </c>
      <c r="X4">
        <v>12408.63</v>
      </c>
      <c r="Y4">
        <v>12520.03</v>
      </c>
      <c r="Z4">
        <v>14000.95</v>
      </c>
      <c r="AA4">
        <v>12255.35</v>
      </c>
      <c r="AB4">
        <v>7604.52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15766.39</v>
      </c>
      <c r="AN4">
        <v>14972.18</v>
      </c>
      <c r="AO4">
        <v>16068.68</v>
      </c>
      <c r="AP4">
        <v>15720.84</v>
      </c>
      <c r="AQ4">
        <v>16915.75</v>
      </c>
      <c r="AR4">
        <v>14140.39</v>
      </c>
      <c r="AS4">
        <v>16241.83</v>
      </c>
      <c r="AT4">
        <v>16230.75</v>
      </c>
      <c r="AU4">
        <v>22446.94</v>
      </c>
      <c r="AV4">
        <v>13434.54</v>
      </c>
      <c r="AW4">
        <v>12831.11</v>
      </c>
      <c r="AX4">
        <v>15294.81</v>
      </c>
      <c r="AY4">
        <v>14913.46</v>
      </c>
      <c r="AZ4">
        <v>14409.75</v>
      </c>
      <c r="BA4">
        <v>14520.64</v>
      </c>
      <c r="BB4">
        <v>14191.46</v>
      </c>
      <c r="BC4">
        <v>16619.52</v>
      </c>
      <c r="BD4">
        <v>13886.97</v>
      </c>
      <c r="BE4">
        <v>15966.45</v>
      </c>
      <c r="BF4">
        <v>13996.85</v>
      </c>
      <c r="BG4">
        <v>20994.94</v>
      </c>
      <c r="BH4">
        <v>11178.37</v>
      </c>
      <c r="BI4">
        <v>11142.66</v>
      </c>
      <c r="BJ4">
        <v>15039.43</v>
      </c>
      <c r="BK4">
        <v>14737.38</v>
      </c>
      <c r="BL4">
        <v>14785.21</v>
      </c>
      <c r="BM4">
        <v>15053.45</v>
      </c>
      <c r="BN4">
        <v>15350.54</v>
      </c>
      <c r="BO4">
        <v>14709.24</v>
      </c>
      <c r="BP4">
        <v>14356.76</v>
      </c>
      <c r="BQ4">
        <v>15637.68</v>
      </c>
      <c r="BR4">
        <v>15924.62</v>
      </c>
      <c r="BS4">
        <v>21548.51</v>
      </c>
      <c r="BT4">
        <v>13509.13</v>
      </c>
      <c r="BU4">
        <v>13800.11</v>
      </c>
      <c r="BV4">
        <v>15982.93</v>
      </c>
    </row>
    <row r="5" spans="1:74" x14ac:dyDescent="0.3">
      <c r="A5" t="s">
        <v>80</v>
      </c>
      <c r="B5" t="s">
        <v>81</v>
      </c>
      <c r="C5">
        <v>577558.09</v>
      </c>
      <c r="D5">
        <v>607380.36</v>
      </c>
      <c r="E5">
        <v>708712.53</v>
      </c>
      <c r="F5">
        <v>610312.55000000005</v>
      </c>
      <c r="G5">
        <v>773614.41</v>
      </c>
      <c r="H5">
        <v>737264.15</v>
      </c>
      <c r="I5">
        <v>737618.12</v>
      </c>
      <c r="J5">
        <v>388896.42</v>
      </c>
      <c r="K5">
        <v>471673.41</v>
      </c>
      <c r="L5">
        <v>311513.24</v>
      </c>
      <c r="M5">
        <v>567757.71</v>
      </c>
      <c r="N5">
        <v>564626.82999999996</v>
      </c>
      <c r="O5">
        <v>578137.84</v>
      </c>
      <c r="P5">
        <v>798212.77</v>
      </c>
      <c r="Q5">
        <v>489962.61</v>
      </c>
      <c r="R5">
        <v>619379.55000000005</v>
      </c>
      <c r="S5">
        <v>429425.2</v>
      </c>
      <c r="T5">
        <v>659937.16</v>
      </c>
      <c r="U5">
        <v>883718.46</v>
      </c>
      <c r="V5">
        <v>529902.48</v>
      </c>
      <c r="W5">
        <v>533341.1</v>
      </c>
      <c r="X5">
        <v>386253.76</v>
      </c>
      <c r="Y5">
        <v>301298.51</v>
      </c>
      <c r="Z5">
        <v>531731.16</v>
      </c>
      <c r="AA5">
        <v>807258.39</v>
      </c>
      <c r="AB5">
        <v>482.32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620595.81000000006</v>
      </c>
      <c r="AZ5">
        <v>1062927.75</v>
      </c>
      <c r="BA5">
        <v>497277.23</v>
      </c>
      <c r="BB5">
        <v>594075.06999999995</v>
      </c>
      <c r="BC5">
        <v>504164.98</v>
      </c>
      <c r="BD5">
        <v>1162527.3400000001</v>
      </c>
      <c r="BE5">
        <v>817061.61</v>
      </c>
      <c r="BF5">
        <v>707377.02</v>
      </c>
      <c r="BG5">
        <v>552355.55000000005</v>
      </c>
      <c r="BH5">
        <v>371618.49</v>
      </c>
      <c r="BI5">
        <v>409727.43</v>
      </c>
      <c r="BJ5">
        <v>524192.19</v>
      </c>
      <c r="BK5">
        <v>915281.75</v>
      </c>
      <c r="BL5">
        <v>1237470.42</v>
      </c>
      <c r="BM5">
        <v>566126.76</v>
      </c>
      <c r="BN5">
        <v>435769.03</v>
      </c>
      <c r="BO5">
        <v>493214.52</v>
      </c>
      <c r="BP5">
        <v>2172432.4</v>
      </c>
      <c r="BQ5">
        <v>1131567.1000000001</v>
      </c>
      <c r="BR5">
        <v>461898.06</v>
      </c>
      <c r="BS5">
        <v>432378.99</v>
      </c>
      <c r="BT5">
        <v>344362</v>
      </c>
      <c r="BU5">
        <v>308072.21999999997</v>
      </c>
      <c r="BV5">
        <v>286945.82</v>
      </c>
    </row>
    <row r="6" spans="1:74" x14ac:dyDescent="0.3">
      <c r="A6" t="s">
        <v>82</v>
      </c>
      <c r="B6" t="s">
        <v>83</v>
      </c>
      <c r="C6">
        <v>130467.34</v>
      </c>
      <c r="D6">
        <v>200729.77</v>
      </c>
      <c r="E6">
        <v>194797.53</v>
      </c>
      <c r="F6">
        <v>171346</v>
      </c>
      <c r="G6">
        <v>106190.35</v>
      </c>
      <c r="H6">
        <v>207189.97</v>
      </c>
      <c r="I6">
        <v>152111.57</v>
      </c>
      <c r="J6">
        <v>150502.15</v>
      </c>
      <c r="K6">
        <v>80390.37</v>
      </c>
      <c r="L6">
        <v>86557.119999999995</v>
      </c>
      <c r="M6">
        <v>60886.62</v>
      </c>
      <c r="N6">
        <v>178973.54</v>
      </c>
      <c r="O6">
        <v>74829.72</v>
      </c>
      <c r="P6">
        <v>90967.24</v>
      </c>
      <c r="Q6">
        <v>216029.23</v>
      </c>
      <c r="R6">
        <v>56454.57</v>
      </c>
      <c r="S6">
        <v>209599.03</v>
      </c>
      <c r="T6">
        <v>145862.01999999999</v>
      </c>
      <c r="U6">
        <v>296880.37</v>
      </c>
      <c r="V6">
        <v>103275.55</v>
      </c>
      <c r="W6">
        <v>251289.18</v>
      </c>
      <c r="X6">
        <v>105208.22</v>
      </c>
      <c r="Y6">
        <v>178293.91</v>
      </c>
      <c r="Z6">
        <v>29002.959999999999</v>
      </c>
      <c r="AA6">
        <v>96795.05</v>
      </c>
      <c r="AB6">
        <v>6755.19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1965.07</v>
      </c>
      <c r="AN6">
        <v>261.27999999999997</v>
      </c>
      <c r="AO6">
        <v>2754.43</v>
      </c>
      <c r="AP6">
        <v>1244.44</v>
      </c>
      <c r="AQ6">
        <v>3222.2</v>
      </c>
      <c r="AR6">
        <v>-741.9</v>
      </c>
      <c r="AS6">
        <v>482</v>
      </c>
      <c r="AT6">
        <v>250.02</v>
      </c>
      <c r="AU6">
        <v>1146.06</v>
      </c>
      <c r="AV6">
        <v>422.09</v>
      </c>
      <c r="AW6">
        <v>1691.29</v>
      </c>
      <c r="AX6">
        <v>1629.54</v>
      </c>
      <c r="AY6">
        <v>82449.64</v>
      </c>
      <c r="AZ6">
        <v>209623.07</v>
      </c>
      <c r="BA6">
        <v>175210.81</v>
      </c>
      <c r="BB6">
        <v>153026.1</v>
      </c>
      <c r="BC6">
        <v>126655.88</v>
      </c>
      <c r="BD6">
        <v>144250.62</v>
      </c>
      <c r="BE6">
        <v>284971.3</v>
      </c>
      <c r="BF6">
        <v>193146.95</v>
      </c>
      <c r="BG6">
        <v>186067.38</v>
      </c>
      <c r="BH6">
        <v>88067.11</v>
      </c>
      <c r="BI6">
        <v>82660.73</v>
      </c>
      <c r="BJ6">
        <v>119551.63</v>
      </c>
      <c r="BK6">
        <v>134827.70000000001</v>
      </c>
      <c r="BL6">
        <v>181953.39</v>
      </c>
      <c r="BM6">
        <v>206775.28</v>
      </c>
      <c r="BN6">
        <v>116403.01</v>
      </c>
      <c r="BO6">
        <v>123150.31</v>
      </c>
      <c r="BP6">
        <v>161067.42000000001</v>
      </c>
      <c r="BQ6">
        <v>302511.49</v>
      </c>
      <c r="BR6">
        <v>124632.66</v>
      </c>
      <c r="BS6">
        <v>197995.81</v>
      </c>
      <c r="BT6">
        <v>94288.74</v>
      </c>
      <c r="BU6">
        <v>56126.09</v>
      </c>
      <c r="BV6">
        <v>107649.78</v>
      </c>
    </row>
    <row r="7" spans="1:74" x14ac:dyDescent="0.3">
      <c r="A7" t="s">
        <v>84</v>
      </c>
      <c r="B7" t="s">
        <v>85</v>
      </c>
      <c r="C7">
        <v>0</v>
      </c>
      <c r="D7">
        <v>16.73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5835.15</v>
      </c>
      <c r="P7">
        <v>9148.5499999999993</v>
      </c>
      <c r="Q7">
        <v>8950.68</v>
      </c>
      <c r="R7">
        <v>6894.23</v>
      </c>
      <c r="S7">
        <v>7974.1</v>
      </c>
      <c r="T7">
        <v>7749.59</v>
      </c>
      <c r="U7">
        <v>7808.37</v>
      </c>
      <c r="V7">
        <v>8028.77</v>
      </c>
      <c r="W7">
        <v>8238.25</v>
      </c>
      <c r="X7">
        <v>8024.12</v>
      </c>
      <c r="Y7">
        <v>7447.46</v>
      </c>
      <c r="Z7">
        <v>7455.07</v>
      </c>
      <c r="AA7">
        <v>8147.77</v>
      </c>
      <c r="AB7">
        <v>1000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6814.82</v>
      </c>
      <c r="AZ7">
        <v>6823.91</v>
      </c>
      <c r="BA7">
        <v>6749.93</v>
      </c>
      <c r="BB7">
        <v>6788.07</v>
      </c>
      <c r="BC7">
        <v>6858.31</v>
      </c>
      <c r="BD7">
        <v>7006.8</v>
      </c>
      <c r="BE7">
        <v>7006.8</v>
      </c>
      <c r="BF7">
        <v>6988.07</v>
      </c>
      <c r="BG7">
        <v>6930.53</v>
      </c>
      <c r="BH7">
        <v>7009.57</v>
      </c>
      <c r="BI7">
        <v>7428.98</v>
      </c>
      <c r="BJ7">
        <v>7801.68</v>
      </c>
      <c r="BK7">
        <v>9502.85</v>
      </c>
      <c r="BL7">
        <v>9351.76</v>
      </c>
      <c r="BM7">
        <v>9675.7800000000007</v>
      </c>
      <c r="BN7">
        <v>9859.66</v>
      </c>
      <c r="BO7">
        <v>9733.89</v>
      </c>
      <c r="BP7">
        <v>9812.07</v>
      </c>
      <c r="BQ7">
        <v>9822.77</v>
      </c>
      <c r="BR7">
        <v>9667.1299999999992</v>
      </c>
      <c r="BS7">
        <v>9635.7199999999993</v>
      </c>
      <c r="BT7">
        <v>9550.7199999999993</v>
      </c>
      <c r="BU7">
        <v>9537.7199999999993</v>
      </c>
      <c r="BV7">
        <v>9725.7199999999993</v>
      </c>
    </row>
    <row r="8" spans="1:74" x14ac:dyDescent="0.3">
      <c r="A8" t="s">
        <v>86</v>
      </c>
      <c r="B8" t="s">
        <v>87</v>
      </c>
      <c r="C8">
        <v>0</v>
      </c>
      <c r="D8">
        <v>1177.8</v>
      </c>
      <c r="E8">
        <v>1000</v>
      </c>
      <c r="F8">
        <v>-3350.56</v>
      </c>
      <c r="G8">
        <v>0</v>
      </c>
      <c r="H8">
        <v>3412.07</v>
      </c>
      <c r="I8">
        <v>0</v>
      </c>
      <c r="J8">
        <v>200</v>
      </c>
      <c r="K8">
        <v>228.27</v>
      </c>
      <c r="L8">
        <v>0</v>
      </c>
      <c r="M8">
        <v>0</v>
      </c>
      <c r="N8">
        <v>-28633.64</v>
      </c>
      <c r="O8">
        <v>-311.26</v>
      </c>
      <c r="P8">
        <v>0</v>
      </c>
      <c r="Q8">
        <v>0</v>
      </c>
      <c r="R8">
        <v>-2468.2600000000002</v>
      </c>
      <c r="S8">
        <v>-193.4</v>
      </c>
      <c r="T8">
        <v>8441.34</v>
      </c>
      <c r="U8">
        <v>38.19</v>
      </c>
      <c r="V8">
        <v>2163.7199999999998</v>
      </c>
      <c r="W8">
        <v>136.12</v>
      </c>
      <c r="X8">
        <v>0</v>
      </c>
      <c r="Y8">
        <v>0</v>
      </c>
      <c r="Z8">
        <v>60423.040000000001</v>
      </c>
      <c r="AA8">
        <v>-1224.1500000000001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200</v>
      </c>
      <c r="AZ8">
        <v>200</v>
      </c>
      <c r="BA8">
        <v>200</v>
      </c>
      <c r="BB8">
        <v>200</v>
      </c>
      <c r="BC8">
        <v>200</v>
      </c>
      <c r="BD8">
        <v>200</v>
      </c>
      <c r="BE8">
        <v>200</v>
      </c>
      <c r="BF8">
        <v>200</v>
      </c>
      <c r="BG8">
        <v>200</v>
      </c>
      <c r="BH8">
        <v>200</v>
      </c>
      <c r="BI8">
        <v>200</v>
      </c>
      <c r="BJ8">
        <v>200</v>
      </c>
      <c r="BK8">
        <v>799.15</v>
      </c>
      <c r="BL8">
        <v>878.52</v>
      </c>
      <c r="BM8">
        <v>990.13</v>
      </c>
      <c r="BN8">
        <v>886.04</v>
      </c>
      <c r="BO8">
        <v>972.8</v>
      </c>
      <c r="BP8">
        <v>1017.64</v>
      </c>
      <c r="BQ8">
        <v>953.2</v>
      </c>
      <c r="BR8">
        <v>835.88</v>
      </c>
      <c r="BS8">
        <v>1038.6199999999999</v>
      </c>
      <c r="BT8">
        <v>678.13</v>
      </c>
      <c r="BU8">
        <v>690.7</v>
      </c>
      <c r="BV8">
        <v>734.97</v>
      </c>
    </row>
    <row r="9" spans="1:74" x14ac:dyDescent="0.3">
      <c r="A9" t="s">
        <v>88</v>
      </c>
      <c r="B9" t="s">
        <v>89</v>
      </c>
      <c r="C9">
        <v>73652.66</v>
      </c>
      <c r="D9">
        <v>88600.28</v>
      </c>
      <c r="E9">
        <v>85835.14</v>
      </c>
      <c r="F9">
        <v>84565.4</v>
      </c>
      <c r="G9">
        <v>106415.51</v>
      </c>
      <c r="H9">
        <v>109977.46</v>
      </c>
      <c r="I9">
        <v>84330.97</v>
      </c>
      <c r="J9">
        <v>65436.15</v>
      </c>
      <c r="K9">
        <v>75669.100000000006</v>
      </c>
      <c r="L9">
        <v>52297.63</v>
      </c>
      <c r="M9">
        <v>60762.36</v>
      </c>
      <c r="N9">
        <v>58716.3</v>
      </c>
      <c r="O9">
        <v>77893.179999999993</v>
      </c>
      <c r="P9">
        <v>61207.73</v>
      </c>
      <c r="Q9">
        <v>61095.56</v>
      </c>
      <c r="R9">
        <v>97542.97</v>
      </c>
      <c r="S9">
        <v>75854.210000000006</v>
      </c>
      <c r="T9">
        <v>94400.11</v>
      </c>
      <c r="U9">
        <v>76227.69</v>
      </c>
      <c r="V9">
        <v>86286.62</v>
      </c>
      <c r="W9">
        <v>86773.65</v>
      </c>
      <c r="X9">
        <v>77989.41</v>
      </c>
      <c r="Y9">
        <v>66557.83</v>
      </c>
      <c r="Z9">
        <v>68157.539999999994</v>
      </c>
      <c r="AA9">
        <v>67644.69</v>
      </c>
      <c r="AB9">
        <v>149.24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97229.440000000002</v>
      </c>
      <c r="AZ9">
        <v>98757.09</v>
      </c>
      <c r="BA9">
        <v>93932.15</v>
      </c>
      <c r="BB9">
        <v>99093.88</v>
      </c>
      <c r="BC9">
        <v>97495.35</v>
      </c>
      <c r="BD9">
        <v>115827.82</v>
      </c>
      <c r="BE9">
        <v>134047.62</v>
      </c>
      <c r="BF9">
        <v>122784.28</v>
      </c>
      <c r="BG9">
        <v>103855.25</v>
      </c>
      <c r="BH9">
        <v>62341.45</v>
      </c>
      <c r="BI9">
        <v>70519.199999999997</v>
      </c>
      <c r="BJ9">
        <v>70019.899999999994</v>
      </c>
      <c r="BK9">
        <v>82282.559999999998</v>
      </c>
      <c r="BL9">
        <v>98559.71</v>
      </c>
      <c r="BM9">
        <v>89741.51</v>
      </c>
      <c r="BN9">
        <v>78969.119999999995</v>
      </c>
      <c r="BO9">
        <v>90954.95</v>
      </c>
      <c r="BP9">
        <v>96243.06</v>
      </c>
      <c r="BQ9">
        <v>90133.1</v>
      </c>
      <c r="BR9">
        <v>84556.77</v>
      </c>
      <c r="BS9">
        <v>82607.429999999993</v>
      </c>
      <c r="BT9">
        <v>64499.8</v>
      </c>
      <c r="BU9">
        <v>55183.03</v>
      </c>
      <c r="BV9">
        <v>55149.26</v>
      </c>
    </row>
    <row r="10" spans="1:74" x14ac:dyDescent="0.3">
      <c r="A10" t="s">
        <v>90</v>
      </c>
      <c r="B10" t="s">
        <v>91</v>
      </c>
      <c r="C10">
        <v>24981.52</v>
      </c>
      <c r="D10">
        <v>30194.39</v>
      </c>
      <c r="E10">
        <v>33641.49</v>
      </c>
      <c r="F10">
        <v>36782.559999999998</v>
      </c>
      <c r="G10">
        <v>39955.58</v>
      </c>
      <c r="H10">
        <v>35512.449999999997</v>
      </c>
      <c r="I10">
        <v>31497.42</v>
      </c>
      <c r="J10">
        <v>27849.49</v>
      </c>
      <c r="K10">
        <v>32134.75</v>
      </c>
      <c r="L10">
        <v>28606.21</v>
      </c>
      <c r="M10">
        <v>24151.09</v>
      </c>
      <c r="N10">
        <v>29778.31</v>
      </c>
      <c r="O10">
        <v>130483.19</v>
      </c>
      <c r="P10">
        <v>173587.02</v>
      </c>
      <c r="Q10">
        <v>41781.269999999997</v>
      </c>
      <c r="R10">
        <v>141579.75</v>
      </c>
      <c r="S10">
        <v>142916.09</v>
      </c>
      <c r="T10">
        <v>35591.599999999999</v>
      </c>
      <c r="U10">
        <v>135433.07</v>
      </c>
      <c r="V10">
        <v>120640.94</v>
      </c>
      <c r="W10">
        <v>127700.11</v>
      </c>
      <c r="X10">
        <v>128642.76</v>
      </c>
      <c r="Y10">
        <v>98852.59</v>
      </c>
      <c r="Z10">
        <v>109502.81</v>
      </c>
      <c r="AA10">
        <v>73381.72</v>
      </c>
      <c r="AB10">
        <v>-16858.28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6712.67</v>
      </c>
      <c r="AN10">
        <v>7623.82</v>
      </c>
      <c r="AO10">
        <v>7291.58</v>
      </c>
      <c r="AP10">
        <v>7615.75</v>
      </c>
      <c r="AQ10">
        <v>8659.43</v>
      </c>
      <c r="AR10">
        <v>6395.12</v>
      </c>
      <c r="AS10">
        <v>10207.469999999999</v>
      </c>
      <c r="AT10">
        <v>15152.12</v>
      </c>
      <c r="AU10">
        <v>10678.27</v>
      </c>
      <c r="AV10">
        <v>7306.9</v>
      </c>
      <c r="AW10">
        <v>7087.91</v>
      </c>
      <c r="AX10">
        <v>9724.83</v>
      </c>
      <c r="AY10">
        <v>131837.74</v>
      </c>
      <c r="AZ10">
        <v>129710.58</v>
      </c>
      <c r="BA10">
        <v>129253.81</v>
      </c>
      <c r="BB10">
        <v>121473.48</v>
      </c>
      <c r="BC10">
        <v>124947.41</v>
      </c>
      <c r="BD10">
        <v>125444.06</v>
      </c>
      <c r="BE10">
        <v>113704.89</v>
      </c>
      <c r="BF10">
        <v>111983.64</v>
      </c>
      <c r="BG10">
        <v>117963.67</v>
      </c>
      <c r="BH10">
        <v>115286.56</v>
      </c>
      <c r="BI10">
        <v>112915</v>
      </c>
      <c r="BJ10">
        <v>123277.31</v>
      </c>
      <c r="BK10">
        <v>128811.39</v>
      </c>
      <c r="BL10">
        <v>139779.34</v>
      </c>
      <c r="BM10">
        <v>138272.42000000001</v>
      </c>
      <c r="BN10">
        <v>143404.34</v>
      </c>
      <c r="BO10">
        <v>145593.28</v>
      </c>
      <c r="BP10">
        <v>138441.79999999999</v>
      </c>
      <c r="BQ10">
        <v>137428.01</v>
      </c>
      <c r="BR10">
        <v>131714.10999999999</v>
      </c>
      <c r="BS10">
        <v>133762.5</v>
      </c>
      <c r="BT10">
        <v>130696.8</v>
      </c>
      <c r="BU10">
        <v>117069.15</v>
      </c>
      <c r="BV10">
        <v>130390.11</v>
      </c>
    </row>
    <row r="11" spans="1:74" x14ac:dyDescent="0.3">
      <c r="A11" t="s">
        <v>92</v>
      </c>
      <c r="B11" t="s">
        <v>93</v>
      </c>
      <c r="C11">
        <v>369.27</v>
      </c>
      <c r="D11">
        <v>369.27</v>
      </c>
      <c r="E11">
        <v>369.27</v>
      </c>
      <c r="F11">
        <v>369.27</v>
      </c>
      <c r="G11">
        <v>369.27</v>
      </c>
      <c r="H11">
        <v>369.27</v>
      </c>
      <c r="I11">
        <v>369.27</v>
      </c>
      <c r="J11">
        <v>369.27</v>
      </c>
      <c r="K11">
        <v>369.27</v>
      </c>
      <c r="L11">
        <v>369.27</v>
      </c>
      <c r="M11">
        <v>369.27</v>
      </c>
      <c r="N11">
        <v>369.27</v>
      </c>
      <c r="O11">
        <v>3238.31</v>
      </c>
      <c r="P11">
        <v>3238.31</v>
      </c>
      <c r="Q11">
        <v>2203.13</v>
      </c>
      <c r="R11">
        <v>2893.25</v>
      </c>
      <c r="S11">
        <v>-1142.3499999999999</v>
      </c>
      <c r="T11">
        <v>2027.45</v>
      </c>
      <c r="U11">
        <v>1944.57</v>
      </c>
      <c r="V11">
        <v>3344.97</v>
      </c>
      <c r="W11">
        <v>4206.1000000000004</v>
      </c>
      <c r="X11">
        <v>4206.1000000000004</v>
      </c>
      <c r="Y11">
        <v>4023.88</v>
      </c>
      <c r="Z11">
        <v>4114.99</v>
      </c>
      <c r="AA11">
        <v>1490.03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25.03</v>
      </c>
      <c r="AN11">
        <v>25.03</v>
      </c>
      <c r="AO11">
        <v>25.03</v>
      </c>
      <c r="AP11">
        <v>25.03</v>
      </c>
      <c r="AQ11">
        <v>25.03</v>
      </c>
      <c r="AR11">
        <v>25.03</v>
      </c>
      <c r="AS11">
        <v>24.21</v>
      </c>
      <c r="AT11">
        <v>24.21</v>
      </c>
      <c r="AU11">
        <v>25.03</v>
      </c>
      <c r="AV11">
        <v>25.03</v>
      </c>
      <c r="AW11">
        <v>25.03</v>
      </c>
      <c r="AX11">
        <v>25.03</v>
      </c>
      <c r="AY11">
        <v>2069</v>
      </c>
      <c r="AZ11">
        <v>2069</v>
      </c>
      <c r="BA11">
        <v>2069</v>
      </c>
      <c r="BB11">
        <v>2069</v>
      </c>
      <c r="BC11">
        <v>2069</v>
      </c>
      <c r="BD11">
        <v>2069</v>
      </c>
      <c r="BE11">
        <v>2069</v>
      </c>
      <c r="BF11">
        <v>2069</v>
      </c>
      <c r="BG11">
        <v>2069</v>
      </c>
      <c r="BH11">
        <v>2069</v>
      </c>
      <c r="BI11">
        <v>2069</v>
      </c>
      <c r="BJ11">
        <v>2069</v>
      </c>
      <c r="BK11">
        <v>3138.05</v>
      </c>
      <c r="BL11">
        <v>3138.05</v>
      </c>
      <c r="BM11">
        <v>3138.05</v>
      </c>
      <c r="BN11">
        <v>3138.05</v>
      </c>
      <c r="BO11">
        <v>3138.05</v>
      </c>
      <c r="BP11">
        <v>3138.05</v>
      </c>
      <c r="BQ11">
        <v>3138.05</v>
      </c>
      <c r="BR11">
        <v>3138.05</v>
      </c>
      <c r="BS11">
        <v>3138.05</v>
      </c>
      <c r="BT11">
        <v>3138.05</v>
      </c>
      <c r="BU11">
        <v>3138.05</v>
      </c>
      <c r="BV11">
        <v>3138.05</v>
      </c>
    </row>
    <row r="12" spans="1:74" x14ac:dyDescent="0.3">
      <c r="A12" t="s">
        <v>94</v>
      </c>
      <c r="B12" t="s">
        <v>95</v>
      </c>
      <c r="C12">
        <v>0</v>
      </c>
      <c r="D12">
        <v>0</v>
      </c>
      <c r="E12">
        <v>0</v>
      </c>
      <c r="F12">
        <v>0</v>
      </c>
      <c r="G12">
        <v>306714</v>
      </c>
      <c r="H12">
        <v>69149</v>
      </c>
      <c r="I12">
        <v>80135</v>
      </c>
      <c r="J12">
        <v>62716</v>
      </c>
      <c r="K12">
        <v>68219</v>
      </c>
      <c r="L12">
        <v>55681</v>
      </c>
      <c r="M12">
        <v>61176</v>
      </c>
      <c r="N12">
        <v>70631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 x14ac:dyDescent="0.3">
      <c r="A13" t="s">
        <v>96</v>
      </c>
      <c r="B13" t="s">
        <v>97</v>
      </c>
      <c r="C13">
        <v>4134.33</v>
      </c>
      <c r="D13">
        <v>4134.33</v>
      </c>
      <c r="E13">
        <v>4134.33</v>
      </c>
      <c r="F13">
        <v>4134.33</v>
      </c>
      <c r="G13">
        <v>4134.33</v>
      </c>
      <c r="H13">
        <v>4134.33</v>
      </c>
      <c r="I13">
        <v>4134.33</v>
      </c>
      <c r="J13">
        <v>4134.33</v>
      </c>
      <c r="K13">
        <v>4674.59</v>
      </c>
      <c r="L13">
        <v>4178.3900000000003</v>
      </c>
      <c r="M13">
        <v>4178.3900000000003</v>
      </c>
      <c r="N13">
        <v>4178.3900000000003</v>
      </c>
      <c r="O13">
        <v>10465.74</v>
      </c>
      <c r="P13">
        <v>10431.790000000001</v>
      </c>
      <c r="Q13">
        <v>10088.790000000001</v>
      </c>
      <c r="R13">
        <v>9483.06</v>
      </c>
      <c r="S13">
        <v>9931.7900000000009</v>
      </c>
      <c r="T13">
        <v>9931.7900000000009</v>
      </c>
      <c r="U13">
        <v>9931.7900000000009</v>
      </c>
      <c r="V13">
        <v>9931.7900000000009</v>
      </c>
      <c r="W13">
        <v>9931.7900000000009</v>
      </c>
      <c r="X13">
        <v>15120.53</v>
      </c>
      <c r="Y13">
        <v>11627.33</v>
      </c>
      <c r="Z13">
        <v>11627.33</v>
      </c>
      <c r="AA13">
        <v>-73924.55</v>
      </c>
      <c r="AB13">
        <v>4127.33</v>
      </c>
      <c r="AC13">
        <v>4127.33</v>
      </c>
      <c r="AD13">
        <v>4127.33</v>
      </c>
      <c r="AE13">
        <v>4127.33</v>
      </c>
      <c r="AF13">
        <v>4127.33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4073.33</v>
      </c>
      <c r="AN13">
        <v>4073.33</v>
      </c>
      <c r="AO13">
        <v>4073.33</v>
      </c>
      <c r="AP13">
        <v>4073.33</v>
      </c>
      <c r="AQ13">
        <v>4073.33</v>
      </c>
      <c r="AR13">
        <v>4073.33</v>
      </c>
      <c r="AS13">
        <v>4073.33</v>
      </c>
      <c r="AT13">
        <v>4510.3599999999997</v>
      </c>
      <c r="AU13">
        <v>4038.33</v>
      </c>
      <c r="AV13">
        <v>4073.33</v>
      </c>
      <c r="AW13">
        <v>4073.33</v>
      </c>
      <c r="AX13">
        <v>4073.33</v>
      </c>
      <c r="AY13">
        <v>9549</v>
      </c>
      <c r="AZ13">
        <v>9549</v>
      </c>
      <c r="BA13">
        <v>9549</v>
      </c>
      <c r="BB13">
        <v>9549</v>
      </c>
      <c r="BC13">
        <v>9549</v>
      </c>
      <c r="BD13">
        <v>9549</v>
      </c>
      <c r="BE13">
        <v>9549</v>
      </c>
      <c r="BF13">
        <v>11577</v>
      </c>
      <c r="BG13">
        <v>11823</v>
      </c>
      <c r="BH13">
        <v>11576</v>
      </c>
      <c r="BI13">
        <v>11083</v>
      </c>
      <c r="BJ13">
        <v>11823</v>
      </c>
      <c r="BK13">
        <v>11928.39</v>
      </c>
      <c r="BL13">
        <v>11928.39</v>
      </c>
      <c r="BM13">
        <v>11928.39</v>
      </c>
      <c r="BN13">
        <v>11928.39</v>
      </c>
      <c r="BO13">
        <v>11928.39</v>
      </c>
      <c r="BP13">
        <v>11928.39</v>
      </c>
      <c r="BQ13">
        <v>11928.39</v>
      </c>
      <c r="BR13">
        <v>12761.72</v>
      </c>
      <c r="BS13">
        <v>12761.72</v>
      </c>
      <c r="BT13">
        <v>12761.72</v>
      </c>
      <c r="BU13">
        <v>12761.72</v>
      </c>
      <c r="BV13">
        <v>12761.72</v>
      </c>
    </row>
    <row r="14" spans="1:74" x14ac:dyDescent="0.3">
      <c r="A14" t="s">
        <v>98</v>
      </c>
      <c r="B14" t="s">
        <v>99</v>
      </c>
      <c r="C14">
        <v>4873.5600000000004</v>
      </c>
      <c r="D14">
        <v>9718.2999999999993</v>
      </c>
      <c r="E14">
        <v>6560.33</v>
      </c>
      <c r="F14">
        <v>7505.84</v>
      </c>
      <c r="G14">
        <v>5044.59</v>
      </c>
      <c r="H14">
        <v>4882.42</v>
      </c>
      <c r="I14">
        <v>5696.89</v>
      </c>
      <c r="J14">
        <v>6044.33</v>
      </c>
      <c r="K14">
        <v>2414.5300000000002</v>
      </c>
      <c r="L14">
        <v>8629.61</v>
      </c>
      <c r="M14">
        <v>4821.12</v>
      </c>
      <c r="N14">
        <v>7288.87</v>
      </c>
      <c r="O14">
        <v>17867.22</v>
      </c>
      <c r="P14">
        <v>18811.900000000001</v>
      </c>
      <c r="Q14">
        <v>17954.21</v>
      </c>
      <c r="R14">
        <v>12626.95</v>
      </c>
      <c r="S14">
        <v>14783.9</v>
      </c>
      <c r="T14">
        <v>19343.11</v>
      </c>
      <c r="U14">
        <v>11863.2</v>
      </c>
      <c r="V14">
        <v>17718.48</v>
      </c>
      <c r="W14">
        <v>15031.31</v>
      </c>
      <c r="X14">
        <v>17213.47</v>
      </c>
      <c r="Y14">
        <v>11836.19</v>
      </c>
      <c r="Z14">
        <v>22917.62</v>
      </c>
      <c r="AA14">
        <v>12070.6</v>
      </c>
      <c r="AB14">
        <v>1600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607.49</v>
      </c>
      <c r="AN14">
        <v>875.7</v>
      </c>
      <c r="AO14">
        <v>527.34</v>
      </c>
      <c r="AP14">
        <v>336</v>
      </c>
      <c r="AQ14">
        <v>1111.3399999999999</v>
      </c>
      <c r="AR14">
        <v>619.21</v>
      </c>
      <c r="AS14">
        <v>807.99</v>
      </c>
      <c r="AT14">
        <v>554</v>
      </c>
      <c r="AU14">
        <v>414</v>
      </c>
      <c r="AV14">
        <v>510.3</v>
      </c>
      <c r="AW14">
        <v>382.11</v>
      </c>
      <c r="AX14">
        <v>941.56</v>
      </c>
      <c r="AY14">
        <v>12851.58</v>
      </c>
      <c r="AZ14">
        <v>13804.94</v>
      </c>
      <c r="BA14">
        <v>21288.880000000001</v>
      </c>
      <c r="BB14">
        <v>20676.22</v>
      </c>
      <c r="BC14">
        <v>13696.15</v>
      </c>
      <c r="BD14">
        <v>13705.42</v>
      </c>
      <c r="BE14">
        <v>19580.099999999999</v>
      </c>
      <c r="BF14">
        <v>15868.57</v>
      </c>
      <c r="BG14">
        <v>12024.93</v>
      </c>
      <c r="BH14">
        <v>10977.43</v>
      </c>
      <c r="BI14">
        <v>13526.37</v>
      </c>
      <c r="BJ14">
        <v>18262.07</v>
      </c>
      <c r="BK14">
        <v>19506.97</v>
      </c>
      <c r="BL14">
        <v>21167.16</v>
      </c>
      <c r="BM14">
        <v>18723.87</v>
      </c>
      <c r="BN14">
        <v>14802.41</v>
      </c>
      <c r="BO14">
        <v>9041.25</v>
      </c>
      <c r="BP14">
        <v>18449.849999999999</v>
      </c>
      <c r="BQ14">
        <v>12314.7</v>
      </c>
      <c r="BR14">
        <v>15359.02</v>
      </c>
      <c r="BS14">
        <v>8941.73</v>
      </c>
      <c r="BT14">
        <v>20724.849999999999</v>
      </c>
      <c r="BU14">
        <v>13811.13</v>
      </c>
      <c r="BV14">
        <v>22811.59</v>
      </c>
    </row>
    <row r="15" spans="1:74" x14ac:dyDescent="0.3">
      <c r="A15" t="s">
        <v>100</v>
      </c>
      <c r="B15" t="s">
        <v>101</v>
      </c>
      <c r="C15">
        <v>-6.7</v>
      </c>
      <c r="D15">
        <v>2.4900000000000002</v>
      </c>
      <c r="E15">
        <v>19.2</v>
      </c>
      <c r="F15">
        <v>-13.42</v>
      </c>
      <c r="G15">
        <v>-0.53</v>
      </c>
      <c r="H15">
        <v>2.4300000000000002</v>
      </c>
      <c r="I15">
        <v>2.97</v>
      </c>
      <c r="J15">
        <v>10.68</v>
      </c>
      <c r="K15">
        <v>-100.14</v>
      </c>
      <c r="L15">
        <v>84.51</v>
      </c>
      <c r="M15">
        <v>12991.37</v>
      </c>
      <c r="N15">
        <v>-13812.42</v>
      </c>
      <c r="O15">
        <v>-56.78</v>
      </c>
      <c r="P15">
        <v>9473.69</v>
      </c>
      <c r="Q15">
        <v>78245.350000000006</v>
      </c>
      <c r="R15">
        <v>19458.650000000001</v>
      </c>
      <c r="S15">
        <v>22862.77</v>
      </c>
      <c r="T15">
        <v>36615.96</v>
      </c>
      <c r="U15">
        <v>18546.63</v>
      </c>
      <c r="V15">
        <v>17379.41</v>
      </c>
      <c r="W15">
        <v>26360.25</v>
      </c>
      <c r="X15">
        <v>15264.74</v>
      </c>
      <c r="Y15">
        <v>20690.79</v>
      </c>
      <c r="Z15">
        <v>21399.08</v>
      </c>
      <c r="AA15">
        <v>5048.76</v>
      </c>
      <c r="AB15">
        <v>4999.99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18386.41</v>
      </c>
      <c r="AZ15">
        <v>19151.810000000001</v>
      </c>
      <c r="BA15">
        <v>40141.29</v>
      </c>
      <c r="BB15">
        <v>14680.26</v>
      </c>
      <c r="BC15">
        <v>25318.55</v>
      </c>
      <c r="BD15">
        <v>16666.66</v>
      </c>
      <c r="BE15">
        <v>39244.71</v>
      </c>
      <c r="BF15">
        <v>29857.18</v>
      </c>
      <c r="BG15">
        <v>34326.65</v>
      </c>
      <c r="BH15">
        <v>10780.35</v>
      </c>
      <c r="BI15">
        <v>17085.080000000002</v>
      </c>
      <c r="BJ15">
        <v>14293.61</v>
      </c>
      <c r="BK15">
        <v>19306.669999999998</v>
      </c>
      <c r="BL15">
        <v>19306.669999999998</v>
      </c>
      <c r="BM15">
        <v>19306.669999999998</v>
      </c>
      <c r="BN15">
        <v>19306.669999999998</v>
      </c>
      <c r="BO15">
        <v>19306.669999999998</v>
      </c>
      <c r="BP15">
        <v>23306.67</v>
      </c>
      <c r="BQ15">
        <v>19306.669999999998</v>
      </c>
      <c r="BR15">
        <v>19306.669999999998</v>
      </c>
      <c r="BS15">
        <v>19306.669999999998</v>
      </c>
      <c r="BT15">
        <v>17640</v>
      </c>
      <c r="BU15">
        <v>17640</v>
      </c>
      <c r="BV15">
        <v>17640</v>
      </c>
    </row>
    <row r="16" spans="1:74" x14ac:dyDescent="0.3">
      <c r="A16" t="s">
        <v>102</v>
      </c>
      <c r="B16" t="s">
        <v>103</v>
      </c>
      <c r="C16">
        <v>5305.01</v>
      </c>
      <c r="D16">
        <v>2733.62</v>
      </c>
      <c r="E16">
        <v>4852.3500000000004</v>
      </c>
      <c r="F16">
        <v>5350.92</v>
      </c>
      <c r="G16">
        <v>4659.4799999999996</v>
      </c>
      <c r="H16">
        <v>13573.46</v>
      </c>
      <c r="I16">
        <v>2480.0100000000002</v>
      </c>
      <c r="J16">
        <v>19787.34</v>
      </c>
      <c r="K16">
        <v>5465.71</v>
      </c>
      <c r="L16">
        <v>6482.91</v>
      </c>
      <c r="M16">
        <v>3763.21</v>
      </c>
      <c r="N16">
        <v>3381.28</v>
      </c>
      <c r="O16">
        <v>10675.18</v>
      </c>
      <c r="P16">
        <v>8641.73</v>
      </c>
      <c r="Q16">
        <v>6617.5</v>
      </c>
      <c r="R16">
        <v>12560.43</v>
      </c>
      <c r="S16">
        <v>9983.02</v>
      </c>
      <c r="T16">
        <v>7179.16</v>
      </c>
      <c r="U16">
        <v>2477.38</v>
      </c>
      <c r="V16">
        <v>11490.32</v>
      </c>
      <c r="W16">
        <v>4556.66</v>
      </c>
      <c r="X16">
        <v>14384.35</v>
      </c>
      <c r="Y16">
        <v>2771.85</v>
      </c>
      <c r="Z16">
        <v>5976.81</v>
      </c>
      <c r="AA16">
        <v>-7126.02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300</v>
      </c>
      <c r="AN16">
        <v>300</v>
      </c>
      <c r="AO16">
        <v>300</v>
      </c>
      <c r="AP16">
        <v>300</v>
      </c>
      <c r="AQ16">
        <v>300</v>
      </c>
      <c r="AR16">
        <v>300</v>
      </c>
      <c r="AS16">
        <v>300</v>
      </c>
      <c r="AT16">
        <v>300</v>
      </c>
      <c r="AU16">
        <v>300</v>
      </c>
      <c r="AV16">
        <v>300</v>
      </c>
      <c r="AW16">
        <v>300</v>
      </c>
      <c r="AX16">
        <v>300</v>
      </c>
      <c r="AY16">
        <v>5114.68</v>
      </c>
      <c r="AZ16">
        <v>5070.8900000000003</v>
      </c>
      <c r="BA16">
        <v>5480.19</v>
      </c>
      <c r="BB16">
        <v>5070.8900000000003</v>
      </c>
      <c r="BC16">
        <v>5116.1899999999996</v>
      </c>
      <c r="BD16">
        <v>5070.8900000000003</v>
      </c>
      <c r="BE16">
        <v>5873.14</v>
      </c>
      <c r="BF16">
        <v>8211.6200000000008</v>
      </c>
      <c r="BG16">
        <v>7614.07</v>
      </c>
      <c r="BH16">
        <v>7003.38</v>
      </c>
      <c r="BI16">
        <v>5501.57</v>
      </c>
      <c r="BJ16">
        <v>5186.8100000000004</v>
      </c>
      <c r="BK16">
        <v>11174.86</v>
      </c>
      <c r="BL16">
        <v>8872.73</v>
      </c>
      <c r="BM16">
        <v>6819.1</v>
      </c>
      <c r="BN16">
        <v>12887</v>
      </c>
      <c r="BO16">
        <v>10380.969999999999</v>
      </c>
      <c r="BP16">
        <v>7330.48</v>
      </c>
      <c r="BQ16">
        <v>2629.37</v>
      </c>
      <c r="BR16">
        <v>11725.58</v>
      </c>
      <c r="BS16">
        <v>5697.46</v>
      </c>
      <c r="BT16">
        <v>7090.56</v>
      </c>
      <c r="BU16">
        <v>3921.7</v>
      </c>
      <c r="BV16">
        <v>4442.0200000000004</v>
      </c>
    </row>
    <row r="17" spans="1:74" x14ac:dyDescent="0.3">
      <c r="A17" t="s">
        <v>104</v>
      </c>
      <c r="B17" t="s">
        <v>105</v>
      </c>
      <c r="C17">
        <v>1080.33</v>
      </c>
      <c r="D17">
        <v>4233.99</v>
      </c>
      <c r="E17">
        <v>1335.26</v>
      </c>
      <c r="F17">
        <v>16174.55</v>
      </c>
      <c r="G17">
        <v>1294.25</v>
      </c>
      <c r="H17">
        <v>1611.91</v>
      </c>
      <c r="I17">
        <v>1221.08</v>
      </c>
      <c r="J17">
        <v>1614.03</v>
      </c>
      <c r="K17">
        <v>1469.46</v>
      </c>
      <c r="L17">
        <v>2534.37</v>
      </c>
      <c r="M17">
        <v>1797.75</v>
      </c>
      <c r="N17">
        <v>9206.33</v>
      </c>
      <c r="O17">
        <v>10345.51</v>
      </c>
      <c r="P17">
        <v>10774.08</v>
      </c>
      <c r="Q17">
        <v>-11613.99</v>
      </c>
      <c r="R17">
        <v>3101.19</v>
      </c>
      <c r="S17">
        <v>3041.33</v>
      </c>
      <c r="T17">
        <v>3193.59</v>
      </c>
      <c r="U17">
        <v>3107.62</v>
      </c>
      <c r="V17">
        <v>4977.79</v>
      </c>
      <c r="W17">
        <v>3411.39</v>
      </c>
      <c r="X17">
        <v>2577.14</v>
      </c>
      <c r="Y17">
        <v>3408.49</v>
      </c>
      <c r="Z17">
        <v>2727.96</v>
      </c>
      <c r="AA17">
        <v>-217.89</v>
      </c>
      <c r="AB17">
        <v>848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183.14</v>
      </c>
      <c r="AN17">
        <v>183.14</v>
      </c>
      <c r="AO17">
        <v>186.38</v>
      </c>
      <c r="AP17">
        <v>183.14</v>
      </c>
      <c r="AQ17">
        <v>183.14</v>
      </c>
      <c r="AR17">
        <v>183.14</v>
      </c>
      <c r="AS17">
        <v>183.14</v>
      </c>
      <c r="AT17">
        <v>188.96</v>
      </c>
      <c r="AU17">
        <v>183.41</v>
      </c>
      <c r="AV17">
        <v>184.6</v>
      </c>
      <c r="AW17">
        <v>87.29</v>
      </c>
      <c r="AX17">
        <v>186.34</v>
      </c>
      <c r="AY17">
        <v>3262.83</v>
      </c>
      <c r="AZ17">
        <v>3039.37</v>
      </c>
      <c r="BA17">
        <v>3075.47</v>
      </c>
      <c r="BB17">
        <v>3025.92</v>
      </c>
      <c r="BC17">
        <v>3096.63</v>
      </c>
      <c r="BD17">
        <v>3154.49</v>
      </c>
      <c r="BE17">
        <v>2945.17</v>
      </c>
      <c r="BF17">
        <v>3099.36</v>
      </c>
      <c r="BG17">
        <v>3160.43</v>
      </c>
      <c r="BH17">
        <v>3248.82</v>
      </c>
      <c r="BI17">
        <v>2870.74</v>
      </c>
      <c r="BJ17">
        <v>3135.98</v>
      </c>
      <c r="BK17">
        <v>3031.36</v>
      </c>
      <c r="BL17">
        <v>3135.91</v>
      </c>
      <c r="BM17">
        <v>3346.59</v>
      </c>
      <c r="BN17">
        <v>3435.55</v>
      </c>
      <c r="BO17">
        <v>3320.87</v>
      </c>
      <c r="BP17">
        <v>3497.39</v>
      </c>
      <c r="BQ17">
        <v>3208.87</v>
      </c>
      <c r="BR17">
        <v>5278.66</v>
      </c>
      <c r="BS17">
        <v>3092</v>
      </c>
      <c r="BT17">
        <v>3258</v>
      </c>
      <c r="BU17">
        <v>3420</v>
      </c>
      <c r="BV17">
        <v>3329</v>
      </c>
    </row>
    <row r="18" spans="1:74" x14ac:dyDescent="0.3">
      <c r="A18" t="s">
        <v>106</v>
      </c>
      <c r="B18" t="s">
        <v>107</v>
      </c>
      <c r="C18">
        <v>430.16</v>
      </c>
      <c r="D18">
        <v>354.68</v>
      </c>
      <c r="E18">
        <v>939.75</v>
      </c>
      <c r="F18">
        <v>1169.67</v>
      </c>
      <c r="G18">
        <v>1096.6500000000001</v>
      </c>
      <c r="H18">
        <v>-1518.43</v>
      </c>
      <c r="I18">
        <v>886.96</v>
      </c>
      <c r="J18">
        <v>1303.33</v>
      </c>
      <c r="K18">
        <v>1444.61</v>
      </c>
      <c r="L18">
        <v>1568.19</v>
      </c>
      <c r="M18">
        <v>1651.63</v>
      </c>
      <c r="N18">
        <v>-1531.68</v>
      </c>
      <c r="O18">
        <v>2196.19</v>
      </c>
      <c r="P18">
        <v>1818.32</v>
      </c>
      <c r="Q18">
        <v>1839.46</v>
      </c>
      <c r="R18">
        <v>1908.18</v>
      </c>
      <c r="S18">
        <v>1418.22</v>
      </c>
      <c r="T18">
        <v>2073.12</v>
      </c>
      <c r="U18">
        <v>1980.35</v>
      </c>
      <c r="V18">
        <v>893.57</v>
      </c>
      <c r="W18">
        <v>1997.83</v>
      </c>
      <c r="X18">
        <v>2949.83</v>
      </c>
      <c r="Y18">
        <v>2618.79</v>
      </c>
      <c r="Z18">
        <v>2889.56</v>
      </c>
      <c r="AA18">
        <v>-11145.43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550.37</v>
      </c>
      <c r="AN18">
        <v>468.55</v>
      </c>
      <c r="AO18">
        <v>531.20000000000005</v>
      </c>
      <c r="AP18">
        <v>695.29</v>
      </c>
      <c r="AQ18">
        <v>589.48</v>
      </c>
      <c r="AR18">
        <v>528.51</v>
      </c>
      <c r="AS18">
        <v>444.85</v>
      </c>
      <c r="AT18">
        <v>407.59</v>
      </c>
      <c r="AU18">
        <v>426.79</v>
      </c>
      <c r="AV18">
        <v>622.29999999999995</v>
      </c>
      <c r="AW18">
        <v>529.52</v>
      </c>
      <c r="AX18">
        <v>512.57000000000005</v>
      </c>
      <c r="AY18">
        <v>1520</v>
      </c>
      <c r="AZ18">
        <v>2020</v>
      </c>
      <c r="BA18">
        <v>1608.8</v>
      </c>
      <c r="BB18">
        <v>1753.16</v>
      </c>
      <c r="BC18">
        <v>1646.07</v>
      </c>
      <c r="BD18">
        <v>-886.82</v>
      </c>
      <c r="BE18">
        <v>1637.54</v>
      </c>
      <c r="BF18">
        <v>2019.29</v>
      </c>
      <c r="BG18">
        <v>3137.27</v>
      </c>
      <c r="BH18">
        <v>3402.98</v>
      </c>
      <c r="BI18">
        <v>2708.61</v>
      </c>
      <c r="BJ18">
        <v>1465.39</v>
      </c>
      <c r="BK18">
        <v>2208.29</v>
      </c>
      <c r="BL18">
        <v>1826.65</v>
      </c>
      <c r="BM18">
        <v>1840.43</v>
      </c>
      <c r="BN18">
        <v>1917.03</v>
      </c>
      <c r="BO18">
        <v>1428.14</v>
      </c>
      <c r="BP18">
        <v>2082.36</v>
      </c>
      <c r="BQ18">
        <v>1980.35</v>
      </c>
      <c r="BR18">
        <v>901.06</v>
      </c>
      <c r="BS18">
        <v>2789.16</v>
      </c>
      <c r="BT18">
        <v>3074.84</v>
      </c>
      <c r="BU18">
        <v>2400.02</v>
      </c>
      <c r="BV18">
        <v>1289.44</v>
      </c>
    </row>
    <row r="19" spans="1:74" x14ac:dyDescent="0.3">
      <c r="A19" t="s">
        <v>108</v>
      </c>
      <c r="B19" t="s">
        <v>109</v>
      </c>
      <c r="C19">
        <v>9465.48</v>
      </c>
      <c r="D19">
        <v>10472.85</v>
      </c>
      <c r="E19">
        <v>6266.79</v>
      </c>
      <c r="F19">
        <v>7064.54</v>
      </c>
      <c r="G19">
        <v>18488.740000000002</v>
      </c>
      <c r="H19">
        <v>13949.33</v>
      </c>
      <c r="I19">
        <v>16302.07</v>
      </c>
      <c r="J19">
        <v>15901</v>
      </c>
      <c r="K19">
        <v>3844.02</v>
      </c>
      <c r="L19">
        <v>11134.12</v>
      </c>
      <c r="M19">
        <v>10874.12</v>
      </c>
      <c r="N19">
        <v>3187.35</v>
      </c>
      <c r="O19">
        <v>0</v>
      </c>
      <c r="P19">
        <v>18395</v>
      </c>
      <c r="Q19">
        <v>6990.21</v>
      </c>
      <c r="R19">
        <v>7379.11</v>
      </c>
      <c r="S19">
        <v>11029.1</v>
      </c>
      <c r="T19">
        <v>8614.5499999999993</v>
      </c>
      <c r="U19">
        <v>17019.939999999999</v>
      </c>
      <c r="V19">
        <v>11773.75</v>
      </c>
      <c r="W19">
        <v>7839.58</v>
      </c>
      <c r="X19">
        <v>11828.87</v>
      </c>
      <c r="Y19">
        <v>6175.74</v>
      </c>
      <c r="Z19">
        <v>6435.37</v>
      </c>
      <c r="AA19">
        <v>12430.36</v>
      </c>
      <c r="AB19">
        <v>0</v>
      </c>
      <c r="AC19">
        <v>-12430.36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227.57</v>
      </c>
      <c r="AN19">
        <v>259.88</v>
      </c>
      <c r="AO19">
        <v>174.06</v>
      </c>
      <c r="AP19">
        <v>139.88999999999999</v>
      </c>
      <c r="AQ19">
        <v>167.43</v>
      </c>
      <c r="AR19">
        <v>150.02000000000001</v>
      </c>
      <c r="AS19">
        <v>175</v>
      </c>
      <c r="AT19">
        <v>178.71</v>
      </c>
      <c r="AU19">
        <v>317.16000000000003</v>
      </c>
      <c r="AV19">
        <v>106.26</v>
      </c>
      <c r="AW19">
        <v>159.59</v>
      </c>
      <c r="AX19">
        <v>176.7</v>
      </c>
      <c r="AY19">
        <v>10859.04</v>
      </c>
      <c r="AZ19">
        <v>11312.64</v>
      </c>
      <c r="BA19">
        <v>9780.56</v>
      </c>
      <c r="BB19">
        <v>10468.51</v>
      </c>
      <c r="BC19">
        <v>13072.54</v>
      </c>
      <c r="BD19">
        <v>16696.560000000001</v>
      </c>
      <c r="BE19">
        <v>17768.87</v>
      </c>
      <c r="BF19">
        <v>16133.99</v>
      </c>
      <c r="BG19">
        <v>14258.39</v>
      </c>
      <c r="BH19">
        <v>7118.59</v>
      </c>
      <c r="BI19">
        <v>6492.63</v>
      </c>
      <c r="BJ19">
        <v>6683.96</v>
      </c>
      <c r="BK19">
        <v>17683.39</v>
      </c>
      <c r="BL19">
        <v>10855.63</v>
      </c>
      <c r="BM19">
        <v>10639.47</v>
      </c>
      <c r="BN19">
        <v>7897.92</v>
      </c>
      <c r="BO19">
        <v>10277.81</v>
      </c>
      <c r="BP19">
        <v>12716.84</v>
      </c>
      <c r="BQ19">
        <v>18395.810000000001</v>
      </c>
      <c r="BR19">
        <v>48335.89</v>
      </c>
      <c r="BS19">
        <v>11280.99</v>
      </c>
      <c r="BT19">
        <v>6240.9</v>
      </c>
      <c r="BU19">
        <v>7057.99</v>
      </c>
      <c r="BV19">
        <v>8598.34</v>
      </c>
    </row>
    <row r="20" spans="1:74" x14ac:dyDescent="0.3">
      <c r="A20" t="s">
        <v>110</v>
      </c>
      <c r="B20" t="s">
        <v>111</v>
      </c>
      <c r="C20">
        <v>13640.27</v>
      </c>
      <c r="D20">
        <v>13994.84</v>
      </c>
      <c r="E20">
        <v>13007.81</v>
      </c>
      <c r="F20">
        <v>14005.38</v>
      </c>
      <c r="G20">
        <v>14818.07</v>
      </c>
      <c r="H20">
        <v>13258.99</v>
      </c>
      <c r="I20">
        <v>15714.68</v>
      </c>
      <c r="J20">
        <v>15329.51</v>
      </c>
      <c r="K20">
        <v>10348.879999999999</v>
      </c>
      <c r="L20">
        <v>12583.27</v>
      </c>
      <c r="M20">
        <v>11630.87</v>
      </c>
      <c r="N20">
        <v>11731.82</v>
      </c>
      <c r="O20">
        <v>12395.67</v>
      </c>
      <c r="P20">
        <v>17081.990000000002</v>
      </c>
      <c r="Q20">
        <v>9239.85</v>
      </c>
      <c r="R20">
        <v>13627.31</v>
      </c>
      <c r="S20">
        <v>14216.61</v>
      </c>
      <c r="T20">
        <v>15941.65</v>
      </c>
      <c r="U20">
        <v>12919.12</v>
      </c>
      <c r="V20">
        <v>12536.5</v>
      </c>
      <c r="W20">
        <v>12160.6</v>
      </c>
      <c r="X20">
        <v>16998.91</v>
      </c>
      <c r="Y20">
        <v>13578.05</v>
      </c>
      <c r="Z20">
        <v>20778.14</v>
      </c>
      <c r="AA20">
        <v>-5115.1400000000003</v>
      </c>
      <c r="AB20">
        <v>2.3199999999999998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1000</v>
      </c>
      <c r="AN20">
        <v>1000</v>
      </c>
      <c r="AO20">
        <v>1000</v>
      </c>
      <c r="AP20">
        <v>1000</v>
      </c>
      <c r="AQ20">
        <v>1000</v>
      </c>
      <c r="AR20">
        <v>1000</v>
      </c>
      <c r="AS20">
        <v>1000</v>
      </c>
      <c r="AT20">
        <v>1000</v>
      </c>
      <c r="AU20">
        <v>1000</v>
      </c>
      <c r="AV20">
        <v>1000</v>
      </c>
      <c r="AW20">
        <v>1000</v>
      </c>
      <c r="AX20">
        <v>1000</v>
      </c>
      <c r="AY20">
        <v>12891.88</v>
      </c>
      <c r="AZ20">
        <v>12907.99</v>
      </c>
      <c r="BA20">
        <v>14103.64</v>
      </c>
      <c r="BB20">
        <v>12955.51</v>
      </c>
      <c r="BC20">
        <v>13368.89</v>
      </c>
      <c r="BD20">
        <v>13127.91</v>
      </c>
      <c r="BE20">
        <v>12880.62</v>
      </c>
      <c r="BF20">
        <v>13111.38</v>
      </c>
      <c r="BG20">
        <v>12863.74</v>
      </c>
      <c r="BH20">
        <v>12945.65</v>
      </c>
      <c r="BI20">
        <v>12958.33</v>
      </c>
      <c r="BJ20">
        <v>13150.32</v>
      </c>
      <c r="BK20">
        <v>18317.259999999998</v>
      </c>
      <c r="BL20">
        <v>18164.599999999999</v>
      </c>
      <c r="BM20">
        <v>12539.28</v>
      </c>
      <c r="BN20">
        <v>15991.72</v>
      </c>
      <c r="BO20">
        <v>16715.38</v>
      </c>
      <c r="BP20">
        <v>12409.32</v>
      </c>
      <c r="BQ20">
        <v>14808.57</v>
      </c>
      <c r="BR20">
        <v>14785.62</v>
      </c>
      <c r="BS20">
        <v>10807.35</v>
      </c>
      <c r="BT20">
        <v>14894.11</v>
      </c>
      <c r="BU20">
        <v>16599.82</v>
      </c>
      <c r="BV20">
        <v>15048.21</v>
      </c>
    </row>
    <row r="21" spans="1:74" x14ac:dyDescent="0.3">
      <c r="A21" t="s">
        <v>112</v>
      </c>
      <c r="B21" t="s">
        <v>113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74.69</v>
      </c>
      <c r="P21">
        <v>11.15</v>
      </c>
      <c r="Q21">
        <v>921.36</v>
      </c>
      <c r="R21">
        <v>10</v>
      </c>
      <c r="S21">
        <v>73.540000000000006</v>
      </c>
      <c r="T21">
        <v>73.540000000000006</v>
      </c>
      <c r="U21">
        <v>327.72</v>
      </c>
      <c r="V21">
        <v>319.73</v>
      </c>
      <c r="W21">
        <v>137.08000000000001</v>
      </c>
      <c r="X21">
        <v>190</v>
      </c>
      <c r="Y21">
        <v>73.540000000000006</v>
      </c>
      <c r="Z21">
        <v>137.08000000000001</v>
      </c>
      <c r="AA21">
        <v>-943.12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263.33</v>
      </c>
      <c r="AZ21">
        <v>263.33</v>
      </c>
      <c r="BA21">
        <v>263.33</v>
      </c>
      <c r="BB21">
        <v>263.33</v>
      </c>
      <c r="BC21">
        <v>263.33</v>
      </c>
      <c r="BD21">
        <v>263.33</v>
      </c>
      <c r="BE21">
        <v>263.33</v>
      </c>
      <c r="BF21">
        <v>263.33</v>
      </c>
      <c r="BG21">
        <v>263.33</v>
      </c>
      <c r="BH21">
        <v>263.33</v>
      </c>
      <c r="BI21">
        <v>263.33</v>
      </c>
      <c r="BJ21">
        <v>263.33</v>
      </c>
      <c r="BK21">
        <v>11.15</v>
      </c>
      <c r="BL21">
        <v>10</v>
      </c>
      <c r="BM21">
        <v>970</v>
      </c>
      <c r="BN21">
        <v>10</v>
      </c>
      <c r="BO21">
        <v>10</v>
      </c>
      <c r="BP21">
        <v>10</v>
      </c>
      <c r="BQ21">
        <v>10</v>
      </c>
      <c r="BR21">
        <v>320</v>
      </c>
      <c r="BS21">
        <v>10</v>
      </c>
      <c r="BT21">
        <v>10</v>
      </c>
      <c r="BU21">
        <v>10</v>
      </c>
      <c r="BV21">
        <v>10</v>
      </c>
    </row>
    <row r="22" spans="1:74" x14ac:dyDescent="0.3">
      <c r="A22" t="s">
        <v>114</v>
      </c>
      <c r="B22" t="s">
        <v>115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163949.95000000001</v>
      </c>
      <c r="P22">
        <v>8045</v>
      </c>
      <c r="Q22">
        <v>-163949.95000000001</v>
      </c>
      <c r="R22">
        <v>0</v>
      </c>
      <c r="S22">
        <v>-153.19999999999999</v>
      </c>
      <c r="T22">
        <v>0</v>
      </c>
      <c r="U22">
        <v>2484.39</v>
      </c>
      <c r="V22">
        <v>0</v>
      </c>
      <c r="W22">
        <v>-8568.82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180000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3">
      <c r="A23" t="s">
        <v>116</v>
      </c>
      <c r="B23" t="s">
        <v>117</v>
      </c>
      <c r="C23">
        <v>50351.25</v>
      </c>
      <c r="D23">
        <v>38088.660000000003</v>
      </c>
      <c r="E23">
        <v>19011.5</v>
      </c>
      <c r="F23">
        <v>24743.47</v>
      </c>
      <c r="G23">
        <v>18441.330000000002</v>
      </c>
      <c r="H23">
        <v>24170.91</v>
      </c>
      <c r="I23">
        <v>14765.08</v>
      </c>
      <c r="J23">
        <v>14016.3</v>
      </c>
      <c r="K23">
        <v>24814.28</v>
      </c>
      <c r="L23">
        <v>94621.78</v>
      </c>
      <c r="M23">
        <v>-3358.24</v>
      </c>
      <c r="N23">
        <v>194605.06</v>
      </c>
      <c r="O23">
        <v>185.55</v>
      </c>
      <c r="P23">
        <v>0</v>
      </c>
      <c r="Q23">
        <v>142200.04999999999</v>
      </c>
      <c r="R23">
        <v>17796.330000000002</v>
      </c>
      <c r="S23">
        <v>250716.57</v>
      </c>
      <c r="T23">
        <v>55990.13</v>
      </c>
      <c r="U23">
        <v>27595.58</v>
      </c>
      <c r="V23">
        <v>145255.59</v>
      </c>
      <c r="W23">
        <v>44591.71</v>
      </c>
      <c r="X23">
        <v>175167.65</v>
      </c>
      <c r="Y23">
        <v>81979.87</v>
      </c>
      <c r="Z23">
        <v>337005.35</v>
      </c>
      <c r="AA23">
        <v>17679</v>
      </c>
      <c r="AB23">
        <v>415224.98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10395.83</v>
      </c>
      <c r="AZ23">
        <v>100995.83</v>
      </c>
      <c r="BA23">
        <v>10395.83</v>
      </c>
      <c r="BB23">
        <v>10395.83</v>
      </c>
      <c r="BC23">
        <v>10395.83</v>
      </c>
      <c r="BD23">
        <v>10395.83</v>
      </c>
      <c r="BE23">
        <v>49993.49</v>
      </c>
      <c r="BF23">
        <v>10395.83</v>
      </c>
      <c r="BG23">
        <v>10395.83</v>
      </c>
      <c r="BH23">
        <v>10395.83</v>
      </c>
      <c r="BI23">
        <v>10395.83</v>
      </c>
      <c r="BJ23">
        <v>250395.83</v>
      </c>
      <c r="BK23">
        <v>13014</v>
      </c>
      <c r="BL23">
        <v>8722</v>
      </c>
      <c r="BM23">
        <v>8722</v>
      </c>
      <c r="BN23">
        <v>2670</v>
      </c>
      <c r="BO23">
        <v>18710</v>
      </c>
      <c r="BP23">
        <v>1424</v>
      </c>
      <c r="BQ23">
        <v>59576.4</v>
      </c>
      <c r="BR23">
        <v>5874</v>
      </c>
      <c r="BS23">
        <v>8722</v>
      </c>
      <c r="BT23">
        <v>8722</v>
      </c>
      <c r="BU23">
        <v>227670</v>
      </c>
      <c r="BV23">
        <v>7120</v>
      </c>
    </row>
    <row r="24" spans="1:74" x14ac:dyDescent="0.3">
      <c r="A24" t="s">
        <v>118</v>
      </c>
      <c r="B24" t="s">
        <v>119</v>
      </c>
      <c r="C24">
        <v>73208.92</v>
      </c>
      <c r="D24">
        <v>73277.39</v>
      </c>
      <c r="E24">
        <v>73302.31</v>
      </c>
      <c r="F24">
        <v>73315.81</v>
      </c>
      <c r="G24">
        <v>73357.429999999993</v>
      </c>
      <c r="H24">
        <v>73357.39</v>
      </c>
      <c r="I24">
        <v>74277.850000000006</v>
      </c>
      <c r="J24">
        <v>74444.31</v>
      </c>
      <c r="K24">
        <v>74375.72</v>
      </c>
      <c r="L24">
        <v>74503.03</v>
      </c>
      <c r="M24">
        <v>74375.72</v>
      </c>
      <c r="N24">
        <v>74375.72</v>
      </c>
      <c r="O24">
        <v>75708.539999999994</v>
      </c>
      <c r="P24">
        <v>75708.13</v>
      </c>
      <c r="Q24">
        <v>75708.12</v>
      </c>
      <c r="R24">
        <v>52304.65</v>
      </c>
      <c r="S24">
        <v>69924.100000000006</v>
      </c>
      <c r="T24">
        <v>69924.100000000006</v>
      </c>
      <c r="U24">
        <v>78499.09</v>
      </c>
      <c r="V24">
        <v>84834.01</v>
      </c>
      <c r="W24">
        <v>74125.03</v>
      </c>
      <c r="X24">
        <v>73915.100000000006</v>
      </c>
      <c r="Y24">
        <v>73756.59</v>
      </c>
      <c r="Z24">
        <v>78264.5</v>
      </c>
      <c r="AA24">
        <v>-0.01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509.06</v>
      </c>
      <c r="AN24">
        <v>509.06</v>
      </c>
      <c r="AO24">
        <v>509.06</v>
      </c>
      <c r="AP24">
        <v>509.06</v>
      </c>
      <c r="AQ24">
        <v>509.06</v>
      </c>
      <c r="AR24">
        <v>509.06</v>
      </c>
      <c r="AS24">
        <v>509.06</v>
      </c>
      <c r="AT24">
        <v>509.06</v>
      </c>
      <c r="AU24">
        <v>509.06</v>
      </c>
      <c r="AV24">
        <v>509.06</v>
      </c>
      <c r="AW24">
        <v>509.06</v>
      </c>
      <c r="AX24">
        <v>509.06</v>
      </c>
      <c r="AY24">
        <v>74242.13</v>
      </c>
      <c r="AZ24">
        <v>74332.31</v>
      </c>
      <c r="BA24">
        <v>74359.240000000005</v>
      </c>
      <c r="BB24">
        <v>74373.820000000007</v>
      </c>
      <c r="BC24">
        <v>74414.37</v>
      </c>
      <c r="BD24">
        <v>74415.37</v>
      </c>
      <c r="BE24">
        <v>75376.87</v>
      </c>
      <c r="BF24">
        <v>75460.25</v>
      </c>
      <c r="BG24">
        <v>75433.66</v>
      </c>
      <c r="BH24">
        <v>75733.39</v>
      </c>
      <c r="BI24">
        <v>75433.66</v>
      </c>
      <c r="BJ24">
        <v>75433.66</v>
      </c>
      <c r="BK24">
        <v>67833.19</v>
      </c>
      <c r="BL24">
        <v>67833.19</v>
      </c>
      <c r="BM24">
        <v>67833.19</v>
      </c>
      <c r="BN24">
        <v>67833.19</v>
      </c>
      <c r="BO24">
        <v>67833.19</v>
      </c>
      <c r="BP24">
        <v>67833.19</v>
      </c>
      <c r="BQ24">
        <v>67833.19</v>
      </c>
      <c r="BR24">
        <v>67833.19</v>
      </c>
      <c r="BS24">
        <v>67833.19</v>
      </c>
      <c r="BT24">
        <v>67833.19</v>
      </c>
      <c r="BU24">
        <v>67833.19</v>
      </c>
      <c r="BV24">
        <v>67833.19</v>
      </c>
    </row>
    <row r="25" spans="1:74" x14ac:dyDescent="0.3">
      <c r="A25" t="s">
        <v>120</v>
      </c>
      <c r="B25" t="s">
        <v>121</v>
      </c>
      <c r="C25">
        <v>67.48</v>
      </c>
      <c r="D25">
        <v>67.48</v>
      </c>
      <c r="E25">
        <v>67.48</v>
      </c>
      <c r="F25">
        <v>67.48</v>
      </c>
      <c r="G25">
        <v>67.489999999999995</v>
      </c>
      <c r="H25">
        <v>67.48</v>
      </c>
      <c r="I25">
        <v>67.48</v>
      </c>
      <c r="J25">
        <v>67.48</v>
      </c>
      <c r="K25">
        <v>67.48</v>
      </c>
      <c r="L25">
        <v>67.48</v>
      </c>
      <c r="M25">
        <v>67.48</v>
      </c>
      <c r="N25">
        <v>67.48</v>
      </c>
      <c r="O25">
        <v>163.27000000000001</v>
      </c>
      <c r="P25">
        <v>163.27000000000001</v>
      </c>
      <c r="Q25">
        <v>163.27000000000001</v>
      </c>
      <c r="R25">
        <v>-35.880000000000003</v>
      </c>
      <c r="S25">
        <v>113.48</v>
      </c>
      <c r="T25">
        <v>113.48</v>
      </c>
      <c r="U25">
        <v>113.48</v>
      </c>
      <c r="V25">
        <v>113.48</v>
      </c>
      <c r="W25">
        <v>113.48</v>
      </c>
      <c r="X25">
        <v>113.48</v>
      </c>
      <c r="Y25">
        <v>113.48</v>
      </c>
      <c r="Z25">
        <v>113.51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67.48</v>
      </c>
      <c r="AZ25">
        <v>67.48</v>
      </c>
      <c r="BA25">
        <v>67.48</v>
      </c>
      <c r="BB25">
        <v>67.48</v>
      </c>
      <c r="BC25">
        <v>67.489999999999995</v>
      </c>
      <c r="BD25">
        <v>67.489999999999995</v>
      </c>
      <c r="BE25">
        <v>67.489999999999995</v>
      </c>
      <c r="BF25">
        <v>67.489999999999995</v>
      </c>
      <c r="BG25">
        <v>67.48</v>
      </c>
      <c r="BH25">
        <v>67.48</v>
      </c>
      <c r="BI25">
        <v>67.48</v>
      </c>
      <c r="BJ25">
        <v>67.48</v>
      </c>
      <c r="BK25">
        <v>90.78</v>
      </c>
      <c r="BL25">
        <v>90.78</v>
      </c>
      <c r="BM25">
        <v>90.78</v>
      </c>
      <c r="BN25">
        <v>90.78</v>
      </c>
      <c r="BO25">
        <v>90.78</v>
      </c>
      <c r="BP25">
        <v>90.78</v>
      </c>
      <c r="BQ25">
        <v>90.78</v>
      </c>
      <c r="BR25">
        <v>90.78</v>
      </c>
      <c r="BS25">
        <v>90.78</v>
      </c>
      <c r="BT25">
        <v>90.78</v>
      </c>
      <c r="BU25">
        <v>90.78</v>
      </c>
      <c r="BV25">
        <v>90.78</v>
      </c>
    </row>
    <row r="26" spans="1:74" x14ac:dyDescent="0.3">
      <c r="A26" t="s">
        <v>122</v>
      </c>
      <c r="B26" t="s">
        <v>123</v>
      </c>
      <c r="C26">
        <v>2939.06</v>
      </c>
      <c r="D26">
        <v>3987.4</v>
      </c>
      <c r="E26">
        <v>4396.41</v>
      </c>
      <c r="F26">
        <v>3945.7</v>
      </c>
      <c r="G26">
        <v>462964.67</v>
      </c>
      <c r="H26">
        <v>95927.19</v>
      </c>
      <c r="I26">
        <v>96215.79</v>
      </c>
      <c r="J26">
        <v>93500.33</v>
      </c>
      <c r="K26">
        <v>98132.11</v>
      </c>
      <c r="L26">
        <v>98872.25</v>
      </c>
      <c r="M26">
        <v>97708.800000000003</v>
      </c>
      <c r="N26">
        <v>91964.43</v>
      </c>
      <c r="O26">
        <v>122793.29</v>
      </c>
      <c r="P26">
        <v>95290.61</v>
      </c>
      <c r="Q26">
        <v>94259.55</v>
      </c>
      <c r="R26">
        <v>105530.57</v>
      </c>
      <c r="S26">
        <v>95371.62</v>
      </c>
      <c r="T26">
        <v>95433.06</v>
      </c>
      <c r="U26">
        <v>93456.95</v>
      </c>
      <c r="V26">
        <v>93761.05</v>
      </c>
      <c r="W26">
        <v>99888.98</v>
      </c>
      <c r="X26">
        <v>100221.5</v>
      </c>
      <c r="Y26">
        <v>85653.7</v>
      </c>
      <c r="Z26">
        <v>31774.05</v>
      </c>
      <c r="AA26">
        <v>123453.96</v>
      </c>
      <c r="AB26">
        <v>414.58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190.38</v>
      </c>
      <c r="AN26">
        <v>189.29</v>
      </c>
      <c r="AO26">
        <v>190.75</v>
      </c>
      <c r="AP26">
        <v>190.19</v>
      </c>
      <c r="AQ26">
        <v>191.96</v>
      </c>
      <c r="AR26">
        <v>187.91</v>
      </c>
      <c r="AS26">
        <v>191.01</v>
      </c>
      <c r="AT26">
        <v>191.01</v>
      </c>
      <c r="AU26">
        <v>200.32</v>
      </c>
      <c r="AV26">
        <v>186.81</v>
      </c>
      <c r="AW26">
        <v>185.99</v>
      </c>
      <c r="AX26">
        <v>189.6</v>
      </c>
      <c r="AY26">
        <v>105486.83</v>
      </c>
      <c r="AZ26">
        <v>98573.98</v>
      </c>
      <c r="BA26">
        <v>98074.85</v>
      </c>
      <c r="BB26">
        <v>95220.53</v>
      </c>
      <c r="BC26">
        <v>96692.88</v>
      </c>
      <c r="BD26">
        <v>97373.16</v>
      </c>
      <c r="BE26">
        <v>95239.76</v>
      </c>
      <c r="BF26">
        <v>87590.28</v>
      </c>
      <c r="BG26">
        <v>98262.29</v>
      </c>
      <c r="BH26">
        <v>102308.03</v>
      </c>
      <c r="BI26">
        <v>96391.55</v>
      </c>
      <c r="BJ26">
        <v>99397.58</v>
      </c>
      <c r="BK26">
        <v>86529</v>
      </c>
      <c r="BL26">
        <v>94424.4</v>
      </c>
      <c r="BM26">
        <v>93911.88</v>
      </c>
      <c r="BN26">
        <v>91604.79</v>
      </c>
      <c r="BO26">
        <v>90302.84</v>
      </c>
      <c r="BP26">
        <v>87963.72</v>
      </c>
      <c r="BQ26">
        <v>92747.16</v>
      </c>
      <c r="BR26">
        <v>83369.320000000007</v>
      </c>
      <c r="BS26">
        <v>91463.53</v>
      </c>
      <c r="BT26">
        <v>86193.87</v>
      </c>
      <c r="BU26">
        <v>80635.09</v>
      </c>
      <c r="BV26">
        <v>88010.03</v>
      </c>
    </row>
    <row r="27" spans="1:74" x14ac:dyDescent="0.3">
      <c r="A27" t="s">
        <v>124</v>
      </c>
      <c r="B27" t="s">
        <v>125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-160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3">
      <c r="A28" t="s">
        <v>126</v>
      </c>
      <c r="B28" t="s">
        <v>127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3">
      <c r="A29" t="s">
        <v>128</v>
      </c>
      <c r="B29" t="s">
        <v>129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1" spans="1:74" x14ac:dyDescent="0.3">
      <c r="C31">
        <f>SUMPRODUCT(CISS[[LY01]:[LY02]])</f>
        <v>4458646.53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selection activeCell="M37" sqref="M37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5.21875" bestFit="1" customWidth="1"/>
    <col min="6" max="6" width="25.77734375" customWidth="1"/>
    <col min="7" max="7" width="9.77734375" bestFit="1" customWidth="1"/>
    <col min="10" max="10" width="10" bestFit="1" customWidth="1"/>
  </cols>
  <sheetData>
    <row r="1" spans="1:13" x14ac:dyDescent="0.3">
      <c r="A1" s="12" t="s">
        <v>184</v>
      </c>
      <c r="B1" s="13" t="s">
        <v>185</v>
      </c>
      <c r="C1" s="14" t="s">
        <v>186</v>
      </c>
      <c r="F1" s="5" t="s">
        <v>214</v>
      </c>
      <c r="G1" s="6" t="s">
        <v>215</v>
      </c>
      <c r="J1" s="100" t="s">
        <v>214</v>
      </c>
      <c r="K1" s="101" t="s">
        <v>184</v>
      </c>
      <c r="L1" s="106" t="s">
        <v>185</v>
      </c>
      <c r="M1" s="103" t="s">
        <v>460</v>
      </c>
    </row>
    <row r="2" spans="1:13" x14ac:dyDescent="0.3">
      <c r="A2" s="7" t="s">
        <v>187</v>
      </c>
      <c r="B2" t="s">
        <v>188</v>
      </c>
      <c r="C2" s="8" t="s">
        <v>188</v>
      </c>
      <c r="F2" s="7" t="s">
        <v>216</v>
      </c>
      <c r="G2" s="8" t="s">
        <v>219</v>
      </c>
      <c r="J2" s="102" t="s">
        <v>216</v>
      </c>
      <c r="K2" s="103" t="s">
        <v>187</v>
      </c>
      <c r="L2" s="107" t="s">
        <v>11</v>
      </c>
      <c r="M2" s="103">
        <v>1</v>
      </c>
    </row>
    <row r="3" spans="1:13" x14ac:dyDescent="0.3">
      <c r="A3" s="7" t="s">
        <v>189</v>
      </c>
      <c r="B3" t="s">
        <v>190</v>
      </c>
      <c r="C3" s="8" t="s">
        <v>188</v>
      </c>
      <c r="F3" s="7" t="s">
        <v>217</v>
      </c>
      <c r="G3" s="8" t="s">
        <v>220</v>
      </c>
      <c r="J3" s="102" t="s">
        <v>216</v>
      </c>
      <c r="K3" s="103" t="s">
        <v>189</v>
      </c>
      <c r="L3" s="107" t="s">
        <v>12</v>
      </c>
      <c r="M3" s="103">
        <v>2</v>
      </c>
    </row>
    <row r="4" spans="1:13" ht="15" thickBot="1" x14ac:dyDescent="0.35">
      <c r="A4" s="7" t="s">
        <v>191</v>
      </c>
      <c r="B4" t="s">
        <v>192</v>
      </c>
      <c r="C4" s="8" t="s">
        <v>188</v>
      </c>
      <c r="F4" s="9" t="s">
        <v>218</v>
      </c>
      <c r="G4" s="11" t="s">
        <v>221</v>
      </c>
      <c r="J4" s="102" t="s">
        <v>216</v>
      </c>
      <c r="K4" s="103" t="s">
        <v>191</v>
      </c>
      <c r="L4" s="107" t="s">
        <v>13</v>
      </c>
      <c r="M4" s="103">
        <v>3</v>
      </c>
    </row>
    <row r="5" spans="1:13" x14ac:dyDescent="0.3">
      <c r="A5" s="7" t="s">
        <v>193</v>
      </c>
      <c r="B5" t="s">
        <v>194</v>
      </c>
      <c r="C5" s="8" t="s">
        <v>194</v>
      </c>
      <c r="J5" s="102" t="s">
        <v>216</v>
      </c>
      <c r="K5" s="103" t="s">
        <v>193</v>
      </c>
      <c r="L5" s="107" t="s">
        <v>2</v>
      </c>
      <c r="M5" s="103">
        <v>4</v>
      </c>
    </row>
    <row r="6" spans="1:13" ht="15" thickBot="1" x14ac:dyDescent="0.35">
      <c r="A6" s="7" t="s">
        <v>195</v>
      </c>
      <c r="B6" t="s">
        <v>196</v>
      </c>
      <c r="C6" s="8" t="s">
        <v>194</v>
      </c>
      <c r="J6" s="102" t="s">
        <v>216</v>
      </c>
      <c r="K6" s="103" t="s">
        <v>195</v>
      </c>
      <c r="L6" s="107" t="s">
        <v>3</v>
      </c>
      <c r="M6" s="103">
        <v>5</v>
      </c>
    </row>
    <row r="7" spans="1:13" x14ac:dyDescent="0.3">
      <c r="A7" s="7" t="s">
        <v>197</v>
      </c>
      <c r="B7" t="s">
        <v>198</v>
      </c>
      <c r="C7" s="8" t="s">
        <v>194</v>
      </c>
      <c r="F7" s="5" t="s">
        <v>214</v>
      </c>
      <c r="G7" s="6" t="s">
        <v>215</v>
      </c>
      <c r="J7" s="102" t="s">
        <v>216</v>
      </c>
      <c r="K7" s="103" t="s">
        <v>197</v>
      </c>
      <c r="L7" s="107" t="s">
        <v>4</v>
      </c>
      <c r="M7" s="103">
        <v>6</v>
      </c>
    </row>
    <row r="8" spans="1:13" x14ac:dyDescent="0.3">
      <c r="A8" s="7" t="s">
        <v>199</v>
      </c>
      <c r="B8" t="s">
        <v>200</v>
      </c>
      <c r="C8" s="8" t="s">
        <v>200</v>
      </c>
      <c r="F8" s="94" t="s">
        <v>216</v>
      </c>
      <c r="G8" s="96" t="s">
        <v>219</v>
      </c>
      <c r="J8" s="102" t="s">
        <v>216</v>
      </c>
      <c r="K8" s="103" t="s">
        <v>199</v>
      </c>
      <c r="L8" s="107" t="s">
        <v>5</v>
      </c>
      <c r="M8" s="103">
        <v>7</v>
      </c>
    </row>
    <row r="9" spans="1:13" x14ac:dyDescent="0.3">
      <c r="A9" s="7" t="s">
        <v>201</v>
      </c>
      <c r="B9" t="s">
        <v>202</v>
      </c>
      <c r="C9" s="8" t="s">
        <v>200</v>
      </c>
      <c r="F9" s="94" t="s">
        <v>217</v>
      </c>
      <c r="G9" s="96" t="s">
        <v>220</v>
      </c>
      <c r="J9" s="102" t="s">
        <v>216</v>
      </c>
      <c r="K9" s="103" t="s">
        <v>201</v>
      </c>
      <c r="L9" s="107" t="s">
        <v>6</v>
      </c>
      <c r="M9" s="103">
        <v>8</v>
      </c>
    </row>
    <row r="10" spans="1:13" ht="15" thickBot="1" x14ac:dyDescent="0.35">
      <c r="A10" s="7" t="s">
        <v>203</v>
      </c>
      <c r="B10" t="s">
        <v>204</v>
      </c>
      <c r="C10" s="8" t="s">
        <v>200</v>
      </c>
      <c r="F10" s="95" t="s">
        <v>218</v>
      </c>
      <c r="G10" s="97" t="s">
        <v>221</v>
      </c>
      <c r="J10" s="102" t="s">
        <v>216</v>
      </c>
      <c r="K10" s="103" t="s">
        <v>203</v>
      </c>
      <c r="L10" s="107" t="s">
        <v>7</v>
      </c>
      <c r="M10" s="103">
        <v>9</v>
      </c>
    </row>
    <row r="11" spans="1:13" x14ac:dyDescent="0.3">
      <c r="A11" s="7" t="s">
        <v>205</v>
      </c>
      <c r="B11" t="s">
        <v>206</v>
      </c>
      <c r="C11" s="8" t="s">
        <v>206</v>
      </c>
      <c r="J11" s="102" t="s">
        <v>216</v>
      </c>
      <c r="K11" s="103" t="s">
        <v>205</v>
      </c>
      <c r="L11" s="107" t="s">
        <v>8</v>
      </c>
      <c r="M11" s="103">
        <v>10</v>
      </c>
    </row>
    <row r="12" spans="1:13" x14ac:dyDescent="0.3">
      <c r="A12" s="7" t="s">
        <v>207</v>
      </c>
      <c r="B12" t="s">
        <v>208</v>
      </c>
      <c r="C12" s="8" t="s">
        <v>206</v>
      </c>
      <c r="J12" s="102" t="s">
        <v>216</v>
      </c>
      <c r="K12" s="103" t="s">
        <v>207</v>
      </c>
      <c r="L12" s="107" t="s">
        <v>9</v>
      </c>
      <c r="M12" s="103">
        <v>11</v>
      </c>
    </row>
    <row r="13" spans="1:13" ht="15" thickBot="1" x14ac:dyDescent="0.35">
      <c r="A13" s="9" t="s">
        <v>209</v>
      </c>
      <c r="B13" s="10" t="s">
        <v>210</v>
      </c>
      <c r="C13" s="11" t="s">
        <v>206</v>
      </c>
      <c r="J13" s="102" t="s">
        <v>216</v>
      </c>
      <c r="K13" s="103" t="s">
        <v>209</v>
      </c>
      <c r="L13" s="107" t="s">
        <v>10</v>
      </c>
      <c r="M13" s="103">
        <v>12</v>
      </c>
    </row>
    <row r="14" spans="1:13" x14ac:dyDescent="0.3">
      <c r="J14" s="102" t="s">
        <v>217</v>
      </c>
      <c r="K14" s="103" t="s">
        <v>187</v>
      </c>
      <c r="L14" s="107" t="s">
        <v>23</v>
      </c>
      <c r="M14" s="103">
        <v>13</v>
      </c>
    </row>
    <row r="15" spans="1:13" x14ac:dyDescent="0.3">
      <c r="J15" s="102" t="s">
        <v>217</v>
      </c>
      <c r="K15" s="103" t="s">
        <v>189</v>
      </c>
      <c r="L15" s="107" t="s">
        <v>24</v>
      </c>
      <c r="M15" s="103">
        <v>14</v>
      </c>
    </row>
    <row r="16" spans="1:13" x14ac:dyDescent="0.3">
      <c r="J16" s="102" t="s">
        <v>217</v>
      </c>
      <c r="K16" s="103" t="s">
        <v>191</v>
      </c>
      <c r="L16" s="107" t="s">
        <v>25</v>
      </c>
      <c r="M16" s="103">
        <v>15</v>
      </c>
    </row>
    <row r="17" spans="10:13" x14ac:dyDescent="0.3">
      <c r="J17" s="102" t="s">
        <v>217</v>
      </c>
      <c r="K17" s="103" t="s">
        <v>193</v>
      </c>
      <c r="L17" s="107" t="s">
        <v>14</v>
      </c>
      <c r="M17" s="103">
        <v>16</v>
      </c>
    </row>
    <row r="18" spans="10:13" x14ac:dyDescent="0.3">
      <c r="J18" s="102" t="s">
        <v>217</v>
      </c>
      <c r="K18" s="103" t="s">
        <v>195</v>
      </c>
      <c r="L18" s="107" t="s">
        <v>15</v>
      </c>
      <c r="M18" s="103">
        <v>17</v>
      </c>
    </row>
    <row r="19" spans="10:13" x14ac:dyDescent="0.3">
      <c r="J19" s="102" t="s">
        <v>217</v>
      </c>
      <c r="K19" s="103" t="s">
        <v>197</v>
      </c>
      <c r="L19" s="107" t="s">
        <v>16</v>
      </c>
      <c r="M19" s="103">
        <v>18</v>
      </c>
    </row>
    <row r="20" spans="10:13" x14ac:dyDescent="0.3">
      <c r="J20" s="102" t="s">
        <v>217</v>
      </c>
      <c r="K20" s="103" t="s">
        <v>199</v>
      </c>
      <c r="L20" s="107" t="s">
        <v>17</v>
      </c>
      <c r="M20" s="103">
        <v>19</v>
      </c>
    </row>
    <row r="21" spans="10:13" x14ac:dyDescent="0.3">
      <c r="J21" s="102" t="s">
        <v>217</v>
      </c>
      <c r="K21" s="103" t="s">
        <v>201</v>
      </c>
      <c r="L21" s="107" t="s">
        <v>18</v>
      </c>
      <c r="M21" s="103">
        <v>20</v>
      </c>
    </row>
    <row r="22" spans="10:13" x14ac:dyDescent="0.3">
      <c r="J22" s="102" t="s">
        <v>217</v>
      </c>
      <c r="K22" s="103" t="s">
        <v>203</v>
      </c>
      <c r="L22" s="107" t="s">
        <v>19</v>
      </c>
      <c r="M22" s="103">
        <v>21</v>
      </c>
    </row>
    <row r="23" spans="10:13" x14ac:dyDescent="0.3">
      <c r="J23" s="102" t="s">
        <v>217</v>
      </c>
      <c r="K23" s="103" t="s">
        <v>205</v>
      </c>
      <c r="L23" s="107" t="s">
        <v>20</v>
      </c>
      <c r="M23" s="103">
        <v>22</v>
      </c>
    </row>
    <row r="24" spans="10:13" x14ac:dyDescent="0.3">
      <c r="J24" s="102" t="s">
        <v>217</v>
      </c>
      <c r="K24" s="103" t="s">
        <v>207</v>
      </c>
      <c r="L24" s="107" t="s">
        <v>21</v>
      </c>
      <c r="M24" s="103">
        <v>23</v>
      </c>
    </row>
    <row r="25" spans="10:13" x14ac:dyDescent="0.3">
      <c r="J25" s="102" t="s">
        <v>217</v>
      </c>
      <c r="K25" s="103" t="s">
        <v>209</v>
      </c>
      <c r="L25" s="107" t="s">
        <v>22</v>
      </c>
      <c r="M25" s="103">
        <v>24</v>
      </c>
    </row>
    <row r="26" spans="10:13" x14ac:dyDescent="0.3">
      <c r="J26" s="102" t="s">
        <v>218</v>
      </c>
      <c r="K26" s="103" t="s">
        <v>187</v>
      </c>
      <c r="L26" s="107" t="s">
        <v>35</v>
      </c>
      <c r="M26" s="103">
        <v>25</v>
      </c>
    </row>
    <row r="27" spans="10:13" x14ac:dyDescent="0.3">
      <c r="J27" s="102" t="s">
        <v>218</v>
      </c>
      <c r="K27" s="103" t="s">
        <v>189</v>
      </c>
      <c r="L27" s="107" t="s">
        <v>36</v>
      </c>
      <c r="M27" s="103">
        <v>26</v>
      </c>
    </row>
    <row r="28" spans="10:13" x14ac:dyDescent="0.3">
      <c r="J28" s="102" t="s">
        <v>218</v>
      </c>
      <c r="K28" s="103" t="s">
        <v>191</v>
      </c>
      <c r="L28" s="107" t="s">
        <v>37</v>
      </c>
      <c r="M28" s="103">
        <v>27</v>
      </c>
    </row>
    <row r="29" spans="10:13" x14ac:dyDescent="0.3">
      <c r="J29" s="102" t="s">
        <v>218</v>
      </c>
      <c r="K29" s="103" t="s">
        <v>193</v>
      </c>
      <c r="L29" s="107" t="s">
        <v>26</v>
      </c>
      <c r="M29" s="103">
        <v>28</v>
      </c>
    </row>
    <row r="30" spans="10:13" x14ac:dyDescent="0.3">
      <c r="J30" s="102" t="s">
        <v>218</v>
      </c>
      <c r="K30" s="103" t="s">
        <v>195</v>
      </c>
      <c r="L30" s="107" t="s">
        <v>27</v>
      </c>
      <c r="M30" s="103">
        <v>29</v>
      </c>
    </row>
    <row r="31" spans="10:13" x14ac:dyDescent="0.3">
      <c r="J31" s="102" t="s">
        <v>218</v>
      </c>
      <c r="K31" s="103" t="s">
        <v>197</v>
      </c>
      <c r="L31" s="107" t="s">
        <v>28</v>
      </c>
      <c r="M31" s="103">
        <v>30</v>
      </c>
    </row>
    <row r="32" spans="10:13" x14ac:dyDescent="0.3">
      <c r="J32" s="102" t="s">
        <v>218</v>
      </c>
      <c r="K32" s="103" t="s">
        <v>199</v>
      </c>
      <c r="L32" s="107" t="s">
        <v>29</v>
      </c>
      <c r="M32" s="103">
        <v>31</v>
      </c>
    </row>
    <row r="33" spans="10:13" x14ac:dyDescent="0.3">
      <c r="J33" s="102" t="s">
        <v>218</v>
      </c>
      <c r="K33" s="103" t="s">
        <v>201</v>
      </c>
      <c r="L33" s="107" t="s">
        <v>30</v>
      </c>
      <c r="M33" s="103">
        <v>32</v>
      </c>
    </row>
    <row r="34" spans="10:13" x14ac:dyDescent="0.3">
      <c r="J34" s="102" t="s">
        <v>218</v>
      </c>
      <c r="K34" s="103" t="s">
        <v>203</v>
      </c>
      <c r="L34" s="107" t="s">
        <v>31</v>
      </c>
      <c r="M34" s="103">
        <v>33</v>
      </c>
    </row>
    <row r="35" spans="10:13" x14ac:dyDescent="0.3">
      <c r="J35" s="102" t="s">
        <v>218</v>
      </c>
      <c r="K35" s="103" t="s">
        <v>205</v>
      </c>
      <c r="L35" s="107" t="s">
        <v>32</v>
      </c>
      <c r="M35" s="103">
        <v>34</v>
      </c>
    </row>
    <row r="36" spans="10:13" x14ac:dyDescent="0.3">
      <c r="J36" s="102" t="s">
        <v>218</v>
      </c>
      <c r="K36" s="103" t="s">
        <v>207</v>
      </c>
      <c r="L36" s="107" t="s">
        <v>33</v>
      </c>
      <c r="M36" s="103">
        <v>35</v>
      </c>
    </row>
    <row r="37" spans="10:13" ht="15" thickBot="1" x14ac:dyDescent="0.35">
      <c r="J37" s="104" t="s">
        <v>218</v>
      </c>
      <c r="K37" s="105" t="s">
        <v>209</v>
      </c>
      <c r="L37" s="108" t="s">
        <v>34</v>
      </c>
      <c r="M37" s="103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45"/>
  <sheetViews>
    <sheetView topLeftCell="A10" workbookViewId="0">
      <selection activeCell="D1" sqref="D1"/>
    </sheetView>
  </sheetViews>
  <sheetFormatPr defaultRowHeight="14.4" x14ac:dyDescent="0.3"/>
  <cols>
    <col min="1" max="1" width="6.21875" bestFit="1" customWidth="1"/>
    <col min="2" max="2" width="12" bestFit="1" customWidth="1"/>
    <col min="3" max="3" width="39.21875" bestFit="1" customWidth="1"/>
    <col min="4" max="4" width="23.21875" bestFit="1" customWidth="1"/>
    <col min="5" max="5" width="6.5546875" bestFit="1" customWidth="1"/>
    <col min="6" max="6" width="14.21875" bestFit="1" customWidth="1"/>
    <col min="7" max="7" width="11.5546875" bestFit="1" customWidth="1"/>
    <col min="8" max="8" width="9.44140625" bestFit="1" customWidth="1"/>
    <col min="9" max="9" width="8.77734375" bestFit="1" customWidth="1"/>
    <col min="10" max="11" width="7.21875" bestFit="1" customWidth="1"/>
    <col min="12" max="12" width="8" bestFit="1" customWidth="1"/>
    <col min="13" max="20" width="7.21875" bestFit="1" customWidth="1"/>
    <col min="21" max="21" width="8" bestFit="1" customWidth="1"/>
    <col min="22" max="30" width="7.21875" bestFit="1" customWidth="1"/>
    <col min="31" max="31" width="8" bestFit="1" customWidth="1"/>
    <col min="32" max="33" width="7.21875" bestFit="1" customWidth="1"/>
    <col min="34" max="34" width="8.77734375" bestFit="1" customWidth="1"/>
    <col min="35" max="45" width="7.77734375" bestFit="1" customWidth="1"/>
    <col min="46" max="57" width="8.21875" bestFit="1" customWidth="1"/>
    <col min="58" max="69" width="8.44140625" bestFit="1" customWidth="1"/>
    <col min="70" max="81" width="8.77734375" bestFit="1" customWidth="1"/>
  </cols>
  <sheetData>
    <row r="1" spans="1:81" x14ac:dyDescent="0.3">
      <c r="A1" t="s">
        <v>226</v>
      </c>
      <c r="B1" t="s">
        <v>0</v>
      </c>
      <c r="C1" t="s">
        <v>1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</row>
    <row r="2" spans="1:81" x14ac:dyDescent="0.3">
      <c r="A2" t="s">
        <v>235</v>
      </c>
      <c r="B2" t="s">
        <v>82</v>
      </c>
      <c r="C2" t="s">
        <v>83</v>
      </c>
      <c r="D2" t="s">
        <v>246</v>
      </c>
      <c r="F2" t="s">
        <v>236</v>
      </c>
      <c r="J2">
        <v>0</v>
      </c>
      <c r="K2">
        <v>0</v>
      </c>
      <c r="L2">
        <v>266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266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3">
      <c r="A3" t="s">
        <v>235</v>
      </c>
      <c r="B3" t="s">
        <v>82</v>
      </c>
      <c r="C3" t="s">
        <v>83</v>
      </c>
      <c r="D3" t="s">
        <v>252</v>
      </c>
      <c r="F3" t="s">
        <v>236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3">
      <c r="A4" t="s">
        <v>235</v>
      </c>
      <c r="B4" t="s">
        <v>82</v>
      </c>
      <c r="C4" t="s">
        <v>83</v>
      </c>
      <c r="D4" t="s">
        <v>262</v>
      </c>
      <c r="F4" t="s">
        <v>236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32</v>
      </c>
      <c r="Z4">
        <v>10.5</v>
      </c>
      <c r="AA4">
        <v>73.5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32</v>
      </c>
      <c r="BV4">
        <v>10.5</v>
      </c>
      <c r="BW4">
        <v>73.5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3">
      <c r="A5" t="s">
        <v>245</v>
      </c>
      <c r="B5" t="s">
        <v>82</v>
      </c>
      <c r="C5" t="s">
        <v>83</v>
      </c>
      <c r="D5" t="s">
        <v>246</v>
      </c>
      <c r="F5" t="s">
        <v>236</v>
      </c>
      <c r="J5">
        <v>0</v>
      </c>
      <c r="K5">
        <v>0</v>
      </c>
      <c r="L5">
        <v>1643.09</v>
      </c>
      <c r="M5">
        <v>0</v>
      </c>
      <c r="N5">
        <v>0</v>
      </c>
      <c r="O5">
        <v>200.94</v>
      </c>
      <c r="P5">
        <v>831.7</v>
      </c>
      <c r="Q5">
        <v>0</v>
      </c>
      <c r="R5">
        <v>0</v>
      </c>
      <c r="S5">
        <v>0</v>
      </c>
      <c r="T5">
        <v>0</v>
      </c>
      <c r="U5">
        <v>1042.05</v>
      </c>
      <c r="V5">
        <v>0</v>
      </c>
      <c r="W5">
        <v>0</v>
      </c>
      <c r="X5">
        <v>0</v>
      </c>
      <c r="Y5">
        <v>49.19</v>
      </c>
      <c r="Z5">
        <v>78.209999999999994</v>
      </c>
      <c r="AA5">
        <v>0</v>
      </c>
      <c r="AB5">
        <v>0</v>
      </c>
      <c r="AC5">
        <v>0</v>
      </c>
      <c r="AD5">
        <v>0</v>
      </c>
      <c r="AE5">
        <v>14.24</v>
      </c>
      <c r="AF5">
        <v>27.5</v>
      </c>
      <c r="AG5">
        <v>188.19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49.19</v>
      </c>
      <c r="BV5">
        <v>78.209999999999994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1042</v>
      </c>
    </row>
    <row r="6" spans="1:81" x14ac:dyDescent="0.3">
      <c r="A6" t="s">
        <v>237</v>
      </c>
      <c r="B6" t="s">
        <v>82</v>
      </c>
      <c r="C6" t="s">
        <v>83</v>
      </c>
      <c r="D6" t="s">
        <v>246</v>
      </c>
      <c r="F6" t="s">
        <v>236</v>
      </c>
      <c r="J6">
        <v>0</v>
      </c>
      <c r="K6">
        <v>0</v>
      </c>
      <c r="L6">
        <v>1643.09</v>
      </c>
      <c r="M6">
        <v>0</v>
      </c>
      <c r="N6">
        <v>0</v>
      </c>
      <c r="O6">
        <v>200.94</v>
      </c>
      <c r="P6">
        <v>831.7</v>
      </c>
      <c r="Q6">
        <v>0</v>
      </c>
      <c r="R6">
        <v>0</v>
      </c>
      <c r="S6">
        <v>0</v>
      </c>
      <c r="T6">
        <v>0</v>
      </c>
      <c r="U6">
        <v>1042.05</v>
      </c>
      <c r="V6">
        <v>0</v>
      </c>
      <c r="W6">
        <v>0</v>
      </c>
      <c r="X6">
        <v>0</v>
      </c>
      <c r="Y6">
        <v>49.19</v>
      </c>
      <c r="Z6">
        <v>78.209999999999994</v>
      </c>
      <c r="AA6">
        <v>0</v>
      </c>
      <c r="AB6">
        <v>0</v>
      </c>
      <c r="AC6">
        <v>0</v>
      </c>
      <c r="AD6">
        <v>0</v>
      </c>
      <c r="AE6">
        <v>14.24</v>
      </c>
      <c r="AF6">
        <v>27.5</v>
      </c>
      <c r="AG6">
        <v>188.19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1643</v>
      </c>
      <c r="BI6">
        <v>0</v>
      </c>
      <c r="BJ6">
        <v>0</v>
      </c>
      <c r="BK6">
        <v>201</v>
      </c>
      <c r="BL6">
        <v>832</v>
      </c>
      <c r="BM6">
        <v>0</v>
      </c>
      <c r="BN6">
        <v>0</v>
      </c>
      <c r="BO6">
        <v>0</v>
      </c>
      <c r="BP6">
        <v>0</v>
      </c>
      <c r="BQ6">
        <v>1042</v>
      </c>
      <c r="BR6">
        <v>0</v>
      </c>
      <c r="BS6">
        <v>0</v>
      </c>
      <c r="BT6">
        <v>0</v>
      </c>
      <c r="BU6">
        <v>49.19</v>
      </c>
      <c r="BV6">
        <v>78.209999999999994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1042</v>
      </c>
    </row>
    <row r="7" spans="1:81" x14ac:dyDescent="0.3">
      <c r="A7" t="s">
        <v>245</v>
      </c>
      <c r="B7" t="s">
        <v>82</v>
      </c>
      <c r="C7" t="s">
        <v>83</v>
      </c>
      <c r="D7" t="s">
        <v>247</v>
      </c>
      <c r="F7" t="s">
        <v>236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2250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3">
      <c r="A8" t="s">
        <v>237</v>
      </c>
      <c r="B8" t="s">
        <v>82</v>
      </c>
      <c r="C8" t="s">
        <v>83</v>
      </c>
      <c r="D8" t="s">
        <v>247</v>
      </c>
      <c r="F8" t="s">
        <v>236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2250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3">
      <c r="A9" t="s">
        <v>245</v>
      </c>
      <c r="B9" t="s">
        <v>82</v>
      </c>
      <c r="C9" t="s">
        <v>83</v>
      </c>
      <c r="D9" t="s">
        <v>248</v>
      </c>
      <c r="F9" t="s">
        <v>236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131</v>
      </c>
      <c r="V9">
        <v>0</v>
      </c>
      <c r="W9">
        <v>30</v>
      </c>
      <c r="X9">
        <v>36</v>
      </c>
      <c r="Y9">
        <v>0</v>
      </c>
      <c r="Z9">
        <v>45</v>
      </c>
      <c r="AA9">
        <v>111</v>
      </c>
      <c r="AB9">
        <v>0</v>
      </c>
      <c r="AC9">
        <v>0</v>
      </c>
      <c r="AD9">
        <v>0</v>
      </c>
      <c r="AE9">
        <v>-45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17.829999999999998</v>
      </c>
      <c r="BS9">
        <v>31.21</v>
      </c>
      <c r="BT9">
        <v>92.68</v>
      </c>
      <c r="BU9">
        <v>89.17</v>
      </c>
      <c r="BV9">
        <v>78.36</v>
      </c>
      <c r="BW9">
        <v>80.25</v>
      </c>
      <c r="BX9">
        <v>70.959999999999994</v>
      </c>
      <c r="BY9">
        <v>34.409999999999997</v>
      </c>
      <c r="BZ9">
        <v>27.53</v>
      </c>
      <c r="CA9">
        <v>34.409999999999997</v>
      </c>
      <c r="CB9">
        <v>93.04</v>
      </c>
      <c r="CC9">
        <v>35.04</v>
      </c>
    </row>
    <row r="10" spans="1:81" x14ac:dyDescent="0.3">
      <c r="A10" t="s">
        <v>237</v>
      </c>
      <c r="B10" t="s">
        <v>82</v>
      </c>
      <c r="C10" t="s">
        <v>83</v>
      </c>
      <c r="D10" t="s">
        <v>248</v>
      </c>
      <c r="F10" t="s">
        <v>236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131</v>
      </c>
      <c r="V10">
        <v>0</v>
      </c>
      <c r="W10">
        <v>30</v>
      </c>
      <c r="X10">
        <v>36</v>
      </c>
      <c r="Y10">
        <v>0</v>
      </c>
      <c r="Z10">
        <v>45</v>
      </c>
      <c r="AA10">
        <v>111</v>
      </c>
      <c r="AB10">
        <v>0</v>
      </c>
      <c r="AC10">
        <v>0</v>
      </c>
      <c r="AD10">
        <v>0</v>
      </c>
      <c r="AE10">
        <v>-45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17.829999999999998</v>
      </c>
      <c r="BS10">
        <v>31.21</v>
      </c>
      <c r="BT10">
        <v>92.68</v>
      </c>
      <c r="BU10">
        <v>89.17</v>
      </c>
      <c r="BV10">
        <v>78.36</v>
      </c>
      <c r="BW10">
        <v>80.25</v>
      </c>
      <c r="BX10">
        <v>70.959999999999994</v>
      </c>
      <c r="BY10">
        <v>34.409999999999997</v>
      </c>
      <c r="BZ10">
        <v>27.53</v>
      </c>
      <c r="CA10">
        <v>34.409999999999997</v>
      </c>
      <c r="CB10">
        <v>93.04</v>
      </c>
      <c r="CC10">
        <v>35.04</v>
      </c>
    </row>
    <row r="11" spans="1:81" x14ac:dyDescent="0.3">
      <c r="A11" t="s">
        <v>245</v>
      </c>
      <c r="B11" t="s">
        <v>82</v>
      </c>
      <c r="C11" t="s">
        <v>83</v>
      </c>
      <c r="D11" t="s">
        <v>249</v>
      </c>
      <c r="F11" t="s">
        <v>236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3">
      <c r="A12" t="s">
        <v>237</v>
      </c>
      <c r="B12" t="s">
        <v>82</v>
      </c>
      <c r="C12" t="s">
        <v>83</v>
      </c>
      <c r="D12" t="s">
        <v>249</v>
      </c>
      <c r="F12" t="s">
        <v>236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3">
      <c r="A13" t="s">
        <v>245</v>
      </c>
      <c r="B13" t="s">
        <v>82</v>
      </c>
      <c r="C13" t="s">
        <v>83</v>
      </c>
      <c r="D13" t="s">
        <v>250</v>
      </c>
      <c r="F13" t="s">
        <v>236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396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3">
      <c r="A14" t="s">
        <v>237</v>
      </c>
      <c r="B14" t="s">
        <v>82</v>
      </c>
      <c r="C14" t="s">
        <v>83</v>
      </c>
      <c r="D14" t="s">
        <v>250</v>
      </c>
      <c r="F14" t="s">
        <v>236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3">
      <c r="A15" t="s">
        <v>245</v>
      </c>
      <c r="B15" t="s">
        <v>82</v>
      </c>
      <c r="C15" t="s">
        <v>83</v>
      </c>
      <c r="D15" t="s">
        <v>251</v>
      </c>
      <c r="F15" t="s">
        <v>236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11</v>
      </c>
      <c r="V15">
        <v>0</v>
      </c>
      <c r="W15">
        <v>0</v>
      </c>
      <c r="X15">
        <v>4.2</v>
      </c>
      <c r="Y15">
        <v>0</v>
      </c>
      <c r="Z15">
        <v>3</v>
      </c>
      <c r="AA15">
        <v>7</v>
      </c>
      <c r="AB15">
        <v>0</v>
      </c>
      <c r="AC15">
        <v>0</v>
      </c>
      <c r="AD15">
        <v>0</v>
      </c>
      <c r="AE15">
        <v>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3">
      <c r="A16" t="s">
        <v>237</v>
      </c>
      <c r="B16" t="s">
        <v>82</v>
      </c>
      <c r="C16" t="s">
        <v>83</v>
      </c>
      <c r="D16" t="s">
        <v>251</v>
      </c>
      <c r="F16" t="s">
        <v>236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11</v>
      </c>
      <c r="V16">
        <v>0</v>
      </c>
      <c r="W16">
        <v>0</v>
      </c>
      <c r="X16">
        <v>4.2</v>
      </c>
      <c r="Y16">
        <v>0</v>
      </c>
      <c r="Z16">
        <v>3</v>
      </c>
      <c r="AA16">
        <v>7</v>
      </c>
      <c r="AB16">
        <v>0</v>
      </c>
      <c r="AC16">
        <v>0</v>
      </c>
      <c r="AD16">
        <v>0</v>
      </c>
      <c r="AE16">
        <v>-3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3">
      <c r="A17" t="s">
        <v>245</v>
      </c>
      <c r="B17" t="s">
        <v>82</v>
      </c>
      <c r="C17" t="s">
        <v>83</v>
      </c>
      <c r="D17" t="s">
        <v>252</v>
      </c>
      <c r="F17" t="s">
        <v>236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966</v>
      </c>
      <c r="V17">
        <v>0</v>
      </c>
      <c r="W17">
        <v>300</v>
      </c>
      <c r="X17">
        <v>-152.4</v>
      </c>
      <c r="Y17">
        <v>115</v>
      </c>
      <c r="Z17">
        <v>112</v>
      </c>
      <c r="AA17">
        <v>225.5</v>
      </c>
      <c r="AB17">
        <v>0</v>
      </c>
      <c r="AC17">
        <v>0</v>
      </c>
      <c r="AD17">
        <v>0</v>
      </c>
      <c r="AE17">
        <v>-112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27</v>
      </c>
      <c r="BS17">
        <v>-0.5</v>
      </c>
      <c r="BT17">
        <v>-5</v>
      </c>
      <c r="BU17">
        <v>18.5</v>
      </c>
      <c r="BV17">
        <v>16.5</v>
      </c>
      <c r="BW17">
        <v>36.5</v>
      </c>
      <c r="BX17">
        <v>317.5</v>
      </c>
      <c r="BY17">
        <v>304.5</v>
      </c>
      <c r="BZ17">
        <v>37.5</v>
      </c>
      <c r="CA17">
        <v>36.5</v>
      </c>
      <c r="CB17">
        <v>8.5</v>
      </c>
      <c r="CC17">
        <v>51</v>
      </c>
    </row>
    <row r="18" spans="1:81" x14ac:dyDescent="0.3">
      <c r="A18" t="s">
        <v>237</v>
      </c>
      <c r="B18" t="s">
        <v>82</v>
      </c>
      <c r="C18" t="s">
        <v>83</v>
      </c>
      <c r="D18" t="s">
        <v>252</v>
      </c>
      <c r="F18" t="s">
        <v>236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966</v>
      </c>
      <c r="V18">
        <v>0</v>
      </c>
      <c r="W18">
        <v>300</v>
      </c>
      <c r="X18">
        <v>-152.4</v>
      </c>
      <c r="Y18">
        <v>115</v>
      </c>
      <c r="Z18">
        <v>112</v>
      </c>
      <c r="AA18">
        <v>225.5</v>
      </c>
      <c r="AB18">
        <v>0</v>
      </c>
      <c r="AC18">
        <v>0</v>
      </c>
      <c r="AD18">
        <v>0</v>
      </c>
      <c r="AE18">
        <v>-112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27</v>
      </c>
      <c r="BS18">
        <v>-0.5</v>
      </c>
      <c r="BT18">
        <v>-5</v>
      </c>
      <c r="BU18">
        <v>18.5</v>
      </c>
      <c r="BV18">
        <v>16.5</v>
      </c>
      <c r="BW18">
        <v>36.5</v>
      </c>
      <c r="BX18">
        <v>317.5</v>
      </c>
      <c r="BY18">
        <v>304.5</v>
      </c>
      <c r="BZ18">
        <v>37.5</v>
      </c>
      <c r="CA18">
        <v>36.5</v>
      </c>
      <c r="CB18">
        <v>8.5</v>
      </c>
      <c r="CC18">
        <v>51</v>
      </c>
    </row>
    <row r="19" spans="1:81" x14ac:dyDescent="0.3">
      <c r="A19" t="s">
        <v>245</v>
      </c>
      <c r="B19" t="s">
        <v>82</v>
      </c>
      <c r="C19" t="s">
        <v>83</v>
      </c>
      <c r="D19" t="s">
        <v>253</v>
      </c>
      <c r="F19" t="s">
        <v>236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2688</v>
      </c>
      <c r="V19">
        <v>0</v>
      </c>
      <c r="W19">
        <v>220</v>
      </c>
      <c r="X19">
        <v>398</v>
      </c>
      <c r="Y19">
        <v>180</v>
      </c>
      <c r="Z19">
        <v>186</v>
      </c>
      <c r="AA19">
        <v>534</v>
      </c>
      <c r="AB19">
        <v>0</v>
      </c>
      <c r="AC19">
        <v>0</v>
      </c>
      <c r="AD19">
        <v>0</v>
      </c>
      <c r="AE19">
        <v>-186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363</v>
      </c>
      <c r="BS19">
        <v>240</v>
      </c>
      <c r="BT19">
        <v>510</v>
      </c>
      <c r="BU19">
        <v>192</v>
      </c>
      <c r="BV19">
        <v>546</v>
      </c>
      <c r="BW19">
        <v>474</v>
      </c>
      <c r="BX19">
        <v>768</v>
      </c>
      <c r="BY19">
        <v>531</v>
      </c>
      <c r="BZ19">
        <v>766.98</v>
      </c>
      <c r="CA19">
        <v>186</v>
      </c>
      <c r="CB19">
        <v>456</v>
      </c>
      <c r="CC19">
        <v>240</v>
      </c>
    </row>
    <row r="20" spans="1:81" x14ac:dyDescent="0.3">
      <c r="A20" t="s">
        <v>237</v>
      </c>
      <c r="B20" t="s">
        <v>82</v>
      </c>
      <c r="C20" t="s">
        <v>83</v>
      </c>
      <c r="D20" t="s">
        <v>253</v>
      </c>
      <c r="F20" t="s">
        <v>236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2688</v>
      </c>
      <c r="V20">
        <v>0</v>
      </c>
      <c r="W20">
        <v>220</v>
      </c>
      <c r="X20">
        <v>398</v>
      </c>
      <c r="Y20">
        <v>180</v>
      </c>
      <c r="Z20">
        <v>186</v>
      </c>
      <c r="AA20">
        <v>534</v>
      </c>
      <c r="AB20">
        <v>0</v>
      </c>
      <c r="AC20">
        <v>0</v>
      </c>
      <c r="AD20">
        <v>0</v>
      </c>
      <c r="AE20">
        <v>-186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1800</v>
      </c>
      <c r="BG20">
        <v>2363</v>
      </c>
      <c r="BH20">
        <v>3069</v>
      </c>
      <c r="BI20">
        <v>3781</v>
      </c>
      <c r="BJ20">
        <v>3939</v>
      </c>
      <c r="BK20">
        <v>5774</v>
      </c>
      <c r="BL20">
        <v>6913</v>
      </c>
      <c r="BM20">
        <v>6996</v>
      </c>
      <c r="BN20">
        <v>3683</v>
      </c>
      <c r="BO20">
        <v>1523</v>
      </c>
      <c r="BP20">
        <v>2129</v>
      </c>
      <c r="BQ20">
        <v>2143</v>
      </c>
      <c r="BR20">
        <v>363</v>
      </c>
      <c r="BS20">
        <v>240</v>
      </c>
      <c r="BT20">
        <v>510</v>
      </c>
      <c r="BU20">
        <v>192</v>
      </c>
      <c r="BV20">
        <v>546</v>
      </c>
      <c r="BW20">
        <v>474</v>
      </c>
      <c r="BX20">
        <v>768</v>
      </c>
      <c r="BY20">
        <v>531</v>
      </c>
      <c r="BZ20">
        <v>766.98</v>
      </c>
      <c r="CA20">
        <v>186</v>
      </c>
      <c r="CB20">
        <v>456</v>
      </c>
      <c r="CC20">
        <v>240</v>
      </c>
    </row>
    <row r="21" spans="1:81" x14ac:dyDescent="0.3">
      <c r="A21" t="s">
        <v>245</v>
      </c>
      <c r="B21" t="s">
        <v>82</v>
      </c>
      <c r="C21" t="s">
        <v>83</v>
      </c>
      <c r="D21" t="s">
        <v>254</v>
      </c>
      <c r="F21" t="s">
        <v>236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1440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360</v>
      </c>
      <c r="BW21">
        <v>0</v>
      </c>
      <c r="BX21">
        <v>0</v>
      </c>
      <c r="BY21">
        <v>360</v>
      </c>
      <c r="BZ21">
        <v>0</v>
      </c>
      <c r="CA21">
        <v>0</v>
      </c>
      <c r="CB21">
        <v>180</v>
      </c>
      <c r="CC21">
        <v>0</v>
      </c>
    </row>
    <row r="22" spans="1:81" x14ac:dyDescent="0.3">
      <c r="A22" t="s">
        <v>237</v>
      </c>
      <c r="B22" t="s">
        <v>82</v>
      </c>
      <c r="C22" t="s">
        <v>83</v>
      </c>
      <c r="D22" t="s">
        <v>254</v>
      </c>
      <c r="F22" t="s">
        <v>236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1440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360</v>
      </c>
      <c r="BW22">
        <v>0</v>
      </c>
      <c r="BX22">
        <v>0</v>
      </c>
      <c r="BY22">
        <v>360</v>
      </c>
      <c r="BZ22">
        <v>0</v>
      </c>
      <c r="CA22">
        <v>0</v>
      </c>
      <c r="CB22">
        <v>180</v>
      </c>
      <c r="CC22">
        <v>0</v>
      </c>
    </row>
    <row r="23" spans="1:81" x14ac:dyDescent="0.3">
      <c r="A23" t="s">
        <v>245</v>
      </c>
      <c r="B23" t="s">
        <v>82</v>
      </c>
      <c r="C23" t="s">
        <v>83</v>
      </c>
      <c r="D23" t="s">
        <v>255</v>
      </c>
      <c r="F23" t="s">
        <v>236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3">
      <c r="A24" t="s">
        <v>237</v>
      </c>
      <c r="B24" t="s">
        <v>82</v>
      </c>
      <c r="C24" t="s">
        <v>83</v>
      </c>
      <c r="D24" t="s">
        <v>255</v>
      </c>
      <c r="F24" t="s">
        <v>236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3">
      <c r="A25" t="s">
        <v>245</v>
      </c>
      <c r="B25" t="s">
        <v>82</v>
      </c>
      <c r="C25" t="s">
        <v>83</v>
      </c>
      <c r="D25" t="s">
        <v>256</v>
      </c>
      <c r="F25" t="s">
        <v>236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3">
      <c r="A26" t="s">
        <v>237</v>
      </c>
      <c r="B26" t="s">
        <v>82</v>
      </c>
      <c r="C26" t="s">
        <v>83</v>
      </c>
      <c r="D26" t="s">
        <v>256</v>
      </c>
      <c r="F26" t="s">
        <v>236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3">
      <c r="A27" t="s">
        <v>245</v>
      </c>
      <c r="B27" t="s">
        <v>82</v>
      </c>
      <c r="C27" t="s">
        <v>83</v>
      </c>
      <c r="D27" t="s">
        <v>257</v>
      </c>
      <c r="F27" t="s">
        <v>236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3">
      <c r="A28" t="s">
        <v>237</v>
      </c>
      <c r="B28" t="s">
        <v>82</v>
      </c>
      <c r="C28" t="s">
        <v>83</v>
      </c>
      <c r="D28" t="s">
        <v>257</v>
      </c>
      <c r="F28" t="s">
        <v>236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3">
      <c r="A29" t="s">
        <v>245</v>
      </c>
      <c r="B29" t="s">
        <v>82</v>
      </c>
      <c r="C29" t="s">
        <v>83</v>
      </c>
      <c r="D29" t="s">
        <v>258</v>
      </c>
      <c r="F29" t="s">
        <v>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62</v>
      </c>
      <c r="V29">
        <v>0</v>
      </c>
      <c r="W29">
        <v>10</v>
      </c>
      <c r="X29">
        <v>49.4</v>
      </c>
      <c r="Y29">
        <v>0</v>
      </c>
      <c r="Z29">
        <v>20.5</v>
      </c>
      <c r="AA29">
        <v>85</v>
      </c>
      <c r="AB29">
        <v>0</v>
      </c>
      <c r="AC29">
        <v>0</v>
      </c>
      <c r="AD29">
        <v>0</v>
      </c>
      <c r="AE29">
        <v>-20.5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12</v>
      </c>
      <c r="BS29">
        <v>12</v>
      </c>
      <c r="BT29">
        <v>14.5</v>
      </c>
      <c r="BU29">
        <v>14.5</v>
      </c>
      <c r="BV29">
        <v>13.5</v>
      </c>
      <c r="BW29">
        <v>13.5</v>
      </c>
      <c r="BX29">
        <v>21</v>
      </c>
      <c r="BY29">
        <v>28</v>
      </c>
      <c r="BZ29">
        <v>11.5</v>
      </c>
      <c r="CA29">
        <v>12</v>
      </c>
      <c r="CB29">
        <v>11</v>
      </c>
      <c r="CC29">
        <v>11</v>
      </c>
    </row>
    <row r="30" spans="1:81" x14ac:dyDescent="0.3">
      <c r="A30" t="s">
        <v>237</v>
      </c>
      <c r="B30" t="s">
        <v>82</v>
      </c>
      <c r="C30" t="s">
        <v>83</v>
      </c>
      <c r="D30" t="s">
        <v>258</v>
      </c>
      <c r="F30" t="s">
        <v>236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62</v>
      </c>
      <c r="V30">
        <v>0</v>
      </c>
      <c r="W30">
        <v>10</v>
      </c>
      <c r="X30">
        <v>49.4</v>
      </c>
      <c r="Y30">
        <v>0</v>
      </c>
      <c r="Z30">
        <v>20.5</v>
      </c>
      <c r="AA30">
        <v>85</v>
      </c>
      <c r="AB30">
        <v>0</v>
      </c>
      <c r="AC30">
        <v>0</v>
      </c>
      <c r="AD30">
        <v>0</v>
      </c>
      <c r="AE30">
        <v>-20.5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12</v>
      </c>
      <c r="BS30">
        <v>12</v>
      </c>
      <c r="BT30">
        <v>14.5</v>
      </c>
      <c r="BU30">
        <v>14.5</v>
      </c>
      <c r="BV30">
        <v>13.5</v>
      </c>
      <c r="BW30">
        <v>13.5</v>
      </c>
      <c r="BX30">
        <v>21</v>
      </c>
      <c r="BY30">
        <v>28</v>
      </c>
      <c r="BZ30">
        <v>11.5</v>
      </c>
      <c r="CA30">
        <v>12</v>
      </c>
      <c r="CB30">
        <v>11</v>
      </c>
      <c r="CC30">
        <v>11</v>
      </c>
    </row>
    <row r="31" spans="1:81" x14ac:dyDescent="0.3">
      <c r="A31" t="s">
        <v>245</v>
      </c>
      <c r="B31" t="s">
        <v>82</v>
      </c>
      <c r="C31" t="s">
        <v>83</v>
      </c>
      <c r="D31" t="s">
        <v>259</v>
      </c>
      <c r="F31" t="s">
        <v>236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14081</v>
      </c>
      <c r="V31">
        <v>0</v>
      </c>
      <c r="W31">
        <v>3420</v>
      </c>
      <c r="X31">
        <v>720</v>
      </c>
      <c r="Y31">
        <v>1260</v>
      </c>
      <c r="Z31">
        <v>720</v>
      </c>
      <c r="AA31">
        <v>2520</v>
      </c>
      <c r="AB31">
        <v>0</v>
      </c>
      <c r="AC31">
        <v>0</v>
      </c>
      <c r="AD31">
        <v>0</v>
      </c>
      <c r="AE31">
        <v>-720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360</v>
      </c>
      <c r="BS31">
        <v>270</v>
      </c>
      <c r="BT31">
        <v>900</v>
      </c>
      <c r="BU31">
        <v>360</v>
      </c>
      <c r="BV31">
        <v>360</v>
      </c>
      <c r="BW31">
        <v>1440</v>
      </c>
      <c r="BX31">
        <v>1440</v>
      </c>
      <c r="BY31">
        <v>540</v>
      </c>
      <c r="BZ31">
        <v>360</v>
      </c>
      <c r="CA31">
        <v>360</v>
      </c>
      <c r="CB31">
        <v>450</v>
      </c>
      <c r="CC31">
        <v>360</v>
      </c>
    </row>
    <row r="32" spans="1:81" x14ac:dyDescent="0.3">
      <c r="A32" t="s">
        <v>237</v>
      </c>
      <c r="B32" t="s">
        <v>82</v>
      </c>
      <c r="C32" t="s">
        <v>83</v>
      </c>
      <c r="D32" t="s">
        <v>259</v>
      </c>
      <c r="F32" t="s">
        <v>236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14081</v>
      </c>
      <c r="V32">
        <v>0</v>
      </c>
      <c r="W32">
        <v>3420</v>
      </c>
      <c r="X32">
        <v>720</v>
      </c>
      <c r="Y32">
        <v>1260</v>
      </c>
      <c r="Z32">
        <v>720</v>
      </c>
      <c r="AA32">
        <v>2520</v>
      </c>
      <c r="AB32">
        <v>0</v>
      </c>
      <c r="AC32">
        <v>0</v>
      </c>
      <c r="AD32">
        <v>0</v>
      </c>
      <c r="AE32">
        <v>-720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360</v>
      </c>
      <c r="BS32">
        <v>270</v>
      </c>
      <c r="BT32">
        <v>900</v>
      </c>
      <c r="BU32">
        <v>360</v>
      </c>
      <c r="BV32">
        <v>360</v>
      </c>
      <c r="BW32">
        <v>1440</v>
      </c>
      <c r="BX32">
        <v>1440</v>
      </c>
      <c r="BY32">
        <v>540</v>
      </c>
      <c r="BZ32">
        <v>360</v>
      </c>
      <c r="CA32">
        <v>360</v>
      </c>
      <c r="CB32">
        <v>450</v>
      </c>
      <c r="CC32">
        <v>360</v>
      </c>
    </row>
    <row r="33" spans="1:81" x14ac:dyDescent="0.3">
      <c r="A33" t="s">
        <v>245</v>
      </c>
      <c r="B33" t="s">
        <v>82</v>
      </c>
      <c r="C33" t="s">
        <v>83</v>
      </c>
      <c r="D33" t="s">
        <v>260</v>
      </c>
      <c r="F33" t="s">
        <v>236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3">
      <c r="A34" t="s">
        <v>237</v>
      </c>
      <c r="B34" t="s">
        <v>82</v>
      </c>
      <c r="C34" t="s">
        <v>83</v>
      </c>
      <c r="D34" t="s">
        <v>260</v>
      </c>
      <c r="F34" t="s">
        <v>236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3">
      <c r="A35" t="s">
        <v>245</v>
      </c>
      <c r="B35" t="s">
        <v>82</v>
      </c>
      <c r="C35" t="s">
        <v>83</v>
      </c>
      <c r="D35" t="s">
        <v>261</v>
      </c>
      <c r="F35" t="s">
        <v>236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3">
      <c r="A36" t="s">
        <v>237</v>
      </c>
      <c r="B36" t="s">
        <v>82</v>
      </c>
      <c r="C36" t="s">
        <v>83</v>
      </c>
      <c r="D36" t="s">
        <v>261</v>
      </c>
      <c r="F36" t="s">
        <v>236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3">
      <c r="A37" t="s">
        <v>245</v>
      </c>
      <c r="B37" t="s">
        <v>82</v>
      </c>
      <c r="C37" t="s">
        <v>83</v>
      </c>
      <c r="D37" t="s">
        <v>262</v>
      </c>
      <c r="F37" t="s">
        <v>236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348</v>
      </c>
      <c r="V37">
        <v>0</v>
      </c>
      <c r="W37">
        <v>0</v>
      </c>
      <c r="X37">
        <v>358.8</v>
      </c>
      <c r="Y37">
        <v>143</v>
      </c>
      <c r="Z37">
        <v>37</v>
      </c>
      <c r="AA37">
        <v>65</v>
      </c>
      <c r="AB37">
        <v>0</v>
      </c>
      <c r="AC37">
        <v>0</v>
      </c>
      <c r="AD37">
        <v>0</v>
      </c>
      <c r="AE37">
        <v>-37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51.5</v>
      </c>
      <c r="BS37">
        <v>51</v>
      </c>
      <c r="BT37">
        <v>40</v>
      </c>
      <c r="BU37">
        <v>15</v>
      </c>
      <c r="BV37">
        <v>29.5</v>
      </c>
      <c r="BW37">
        <v>26</v>
      </c>
      <c r="BX37">
        <v>27.5</v>
      </c>
      <c r="BY37">
        <v>53</v>
      </c>
      <c r="BZ37">
        <v>49.5</v>
      </c>
      <c r="CA37">
        <v>99.5</v>
      </c>
      <c r="CB37">
        <v>58.5</v>
      </c>
      <c r="CC37">
        <v>56</v>
      </c>
    </row>
    <row r="38" spans="1:81" x14ac:dyDescent="0.3">
      <c r="A38" t="s">
        <v>237</v>
      </c>
      <c r="B38" t="s">
        <v>82</v>
      </c>
      <c r="C38" t="s">
        <v>83</v>
      </c>
      <c r="D38" t="s">
        <v>262</v>
      </c>
      <c r="F38" t="s">
        <v>236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348</v>
      </c>
      <c r="V38">
        <v>0</v>
      </c>
      <c r="W38">
        <v>0</v>
      </c>
      <c r="X38">
        <v>358.8</v>
      </c>
      <c r="Y38">
        <v>143</v>
      </c>
      <c r="Z38">
        <v>37</v>
      </c>
      <c r="AA38">
        <v>65</v>
      </c>
      <c r="AB38">
        <v>0</v>
      </c>
      <c r="AC38">
        <v>0</v>
      </c>
      <c r="AD38">
        <v>0</v>
      </c>
      <c r="AE38">
        <v>-37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51.5</v>
      </c>
      <c r="BS38">
        <v>51</v>
      </c>
      <c r="BT38">
        <v>40</v>
      </c>
      <c r="BU38">
        <v>15</v>
      </c>
      <c r="BV38">
        <v>29.5</v>
      </c>
      <c r="BW38">
        <v>26</v>
      </c>
      <c r="BX38">
        <v>27.5</v>
      </c>
      <c r="BY38">
        <v>53</v>
      </c>
      <c r="BZ38">
        <v>49.5</v>
      </c>
      <c r="CA38">
        <v>99.5</v>
      </c>
      <c r="CB38">
        <v>58.5</v>
      </c>
      <c r="CC38">
        <v>56</v>
      </c>
    </row>
    <row r="39" spans="1:81" x14ac:dyDescent="0.3">
      <c r="A39" t="s">
        <v>245</v>
      </c>
      <c r="B39" t="s">
        <v>82</v>
      </c>
      <c r="C39" t="s">
        <v>83</v>
      </c>
      <c r="D39" t="s">
        <v>263</v>
      </c>
      <c r="F39" t="s">
        <v>236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1440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3">
      <c r="A40" t="s">
        <v>237</v>
      </c>
      <c r="B40" t="s">
        <v>82</v>
      </c>
      <c r="C40" t="s">
        <v>83</v>
      </c>
      <c r="D40" t="s">
        <v>263</v>
      </c>
      <c r="F40" t="s">
        <v>236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1440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3">
      <c r="A41" t="s">
        <v>245</v>
      </c>
      <c r="B41" t="s">
        <v>82</v>
      </c>
      <c r="C41" t="s">
        <v>83</v>
      </c>
      <c r="D41" t="s">
        <v>264</v>
      </c>
      <c r="F41" t="s">
        <v>236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42</v>
      </c>
      <c r="V41">
        <v>0</v>
      </c>
      <c r="W41">
        <v>0</v>
      </c>
      <c r="X41">
        <v>0</v>
      </c>
      <c r="Y41">
        <v>0</v>
      </c>
      <c r="Z41">
        <v>0</v>
      </c>
      <c r="AA41">
        <v>0.5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17.5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3">
      <c r="A42" t="s">
        <v>237</v>
      </c>
      <c r="B42" t="s">
        <v>82</v>
      </c>
      <c r="C42" t="s">
        <v>83</v>
      </c>
      <c r="D42" t="s">
        <v>264</v>
      </c>
      <c r="F42" t="s">
        <v>236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42</v>
      </c>
      <c r="V42">
        <v>0</v>
      </c>
      <c r="W42">
        <v>0</v>
      </c>
      <c r="X42">
        <v>0</v>
      </c>
      <c r="Y42">
        <v>0</v>
      </c>
      <c r="Z42">
        <v>0</v>
      </c>
      <c r="AA42">
        <v>0.5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17.5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3">
      <c r="A43" t="s">
        <v>245</v>
      </c>
      <c r="B43" t="s">
        <v>82</v>
      </c>
      <c r="C43" t="s">
        <v>83</v>
      </c>
      <c r="D43" t="s">
        <v>265</v>
      </c>
      <c r="F43" t="s">
        <v>236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1.33</v>
      </c>
      <c r="BS43">
        <v>1.33</v>
      </c>
      <c r="BT43">
        <v>1.33</v>
      </c>
      <c r="BU43">
        <v>1.33</v>
      </c>
      <c r="BV43">
        <v>1.33</v>
      </c>
      <c r="BW43">
        <v>1.33</v>
      </c>
      <c r="BX43">
        <v>1.33</v>
      </c>
      <c r="BY43">
        <v>1.33</v>
      </c>
      <c r="BZ43">
        <v>1.33</v>
      </c>
      <c r="CA43">
        <v>1.33</v>
      </c>
      <c r="CB43">
        <v>1.33</v>
      </c>
      <c r="CC43">
        <v>1.33</v>
      </c>
    </row>
    <row r="44" spans="1:81" x14ac:dyDescent="0.3">
      <c r="A44" t="s">
        <v>237</v>
      </c>
      <c r="B44" t="s">
        <v>82</v>
      </c>
      <c r="C44" t="s">
        <v>83</v>
      </c>
      <c r="D44" t="s">
        <v>265</v>
      </c>
      <c r="F44" t="s">
        <v>236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1.33</v>
      </c>
      <c r="BS44">
        <v>1.33</v>
      </c>
      <c r="BT44">
        <v>1.33</v>
      </c>
      <c r="BU44">
        <v>1.33</v>
      </c>
      <c r="BV44">
        <v>1.33</v>
      </c>
      <c r="BW44">
        <v>1.33</v>
      </c>
      <c r="BX44">
        <v>1.33</v>
      </c>
      <c r="BY44">
        <v>1.33</v>
      </c>
      <c r="BZ44">
        <v>1.33</v>
      </c>
      <c r="CA44">
        <v>1.33</v>
      </c>
      <c r="CB44">
        <v>1.33</v>
      </c>
      <c r="CC44">
        <v>1.33</v>
      </c>
    </row>
    <row r="45" spans="1:81" x14ac:dyDescent="0.3">
      <c r="A45" t="s">
        <v>266</v>
      </c>
      <c r="B45" t="s">
        <v>96</v>
      </c>
      <c r="C45" t="s">
        <v>97</v>
      </c>
      <c r="D45" t="s">
        <v>233</v>
      </c>
      <c r="F45" t="s">
        <v>234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5753.4</v>
      </c>
      <c r="W45">
        <v>5753.4</v>
      </c>
      <c r="X45">
        <v>5753.4</v>
      </c>
      <c r="Y45">
        <v>5753.4</v>
      </c>
      <c r="Z45">
        <v>5753.4</v>
      </c>
      <c r="AA45">
        <v>5753.4</v>
      </c>
      <c r="AB45">
        <v>5753.4</v>
      </c>
      <c r="AC45">
        <v>5753.4</v>
      </c>
      <c r="AD45">
        <v>5753.4</v>
      </c>
      <c r="AE45">
        <v>10993.2</v>
      </c>
      <c r="AF45">
        <v>7500</v>
      </c>
      <c r="AG45">
        <v>7500</v>
      </c>
      <c r="AH45">
        <v>-77773.8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5370</v>
      </c>
      <c r="BG45">
        <v>5370</v>
      </c>
      <c r="BH45">
        <v>5370</v>
      </c>
      <c r="BI45">
        <v>5370</v>
      </c>
      <c r="BJ45">
        <v>5370</v>
      </c>
      <c r="BK45">
        <v>5370</v>
      </c>
      <c r="BL45">
        <v>5370</v>
      </c>
      <c r="BM45">
        <v>7398</v>
      </c>
      <c r="BN45">
        <v>7644</v>
      </c>
      <c r="BO45">
        <v>7397</v>
      </c>
      <c r="BP45">
        <v>6904</v>
      </c>
      <c r="BQ45">
        <v>7644</v>
      </c>
      <c r="BR45">
        <v>7500</v>
      </c>
      <c r="BS45">
        <v>7500</v>
      </c>
      <c r="BT45">
        <v>7500</v>
      </c>
      <c r="BU45">
        <v>7500</v>
      </c>
      <c r="BV45">
        <v>7500</v>
      </c>
      <c r="BW45">
        <v>7500</v>
      </c>
      <c r="BX45">
        <v>7500</v>
      </c>
      <c r="BY45">
        <v>8333.33</v>
      </c>
      <c r="BZ45">
        <v>8333.33</v>
      </c>
      <c r="CA45">
        <v>8333.33</v>
      </c>
      <c r="CB45">
        <v>8333.33</v>
      </c>
      <c r="CC45">
        <v>8333.33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:N10"/>
    </sheetView>
  </sheetViews>
  <sheetFormatPr defaultRowHeight="14.4" x14ac:dyDescent="0.3"/>
  <cols>
    <col min="1" max="1" width="27.77734375" customWidth="1"/>
    <col min="2" max="2" width="20" customWidth="1"/>
    <col min="3" max="3" width="12.21875" customWidth="1"/>
    <col min="4" max="5" width="12.21875" bestFit="1" customWidth="1"/>
    <col min="6" max="6" width="48" hidden="1" customWidth="1"/>
    <col min="7" max="18" width="12.21875" bestFit="1" customWidth="1"/>
    <col min="19" max="19" width="13.77734375" bestFit="1" customWidth="1"/>
  </cols>
  <sheetData>
    <row r="1" spans="1:19" x14ac:dyDescent="0.3">
      <c r="A1" s="57" t="s">
        <v>268</v>
      </c>
      <c r="B1" t="s">
        <v>382</v>
      </c>
    </row>
    <row r="2" spans="1:19" x14ac:dyDescent="0.3">
      <c r="A2" s="57" t="s">
        <v>1</v>
      </c>
      <c r="B2" t="s">
        <v>424</v>
      </c>
    </row>
    <row r="3" spans="1:19" x14ac:dyDescent="0.3">
      <c r="A3" s="57" t="s">
        <v>282</v>
      </c>
      <c r="B3" t="s">
        <v>424</v>
      </c>
    </row>
    <row r="4" spans="1:19" x14ac:dyDescent="0.3">
      <c r="A4" s="57" t="s">
        <v>227</v>
      </c>
      <c r="B4" t="s">
        <v>424</v>
      </c>
    </row>
    <row r="5" spans="1:19" x14ac:dyDescent="0.3">
      <c r="A5" s="57" t="s">
        <v>232</v>
      </c>
      <c r="B5" t="s">
        <v>424</v>
      </c>
    </row>
    <row r="6" spans="1:19" x14ac:dyDescent="0.3">
      <c r="A6" s="57" t="s">
        <v>283</v>
      </c>
      <c r="B6" t="s">
        <v>424</v>
      </c>
      <c r="S6" s="88">
        <f>SUM(G6:R6)</f>
        <v>0</v>
      </c>
    </row>
    <row r="7" spans="1:19" x14ac:dyDescent="0.3">
      <c r="S7" s="88">
        <f t="shared" ref="S7:S33" si="0">SUM(G7:R7)</f>
        <v>0</v>
      </c>
    </row>
    <row r="8" spans="1:19" x14ac:dyDescent="0.3">
      <c r="C8" s="57" t="s">
        <v>270</v>
      </c>
      <c r="S8" s="88">
        <f t="shared" si="0"/>
        <v>0</v>
      </c>
    </row>
    <row r="9" spans="1:19" x14ac:dyDescent="0.3">
      <c r="A9" s="57" t="s">
        <v>425</v>
      </c>
      <c r="B9" s="57" t="s">
        <v>226</v>
      </c>
      <c r="C9" t="s">
        <v>269</v>
      </c>
      <c r="D9" t="s">
        <v>271</v>
      </c>
      <c r="E9" t="s">
        <v>272</v>
      </c>
      <c r="F9" t="s">
        <v>273</v>
      </c>
      <c r="G9" t="s">
        <v>274</v>
      </c>
      <c r="H9" t="s">
        <v>275</v>
      </c>
      <c r="I9" t="s">
        <v>276</v>
      </c>
      <c r="J9" t="s">
        <v>277</v>
      </c>
      <c r="K9" t="s">
        <v>278</v>
      </c>
      <c r="L9" t="s">
        <v>279</v>
      </c>
      <c r="M9" t="s">
        <v>280</v>
      </c>
      <c r="N9" t="s">
        <v>281</v>
      </c>
      <c r="S9" s="88">
        <f t="shared" si="0"/>
        <v>0</v>
      </c>
    </row>
    <row r="10" spans="1:19" x14ac:dyDescent="0.3">
      <c r="A10" t="s">
        <v>426</v>
      </c>
      <c r="C10">
        <v>7616.19</v>
      </c>
      <c r="D10">
        <v>6469.5000000000009</v>
      </c>
      <c r="E10">
        <v>168347.65999999995</v>
      </c>
      <c r="F10">
        <v>18473.439999999999</v>
      </c>
      <c r="G10">
        <v>218507.03000000003</v>
      </c>
      <c r="H10">
        <v>136501.16</v>
      </c>
      <c r="I10">
        <v>77792.570000000007</v>
      </c>
      <c r="J10">
        <v>211139.02000000002</v>
      </c>
      <c r="K10" s="60">
        <v>-29538.60999999999</v>
      </c>
      <c r="L10" s="60">
        <v>245408.63</v>
      </c>
      <c r="M10" s="60">
        <v>114116.38</v>
      </c>
      <c r="N10" s="60">
        <v>141675.46</v>
      </c>
      <c r="S10" s="88">
        <f t="shared" si="0"/>
        <v>1115601.6400000001</v>
      </c>
    </row>
    <row r="11" spans="1:19" x14ac:dyDescent="0.3">
      <c r="B11" t="s">
        <v>235</v>
      </c>
      <c r="C11">
        <v>98.69</v>
      </c>
      <c r="D11">
        <v>700.09</v>
      </c>
      <c r="E11">
        <v>709.44</v>
      </c>
      <c r="F11">
        <v>744.72</v>
      </c>
      <c r="G11">
        <v>544.24</v>
      </c>
      <c r="H11">
        <v>576.57999999999993</v>
      </c>
      <c r="I11">
        <v>891.13</v>
      </c>
      <c r="J11">
        <v>1154.95</v>
      </c>
      <c r="K11" s="60">
        <v>2408.66</v>
      </c>
      <c r="L11" s="60">
        <v>881.03000000000009</v>
      </c>
      <c r="M11" s="60">
        <v>1053.4600000000003</v>
      </c>
      <c r="N11" s="60">
        <v>1731.41</v>
      </c>
      <c r="S11" s="88">
        <f t="shared" si="0"/>
        <v>9241.4599999999991</v>
      </c>
    </row>
    <row r="12" spans="1:19" x14ac:dyDescent="0.3">
      <c r="B12" t="s">
        <v>266</v>
      </c>
      <c r="C12">
        <v>135.38999999999999</v>
      </c>
      <c r="D12">
        <v>186.04000000000002</v>
      </c>
      <c r="E12">
        <v>393.02000000000004</v>
      </c>
      <c r="F12">
        <v>608.1</v>
      </c>
      <c r="G12">
        <v>633.54</v>
      </c>
      <c r="H12">
        <v>41969.99</v>
      </c>
      <c r="I12">
        <v>56718.36</v>
      </c>
      <c r="J12">
        <v>-122.02999999999997</v>
      </c>
      <c r="K12" s="60">
        <v>383.34000000000003</v>
      </c>
      <c r="L12" s="60">
        <v>78.67</v>
      </c>
      <c r="M12" s="60">
        <v>2754.3700000000003</v>
      </c>
      <c r="N12" s="60">
        <v>-817.53</v>
      </c>
      <c r="S12" s="88">
        <f t="shared" si="0"/>
        <v>101598.70999999999</v>
      </c>
    </row>
    <row r="13" spans="1:19" x14ac:dyDescent="0.3">
      <c r="B13" t="s">
        <v>445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60">
        <v>0</v>
      </c>
      <c r="L13" s="60">
        <v>0</v>
      </c>
      <c r="M13" s="60">
        <v>0</v>
      </c>
      <c r="N13" s="60">
        <v>0</v>
      </c>
      <c r="S13" s="88">
        <f t="shared" si="0"/>
        <v>0</v>
      </c>
    </row>
    <row r="14" spans="1:19" x14ac:dyDescent="0.3">
      <c r="B14" t="s">
        <v>237</v>
      </c>
      <c r="C14">
        <v>7382.11</v>
      </c>
      <c r="D14">
        <v>5583.3700000000008</v>
      </c>
      <c r="E14">
        <v>167245.19999999995</v>
      </c>
      <c r="F14">
        <v>17120.62</v>
      </c>
      <c r="G14">
        <v>217329.25000000003</v>
      </c>
      <c r="H14">
        <v>93954.590000000011</v>
      </c>
      <c r="I14">
        <v>20183.080000000002</v>
      </c>
      <c r="J14">
        <v>210106.1</v>
      </c>
      <c r="K14" s="60">
        <v>-32330.60999999999</v>
      </c>
      <c r="L14" s="60">
        <v>244448.93</v>
      </c>
      <c r="M14" s="60">
        <v>110308.55</v>
      </c>
      <c r="N14" s="60">
        <v>140761.57999999999</v>
      </c>
      <c r="S14" s="88">
        <f t="shared" si="0"/>
        <v>1004761.4700000001</v>
      </c>
    </row>
    <row r="15" spans="1:19" x14ac:dyDescent="0.3">
      <c r="A15" t="s">
        <v>427</v>
      </c>
      <c r="C15">
        <v>248974.83</v>
      </c>
      <c r="D15">
        <v>295151.96000000002</v>
      </c>
      <c r="E15">
        <v>199983.3</v>
      </c>
      <c r="F15">
        <v>265177.39</v>
      </c>
      <c r="G15">
        <v>238561.67</v>
      </c>
      <c r="H15">
        <v>288620.18999999994</v>
      </c>
      <c r="I15">
        <v>222494.65</v>
      </c>
      <c r="J15">
        <v>269458.17999999993</v>
      </c>
      <c r="K15" s="60">
        <v>192424.47000000003</v>
      </c>
      <c r="L15" s="60">
        <v>236629.11</v>
      </c>
      <c r="M15" s="60">
        <v>148721.03999999998</v>
      </c>
      <c r="N15" s="60">
        <v>120423.96</v>
      </c>
      <c r="S15" s="88">
        <f t="shared" si="0"/>
        <v>1717333.27</v>
      </c>
    </row>
    <row r="16" spans="1:19" x14ac:dyDescent="0.3">
      <c r="A16" t="s">
        <v>428</v>
      </c>
      <c r="C16">
        <v>103944.2</v>
      </c>
      <c r="D16">
        <v>129920.43</v>
      </c>
      <c r="E16">
        <v>128261.08000000002</v>
      </c>
      <c r="F16">
        <v>128651.73</v>
      </c>
      <c r="G16">
        <v>112155.51</v>
      </c>
      <c r="H16">
        <v>132497.47</v>
      </c>
      <c r="I16">
        <v>129190.31000000001</v>
      </c>
      <c r="J16">
        <v>117390.25</v>
      </c>
      <c r="K16" s="60">
        <v>154989.51999999999</v>
      </c>
      <c r="L16" s="60">
        <v>83307.26999999999</v>
      </c>
      <c r="M16" s="60">
        <v>92104.7</v>
      </c>
      <c r="N16" s="60">
        <v>98550.6</v>
      </c>
      <c r="S16" s="88">
        <f t="shared" si="0"/>
        <v>920185.62999999989</v>
      </c>
    </row>
    <row r="17" spans="1:19" x14ac:dyDescent="0.3">
      <c r="A17" t="s">
        <v>429</v>
      </c>
      <c r="C17">
        <v>31667.37</v>
      </c>
      <c r="D17">
        <v>25048.23</v>
      </c>
      <c r="E17">
        <v>13731.050000000001</v>
      </c>
      <c r="F17">
        <v>16030.59</v>
      </c>
      <c r="G17">
        <v>3483.6699999999996</v>
      </c>
      <c r="H17">
        <v>45972.69</v>
      </c>
      <c r="I17">
        <v>16915.98</v>
      </c>
      <c r="J17">
        <v>28280.719999999998</v>
      </c>
      <c r="K17" s="60">
        <v>8381.82</v>
      </c>
      <c r="L17" s="60">
        <v>9794.84</v>
      </c>
      <c r="M17" s="60">
        <v>39197.43</v>
      </c>
      <c r="N17" s="60">
        <v>18954.400000000001</v>
      </c>
      <c r="S17" s="88">
        <f t="shared" si="0"/>
        <v>170981.55</v>
      </c>
    </row>
    <row r="18" spans="1:19" x14ac:dyDescent="0.3">
      <c r="A18" t="s">
        <v>430</v>
      </c>
      <c r="C18">
        <v>0</v>
      </c>
      <c r="D18">
        <v>0</v>
      </c>
      <c r="E18">
        <v>124.53</v>
      </c>
      <c r="F18">
        <v>28431.399999999998</v>
      </c>
      <c r="G18">
        <v>1859.3</v>
      </c>
      <c r="H18">
        <v>338.43</v>
      </c>
      <c r="I18">
        <v>27662.47</v>
      </c>
      <c r="J18">
        <v>125.22</v>
      </c>
      <c r="K18" s="60">
        <v>125.22000000000182</v>
      </c>
      <c r="L18" s="60">
        <v>3767.12</v>
      </c>
      <c r="M18" s="60">
        <v>37.200000000000003</v>
      </c>
      <c r="N18" s="60">
        <v>298.42</v>
      </c>
      <c r="S18" s="88">
        <f t="shared" si="0"/>
        <v>34213.379999999997</v>
      </c>
    </row>
    <row r="19" spans="1:19" x14ac:dyDescent="0.3">
      <c r="A19" t="s">
        <v>431</v>
      </c>
      <c r="C19">
        <v>933.81</v>
      </c>
      <c r="D19">
        <v>49.05</v>
      </c>
      <c r="E19">
        <v>96129.03</v>
      </c>
      <c r="F19">
        <v>66.08</v>
      </c>
      <c r="G19">
        <v>884</v>
      </c>
      <c r="H19">
        <v>96551</v>
      </c>
      <c r="I19">
        <v>23309.360000000001</v>
      </c>
      <c r="J19">
        <v>1339.74</v>
      </c>
      <c r="K19" s="60">
        <v>602.34</v>
      </c>
      <c r="L19" s="60">
        <v>2535</v>
      </c>
      <c r="M19" s="60">
        <v>3335.99</v>
      </c>
      <c r="N19" s="60">
        <v>892.84</v>
      </c>
      <c r="S19" s="88">
        <f t="shared" si="0"/>
        <v>129450.27</v>
      </c>
    </row>
    <row r="20" spans="1:19" x14ac:dyDescent="0.3">
      <c r="A20" t="s">
        <v>432</v>
      </c>
      <c r="C20">
        <v>85440.709999999992</v>
      </c>
      <c r="D20">
        <v>64418.259999999995</v>
      </c>
      <c r="E20">
        <v>60781.109999999993</v>
      </c>
      <c r="F20">
        <v>59871.32</v>
      </c>
      <c r="G20">
        <v>100808.58</v>
      </c>
      <c r="H20">
        <v>58876.270000000004</v>
      </c>
      <c r="I20">
        <v>111439.45000000001</v>
      </c>
      <c r="J20">
        <v>95988.540000000008</v>
      </c>
      <c r="K20" s="60">
        <v>47637.31</v>
      </c>
      <c r="L20" s="60">
        <v>70538.189999999988</v>
      </c>
      <c r="M20" s="60">
        <v>55511.95</v>
      </c>
      <c r="N20" s="60">
        <v>51374.729999999996</v>
      </c>
      <c r="S20" s="88">
        <f t="shared" si="0"/>
        <v>592175.02</v>
      </c>
    </row>
    <row r="21" spans="1:19" x14ac:dyDescent="0.3">
      <c r="A21" t="s">
        <v>446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60">
        <v>0</v>
      </c>
      <c r="L21" s="60">
        <v>0</v>
      </c>
      <c r="M21" s="60">
        <v>0</v>
      </c>
      <c r="N21" s="60">
        <v>0</v>
      </c>
      <c r="S21" s="88">
        <f t="shared" si="0"/>
        <v>0</v>
      </c>
    </row>
    <row r="22" spans="1:19" x14ac:dyDescent="0.3">
      <c r="A22" t="s">
        <v>433</v>
      </c>
      <c r="C22">
        <v>38745.68</v>
      </c>
      <c r="D22">
        <v>192865.57999999996</v>
      </c>
      <c r="E22">
        <v>58031.030000000006</v>
      </c>
      <c r="F22">
        <v>84328.909999999989</v>
      </c>
      <c r="G22">
        <v>39771.270000000004</v>
      </c>
      <c r="H22">
        <v>49412.47</v>
      </c>
      <c r="I22">
        <v>319862.98000000004</v>
      </c>
      <c r="J22">
        <v>65198.02</v>
      </c>
      <c r="K22" s="60">
        <v>47296.649999999994</v>
      </c>
      <c r="L22" s="60">
        <v>37440.14</v>
      </c>
      <c r="M22" s="60">
        <v>46152.19</v>
      </c>
      <c r="N22" s="60">
        <v>31287.78</v>
      </c>
      <c r="S22" s="88">
        <f t="shared" si="0"/>
        <v>636421.5</v>
      </c>
    </row>
    <row r="23" spans="1:19" x14ac:dyDescent="0.3">
      <c r="A23" t="s">
        <v>434</v>
      </c>
      <c r="C23">
        <v>287001.86000000004</v>
      </c>
      <c r="D23">
        <v>246032.86000000002</v>
      </c>
      <c r="E23">
        <v>133590.41000000003</v>
      </c>
      <c r="F23">
        <v>232677.66</v>
      </c>
      <c r="G23">
        <v>181073.62999999998</v>
      </c>
      <c r="H23">
        <v>244547.41000000003</v>
      </c>
      <c r="I23">
        <v>239162.08000000002</v>
      </c>
      <c r="J23">
        <v>220336.25</v>
      </c>
      <c r="K23" s="60">
        <v>181997.83</v>
      </c>
      <c r="L23" s="60">
        <v>161740.93</v>
      </c>
      <c r="M23" s="60">
        <v>116462.54000000002</v>
      </c>
      <c r="N23" s="60">
        <v>167324.68</v>
      </c>
      <c r="S23" s="88">
        <f t="shared" si="0"/>
        <v>1512645.35</v>
      </c>
    </row>
    <row r="24" spans="1:19" x14ac:dyDescent="0.3">
      <c r="A24" t="s">
        <v>435</v>
      </c>
      <c r="C24">
        <v>61271.38</v>
      </c>
      <c r="D24">
        <v>26191.42</v>
      </c>
      <c r="E24">
        <v>36376.080000000002</v>
      </c>
      <c r="F24">
        <v>42910.130000000005</v>
      </c>
      <c r="G24">
        <v>17161.229999999996</v>
      </c>
      <c r="H24">
        <v>39207.839999999989</v>
      </c>
      <c r="I24">
        <v>12031.099999999999</v>
      </c>
      <c r="J24">
        <v>22656.850000000002</v>
      </c>
      <c r="K24" s="60">
        <v>14307.730000000003</v>
      </c>
      <c r="L24" s="60">
        <v>45169.58</v>
      </c>
      <c r="M24" s="60">
        <v>23612.889999999996</v>
      </c>
      <c r="N24" s="60">
        <v>38697.730000000003</v>
      </c>
      <c r="S24" s="88">
        <f t="shared" si="0"/>
        <v>212844.95</v>
      </c>
    </row>
    <row r="25" spans="1:19" x14ac:dyDescent="0.3">
      <c r="A25" t="s">
        <v>436</v>
      </c>
      <c r="C25">
        <v>4513.38</v>
      </c>
      <c r="D25">
        <v>2893.62</v>
      </c>
      <c r="E25">
        <v>1745.94</v>
      </c>
      <c r="F25">
        <v>-2068.1999999999998</v>
      </c>
      <c r="G25">
        <v>1288.92</v>
      </c>
      <c r="H25">
        <v>2144.06</v>
      </c>
      <c r="I25">
        <v>1911.96</v>
      </c>
      <c r="J25">
        <v>833.89999999999986</v>
      </c>
      <c r="K25" s="60">
        <v>3638.71</v>
      </c>
      <c r="L25" s="60">
        <v>442.82000000000005</v>
      </c>
      <c r="M25" s="60">
        <v>1597.7399999999998</v>
      </c>
      <c r="N25" s="60">
        <v>4089.2899999999995</v>
      </c>
      <c r="S25" s="88">
        <f t="shared" si="0"/>
        <v>15947.399999999998</v>
      </c>
    </row>
    <row r="26" spans="1:19" x14ac:dyDescent="0.3">
      <c r="A26" t="s">
        <v>437</v>
      </c>
      <c r="C26">
        <v>7658.1799999999994</v>
      </c>
      <c r="D26">
        <v>50318.239999999998</v>
      </c>
      <c r="E26">
        <v>16632.490000000002</v>
      </c>
      <c r="F26">
        <v>31489.27</v>
      </c>
      <c r="G26">
        <v>28860.240000000002</v>
      </c>
      <c r="H26">
        <v>141087.28</v>
      </c>
      <c r="I26">
        <v>30507.439999999999</v>
      </c>
      <c r="J26">
        <v>34341.69</v>
      </c>
      <c r="K26" s="60">
        <v>40606.379999999997</v>
      </c>
      <c r="L26" s="60">
        <v>7045.78</v>
      </c>
      <c r="M26" s="60">
        <v>17056.099999999999</v>
      </c>
      <c r="N26" s="60">
        <v>34453.800000000003</v>
      </c>
      <c r="S26" s="88">
        <f t="shared" si="0"/>
        <v>333958.70999999996</v>
      </c>
    </row>
    <row r="27" spans="1:19" x14ac:dyDescent="0.3">
      <c r="A27" t="s">
        <v>438</v>
      </c>
      <c r="C27">
        <v>56753.380000000012</v>
      </c>
      <c r="D27">
        <v>324538.83999999997</v>
      </c>
      <c r="E27">
        <v>125264.43000000001</v>
      </c>
      <c r="F27">
        <v>184814.41000000006</v>
      </c>
      <c r="G27">
        <v>117320.53</v>
      </c>
      <c r="H27">
        <v>216869.90999999997</v>
      </c>
      <c r="I27">
        <v>494638.14999999997</v>
      </c>
      <c r="J27">
        <v>131281.12999999998</v>
      </c>
      <c r="K27" s="60">
        <v>37943.780000000006</v>
      </c>
      <c r="L27" s="60">
        <v>48632.9</v>
      </c>
      <c r="M27" s="60">
        <v>40122.680000000008</v>
      </c>
      <c r="N27" s="60">
        <v>195430.28999999998</v>
      </c>
      <c r="S27" s="88">
        <f t="shared" si="0"/>
        <v>1282239.3699999999</v>
      </c>
    </row>
    <row r="28" spans="1:19" x14ac:dyDescent="0.3">
      <c r="A28" t="s">
        <v>447</v>
      </c>
      <c r="C28">
        <v>25.5</v>
      </c>
      <c r="D28">
        <v>17</v>
      </c>
      <c r="E28">
        <v>34</v>
      </c>
      <c r="F28">
        <v>17</v>
      </c>
      <c r="G28">
        <v>17</v>
      </c>
      <c r="H28">
        <v>0</v>
      </c>
      <c r="I28">
        <v>0</v>
      </c>
      <c r="J28">
        <v>0</v>
      </c>
      <c r="K28" s="60">
        <v>0</v>
      </c>
      <c r="L28" s="60">
        <v>0</v>
      </c>
      <c r="M28" s="60">
        <v>0</v>
      </c>
      <c r="N28" s="60">
        <v>0</v>
      </c>
      <c r="S28" s="88">
        <f t="shared" si="0"/>
        <v>17</v>
      </c>
    </row>
    <row r="29" spans="1:19" x14ac:dyDescent="0.3">
      <c r="A29" t="s">
        <v>439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60">
        <v>0</v>
      </c>
      <c r="L29" s="60">
        <v>0</v>
      </c>
      <c r="M29" s="60">
        <v>0</v>
      </c>
      <c r="N29" s="60">
        <v>0</v>
      </c>
      <c r="S29" s="88">
        <f t="shared" si="0"/>
        <v>0</v>
      </c>
    </row>
    <row r="30" spans="1:19" x14ac:dyDescent="0.3">
      <c r="A30" t="s">
        <v>440</v>
      </c>
      <c r="C30">
        <v>170789.94</v>
      </c>
      <c r="D30">
        <v>92053.759999999995</v>
      </c>
      <c r="E30">
        <v>128263.40999999999</v>
      </c>
      <c r="F30">
        <v>30180.509999999991</v>
      </c>
      <c r="G30">
        <v>42515.92</v>
      </c>
      <c r="H30">
        <v>30532.03</v>
      </c>
      <c r="I30">
        <v>46674.48</v>
      </c>
      <c r="J30">
        <v>71630.070000000007</v>
      </c>
      <c r="K30" s="60">
        <v>163975.29</v>
      </c>
      <c r="L30" s="60">
        <v>3568.5199999999991</v>
      </c>
      <c r="M30" s="60">
        <v>21454.059999999998</v>
      </c>
      <c r="N30" s="60">
        <v>108570.27999999998</v>
      </c>
      <c r="S30" s="88">
        <f t="shared" si="0"/>
        <v>488920.65</v>
      </c>
    </row>
    <row r="31" spans="1:19" x14ac:dyDescent="0.3">
      <c r="A31" t="s">
        <v>441</v>
      </c>
      <c r="C31">
        <v>9746.2699999999986</v>
      </c>
      <c r="D31">
        <v>1952.4700000000003</v>
      </c>
      <c r="E31">
        <v>-3993.58</v>
      </c>
      <c r="F31">
        <v>3456.44</v>
      </c>
      <c r="G31">
        <v>3774.84</v>
      </c>
      <c r="H31">
        <v>4987.16</v>
      </c>
      <c r="I31">
        <v>13599.6</v>
      </c>
      <c r="J31">
        <v>4515.170000000001</v>
      </c>
      <c r="K31" s="60">
        <v>3692.2899999999995</v>
      </c>
      <c r="L31" s="60">
        <v>4196.5</v>
      </c>
      <c r="M31" s="60">
        <v>4182.18</v>
      </c>
      <c r="N31" s="60">
        <v>2852.86</v>
      </c>
      <c r="S31" s="88">
        <f t="shared" si="0"/>
        <v>41800.6</v>
      </c>
    </row>
    <row r="32" spans="1:19" x14ac:dyDescent="0.3">
      <c r="A32" t="s">
        <v>442</v>
      </c>
      <c r="C32">
        <v>34008.97</v>
      </c>
      <c r="D32">
        <v>17766.739999999998</v>
      </c>
      <c r="E32">
        <v>13859.82</v>
      </c>
      <c r="F32">
        <v>135359.91</v>
      </c>
      <c r="G32">
        <v>16882.000000000004</v>
      </c>
      <c r="H32">
        <v>13302.54</v>
      </c>
      <c r="I32">
        <v>15447.21</v>
      </c>
      <c r="J32">
        <v>17453.48</v>
      </c>
      <c r="K32" s="60">
        <v>24669.35</v>
      </c>
      <c r="L32" s="60">
        <v>18235.690000000002</v>
      </c>
      <c r="M32" s="60">
        <v>13979.37</v>
      </c>
      <c r="N32" s="60">
        <v>15053.24</v>
      </c>
      <c r="S32" s="88">
        <f t="shared" si="0"/>
        <v>135022.87999999998</v>
      </c>
    </row>
    <row r="33" spans="1:19" x14ac:dyDescent="0.3">
      <c r="A33" t="s">
        <v>443</v>
      </c>
      <c r="C33">
        <v>3424.16</v>
      </c>
      <c r="D33">
        <v>3207.35</v>
      </c>
      <c r="E33">
        <v>3711.18</v>
      </c>
      <c r="F33">
        <v>4066.9700000000003</v>
      </c>
      <c r="G33">
        <v>4337.8099999999995</v>
      </c>
      <c r="H33">
        <v>3055.4399999999996</v>
      </c>
      <c r="I33">
        <v>2561.9500000000003</v>
      </c>
      <c r="J33">
        <v>2639.8199999999997</v>
      </c>
      <c r="K33" s="60">
        <v>4022.1600000000003</v>
      </c>
      <c r="L33" s="60">
        <v>2742.86</v>
      </c>
      <c r="M33" s="60">
        <v>2341.5099999999998</v>
      </c>
      <c r="N33" s="60">
        <v>3529.54</v>
      </c>
      <c r="S33" s="88">
        <f t="shared" si="0"/>
        <v>25231.09</v>
      </c>
    </row>
    <row r="34" spans="1:19" x14ac:dyDescent="0.3">
      <c r="A34" t="s">
        <v>444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60">
        <v>0</v>
      </c>
      <c r="L34" s="60">
        <v>49025.36</v>
      </c>
      <c r="M34" s="60">
        <v>0</v>
      </c>
      <c r="N34" s="60">
        <v>129.92000000000002</v>
      </c>
    </row>
    <row r="35" spans="1:19" x14ac:dyDescent="0.3">
      <c r="A35" t="s">
        <v>267</v>
      </c>
      <c r="C35">
        <v>1152515.81</v>
      </c>
      <c r="D35">
        <v>1478895.31</v>
      </c>
      <c r="E35">
        <v>1180872.97</v>
      </c>
      <c r="F35">
        <v>1263934.9600000002</v>
      </c>
      <c r="G35">
        <v>1129263.1500000001</v>
      </c>
      <c r="H35">
        <v>1504503.35</v>
      </c>
      <c r="I35">
        <v>1785201.74</v>
      </c>
      <c r="J35">
        <v>1294608.0499999998</v>
      </c>
      <c r="K35" s="60">
        <v>896772.24000000011</v>
      </c>
      <c r="L35" s="60">
        <v>1030221.24</v>
      </c>
      <c r="M35" s="60">
        <v>739985.95000000019</v>
      </c>
      <c r="N35" s="60">
        <v>1033589.8200000003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"/>
  <sheetViews>
    <sheetView workbookViewId="0">
      <selection activeCell="C12" sqref="C12"/>
    </sheetView>
  </sheetViews>
  <sheetFormatPr defaultRowHeight="14.4" x14ac:dyDescent="0.3"/>
  <cols>
    <col min="2" max="2" width="20.44140625" bestFit="1" customWidth="1"/>
  </cols>
  <sheetData>
    <row r="1" spans="1:15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5" x14ac:dyDescent="0.3">
      <c r="A2" t="s">
        <v>386</v>
      </c>
      <c r="B2" t="s">
        <v>387</v>
      </c>
      <c r="C2">
        <v>0</v>
      </c>
      <c r="D2">
        <v>0</v>
      </c>
      <c r="E2">
        <v>0</v>
      </c>
      <c r="F2">
        <v>0</v>
      </c>
      <c r="G2">
        <v>-3420</v>
      </c>
      <c r="H2">
        <v>3420</v>
      </c>
      <c r="I2">
        <v>0</v>
      </c>
      <c r="J2">
        <v>0.01</v>
      </c>
      <c r="K2">
        <v>-0.01</v>
      </c>
      <c r="L2">
        <v>0</v>
      </c>
      <c r="M2">
        <v>0</v>
      </c>
      <c r="N2">
        <v>0</v>
      </c>
      <c r="O2">
        <f>SUM(C2:N2)</f>
        <v>0</v>
      </c>
    </row>
    <row r="3" spans="1:15" x14ac:dyDescent="0.3">
      <c r="A3" t="s">
        <v>388</v>
      </c>
      <c r="B3" t="s">
        <v>389</v>
      </c>
      <c r="C3">
        <v>35760.82</v>
      </c>
      <c r="D3">
        <v>17405.98</v>
      </c>
      <c r="E3">
        <v>17043.2</v>
      </c>
      <c r="F3">
        <v>-36.97</v>
      </c>
      <c r="G3">
        <v>23122.44</v>
      </c>
      <c r="H3">
        <v>21284.22</v>
      </c>
      <c r="I3">
        <v>20715.650000000001</v>
      </c>
      <c r="J3">
        <v>7343.46</v>
      </c>
      <c r="K3">
        <v>28592.74</v>
      </c>
      <c r="L3">
        <v>10436.19</v>
      </c>
      <c r="M3">
        <v>13866.76</v>
      </c>
      <c r="N3">
        <v>15045.66</v>
      </c>
      <c r="O3">
        <f t="shared" ref="O3:O35" si="0">SUM(C3:N3)</f>
        <v>210580.15</v>
      </c>
    </row>
    <row r="4" spans="1:15" x14ac:dyDescent="0.3">
      <c r="A4" t="s">
        <v>390</v>
      </c>
      <c r="B4" t="s">
        <v>391</v>
      </c>
      <c r="C4">
        <v>24443.77</v>
      </c>
      <c r="D4">
        <v>19940.86</v>
      </c>
      <c r="E4">
        <v>27024.1</v>
      </c>
      <c r="F4">
        <v>4692.1899999999996</v>
      </c>
      <c r="G4">
        <v>16749.41</v>
      </c>
      <c r="H4">
        <v>18353.84</v>
      </c>
      <c r="I4">
        <v>21618.65</v>
      </c>
      <c r="J4">
        <v>23695.4</v>
      </c>
      <c r="K4">
        <v>38016.6</v>
      </c>
      <c r="L4">
        <v>21462.15</v>
      </c>
      <c r="M4">
        <v>18922.43</v>
      </c>
      <c r="N4">
        <v>15231.43</v>
      </c>
      <c r="O4">
        <f t="shared" si="0"/>
        <v>250150.83</v>
      </c>
    </row>
    <row r="5" spans="1:15" x14ac:dyDescent="0.3">
      <c r="A5" t="s">
        <v>392</v>
      </c>
      <c r="B5" t="s">
        <v>393</v>
      </c>
      <c r="C5">
        <v>96028.160000000003</v>
      </c>
      <c r="D5">
        <v>109933.58</v>
      </c>
      <c r="E5">
        <v>114296.71</v>
      </c>
      <c r="F5">
        <v>122458.07</v>
      </c>
      <c r="G5">
        <v>105813.9</v>
      </c>
      <c r="H5">
        <v>118129.86</v>
      </c>
      <c r="I5">
        <v>118071.58</v>
      </c>
      <c r="J5">
        <v>110484.55</v>
      </c>
      <c r="K5">
        <v>137289.82</v>
      </c>
      <c r="L5">
        <v>83158.47</v>
      </c>
      <c r="M5">
        <v>82540.34</v>
      </c>
      <c r="N5">
        <v>105657.41</v>
      </c>
      <c r="O5">
        <f t="shared" si="0"/>
        <v>1303862.45</v>
      </c>
    </row>
    <row r="6" spans="1:15" x14ac:dyDescent="0.3">
      <c r="A6" t="s">
        <v>394</v>
      </c>
      <c r="B6" t="s">
        <v>395</v>
      </c>
      <c r="C6">
        <v>300020.67</v>
      </c>
      <c r="D6">
        <v>237746.8</v>
      </c>
      <c r="E6">
        <v>203752.11</v>
      </c>
      <c r="F6">
        <v>292373.21999999997</v>
      </c>
      <c r="G6">
        <v>249584.34</v>
      </c>
      <c r="H6">
        <v>193967.81</v>
      </c>
      <c r="I6">
        <v>223837.68</v>
      </c>
      <c r="J6">
        <v>321809.59999999998</v>
      </c>
      <c r="K6">
        <v>191027.32</v>
      </c>
      <c r="L6">
        <v>246896.08</v>
      </c>
      <c r="M6">
        <v>151518.31</v>
      </c>
      <c r="N6">
        <v>157485.98000000001</v>
      </c>
      <c r="O6">
        <f t="shared" si="0"/>
        <v>2770019.92</v>
      </c>
    </row>
    <row r="7" spans="1:15" x14ac:dyDescent="0.3">
      <c r="A7" t="s">
        <v>396</v>
      </c>
      <c r="B7" t="s">
        <v>397</v>
      </c>
      <c r="C7">
        <v>1525.62</v>
      </c>
      <c r="D7">
        <v>2929.57</v>
      </c>
      <c r="E7">
        <v>1428.43</v>
      </c>
      <c r="F7">
        <v>2936.09</v>
      </c>
      <c r="G7">
        <v>3370.33</v>
      </c>
      <c r="H7">
        <v>127.42</v>
      </c>
      <c r="I7">
        <v>15.44</v>
      </c>
      <c r="J7">
        <v>652.95000000000005</v>
      </c>
      <c r="K7">
        <v>1215.7</v>
      </c>
      <c r="L7">
        <v>23.84</v>
      </c>
      <c r="M7">
        <v>200.66</v>
      </c>
      <c r="N7">
        <v>-9.1199999999999992</v>
      </c>
      <c r="O7">
        <f t="shared" si="0"/>
        <v>14416.930000000002</v>
      </c>
    </row>
    <row r="8" spans="1:15" x14ac:dyDescent="0.3">
      <c r="A8" t="s">
        <v>398</v>
      </c>
      <c r="B8" t="s">
        <v>399</v>
      </c>
      <c r="C8">
        <v>98960.61</v>
      </c>
      <c r="D8">
        <v>416806.09</v>
      </c>
      <c r="E8">
        <v>110815.64</v>
      </c>
      <c r="F8">
        <v>181517.38</v>
      </c>
      <c r="G8">
        <v>17653.54</v>
      </c>
      <c r="H8">
        <v>247568.77</v>
      </c>
      <c r="I8">
        <v>460109.67</v>
      </c>
      <c r="J8">
        <v>29079.15</v>
      </c>
      <c r="K8">
        <v>58810.28</v>
      </c>
      <c r="L8">
        <v>8775.8700000000008</v>
      </c>
      <c r="M8">
        <v>526.73</v>
      </c>
      <c r="N8">
        <v>119776.47</v>
      </c>
      <c r="O8">
        <f t="shared" si="0"/>
        <v>1750400.2</v>
      </c>
    </row>
    <row r="9" spans="1:15" x14ac:dyDescent="0.3">
      <c r="A9" t="s">
        <v>400</v>
      </c>
      <c r="B9" t="s">
        <v>401</v>
      </c>
      <c r="C9">
        <v>5985.09</v>
      </c>
      <c r="D9">
        <v>9901.64</v>
      </c>
      <c r="E9">
        <v>13543.08</v>
      </c>
      <c r="F9">
        <v>1537.32</v>
      </c>
      <c r="G9">
        <v>5698.37</v>
      </c>
      <c r="H9">
        <v>9000.7199999999993</v>
      </c>
      <c r="I9">
        <v>37875.800000000003</v>
      </c>
      <c r="J9">
        <v>18639.13</v>
      </c>
      <c r="K9">
        <v>5915.25</v>
      </c>
      <c r="L9">
        <v>16047.64</v>
      </c>
      <c r="M9">
        <v>15295.1</v>
      </c>
      <c r="N9">
        <v>2409.13</v>
      </c>
      <c r="O9">
        <f t="shared" si="0"/>
        <v>141848.27000000002</v>
      </c>
    </row>
    <row r="10" spans="1:15" x14ac:dyDescent="0.3">
      <c r="A10" t="s">
        <v>402</v>
      </c>
      <c r="B10" t="s">
        <v>403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29815.21</v>
      </c>
      <c r="L10">
        <v>0</v>
      </c>
      <c r="M10">
        <v>0</v>
      </c>
      <c r="N10">
        <v>0</v>
      </c>
      <c r="O10">
        <f t="shared" si="0"/>
        <v>29815.21</v>
      </c>
    </row>
    <row r="11" spans="1:15" x14ac:dyDescent="0.3">
      <c r="A11" t="s">
        <v>404</v>
      </c>
      <c r="B11" t="s">
        <v>405</v>
      </c>
      <c r="C11">
        <v>185.55</v>
      </c>
      <c r="D11">
        <v>0</v>
      </c>
      <c r="E11">
        <v>142200.04999999999</v>
      </c>
      <c r="F11">
        <v>17796.330000000002</v>
      </c>
      <c r="G11">
        <v>254136.57</v>
      </c>
      <c r="H11">
        <v>36368.129999999997</v>
      </c>
      <c r="I11">
        <v>14284.12</v>
      </c>
      <c r="J11">
        <v>145255.57999999999</v>
      </c>
      <c r="K11">
        <v>2214.89</v>
      </c>
      <c r="L11">
        <v>169558.59</v>
      </c>
      <c r="M11">
        <v>81979.87</v>
      </c>
      <c r="N11">
        <v>97136.52</v>
      </c>
      <c r="O11">
        <f t="shared" si="0"/>
        <v>961116.2</v>
      </c>
    </row>
    <row r="12" spans="1:15" x14ac:dyDescent="0.3">
      <c r="A12" t="s">
        <v>406</v>
      </c>
      <c r="B12" t="s">
        <v>407</v>
      </c>
      <c r="C12">
        <v>10323.459999999999</v>
      </c>
      <c r="D12">
        <v>-2158.04</v>
      </c>
      <c r="E12">
        <v>5318.95</v>
      </c>
      <c r="F12">
        <v>-9714.2199999999993</v>
      </c>
      <c r="G12">
        <v>-2382.5700000000002</v>
      </c>
      <c r="H12">
        <v>43010.34</v>
      </c>
      <c r="I12">
        <v>-4184.8</v>
      </c>
      <c r="J12">
        <v>6437.61</v>
      </c>
      <c r="K12">
        <v>28739.61</v>
      </c>
      <c r="L12">
        <v>9335</v>
      </c>
      <c r="M12">
        <v>8811.69</v>
      </c>
      <c r="N12">
        <v>2950.91</v>
      </c>
      <c r="O12">
        <f t="shared" si="0"/>
        <v>96487.94</v>
      </c>
    </row>
    <row r="13" spans="1:15" x14ac:dyDescent="0.3">
      <c r="A13" t="s">
        <v>408</v>
      </c>
      <c r="C13">
        <v>0</v>
      </c>
      <c r="D13">
        <v>0</v>
      </c>
      <c r="E13">
        <v>0</v>
      </c>
      <c r="F13">
        <v>23157.5</v>
      </c>
      <c r="G13">
        <v>18916.02</v>
      </c>
      <c r="H13">
        <v>12030.34</v>
      </c>
      <c r="I13">
        <v>4857.32</v>
      </c>
      <c r="J13">
        <v>19486.32</v>
      </c>
      <c r="K13">
        <v>36818.449999999997</v>
      </c>
      <c r="L13">
        <v>9498.68</v>
      </c>
      <c r="M13">
        <v>12273.25</v>
      </c>
      <c r="N13">
        <v>34433.599999999999</v>
      </c>
      <c r="O13">
        <f t="shared" si="0"/>
        <v>171471.48</v>
      </c>
    </row>
    <row r="14" spans="1:15" x14ac:dyDescent="0.3">
      <c r="A14" t="s">
        <v>409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0</v>
      </c>
    </row>
    <row r="15" spans="1:15" x14ac:dyDescent="0.3">
      <c r="A15" t="s">
        <v>410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0"/>
        <v>0</v>
      </c>
    </row>
    <row r="16" spans="1:15" x14ac:dyDescent="0.3">
      <c r="A16" t="s">
        <v>411</v>
      </c>
      <c r="B16" t="s">
        <v>412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0</v>
      </c>
    </row>
    <row r="17" spans="1:15" x14ac:dyDescent="0.3">
      <c r="C17">
        <f>SUM(C1:C16)</f>
        <v>573234.75</v>
      </c>
      <c r="D17">
        <f t="shared" ref="D17:O17" si="1">SUM(D1:D16)</f>
        <v>812508.48</v>
      </c>
      <c r="E17">
        <f t="shared" si="1"/>
        <v>635425.27</v>
      </c>
      <c r="F17">
        <f t="shared" si="1"/>
        <v>636720.90999999992</v>
      </c>
      <c r="G17">
        <f t="shared" si="1"/>
        <v>689247.35</v>
      </c>
      <c r="H17">
        <f t="shared" si="1"/>
        <v>703267.44999999984</v>
      </c>
      <c r="I17">
        <f t="shared" si="1"/>
        <v>897208.10999999987</v>
      </c>
      <c r="J17">
        <f t="shared" si="1"/>
        <v>682891.76</v>
      </c>
      <c r="K17">
        <f t="shared" si="1"/>
        <v>558464.8600000001</v>
      </c>
      <c r="L17">
        <f t="shared" si="1"/>
        <v>575202.51000000013</v>
      </c>
      <c r="M17">
        <f t="shared" si="1"/>
        <v>385946.1399999999</v>
      </c>
      <c r="N17">
        <f t="shared" si="1"/>
        <v>550129.99</v>
      </c>
      <c r="O17">
        <f t="shared" si="1"/>
        <v>7700169.580000001</v>
      </c>
    </row>
    <row r="22" spans="1:15" x14ac:dyDescent="0.3">
      <c r="A22" t="s">
        <v>413</v>
      </c>
      <c r="C22">
        <v>35760.82</v>
      </c>
      <c r="D22">
        <v>17030.98</v>
      </c>
      <c r="E22">
        <v>16290.9</v>
      </c>
      <c r="F22">
        <v>-680.48999999999899</v>
      </c>
      <c r="G22">
        <v>22349.3</v>
      </c>
      <c r="H22">
        <v>20482.340000000007</v>
      </c>
      <c r="I22">
        <v>20076.809999999998</v>
      </c>
      <c r="J22">
        <v>6782.91</v>
      </c>
      <c r="K22">
        <v>28286.330000000005</v>
      </c>
      <c r="L22">
        <v>10144.849999999999</v>
      </c>
      <c r="M22">
        <v>13570.590000000004</v>
      </c>
      <c r="N22">
        <v>14676.850000000004</v>
      </c>
      <c r="O22">
        <f t="shared" si="0"/>
        <v>204772.19000000003</v>
      </c>
    </row>
    <row r="23" spans="1:15" x14ac:dyDescent="0.3">
      <c r="A23" t="s">
        <v>385</v>
      </c>
      <c r="C23">
        <v>24443.77</v>
      </c>
      <c r="D23">
        <v>19060.86</v>
      </c>
      <c r="E23">
        <v>26800.569999999996</v>
      </c>
      <c r="F23">
        <v>4499.1500000000005</v>
      </c>
      <c r="G23">
        <v>16516.420000000006</v>
      </c>
      <c r="H23">
        <v>18037.52</v>
      </c>
      <c r="I23">
        <v>17863.149999999998</v>
      </c>
      <c r="J23">
        <v>23425.21</v>
      </c>
      <c r="K23">
        <v>36755.070000000007</v>
      </c>
      <c r="L23">
        <v>18400.88</v>
      </c>
      <c r="M23">
        <v>18645.190000000002</v>
      </c>
      <c r="N23">
        <v>14046.24</v>
      </c>
      <c r="O23">
        <f t="shared" si="0"/>
        <v>238494.03</v>
      </c>
    </row>
    <row r="24" spans="1:15" x14ac:dyDescent="0.3">
      <c r="A24" t="s">
        <v>383</v>
      </c>
      <c r="C24">
        <v>96028.160000000003</v>
      </c>
      <c r="D24">
        <v>108963.58000000002</v>
      </c>
      <c r="E24">
        <v>113689.98</v>
      </c>
      <c r="F24">
        <v>122092.42000000001</v>
      </c>
      <c r="G24">
        <v>104630.77999999998</v>
      </c>
      <c r="H24">
        <v>117302.33</v>
      </c>
      <c r="I24">
        <v>116797.03</v>
      </c>
      <c r="J24">
        <v>109493.73000000001</v>
      </c>
      <c r="K24">
        <v>135849.71999999997</v>
      </c>
      <c r="L24">
        <v>80901.790000000008</v>
      </c>
      <c r="M24">
        <v>81264.989999999991</v>
      </c>
      <c r="N24">
        <v>105900.15000000001</v>
      </c>
      <c r="O24">
        <f t="shared" si="0"/>
        <v>1292914.6599999999</v>
      </c>
    </row>
    <row r="25" spans="1:15" x14ac:dyDescent="0.3">
      <c r="A25" t="s">
        <v>414</v>
      </c>
      <c r="C25">
        <v>300020.67000000004</v>
      </c>
      <c r="D25">
        <v>223326.80000000002</v>
      </c>
      <c r="E25">
        <v>199309.25</v>
      </c>
      <c r="F25">
        <v>287326.32</v>
      </c>
      <c r="G25">
        <v>241777.13</v>
      </c>
      <c r="H25">
        <v>190286.22</v>
      </c>
      <c r="I25">
        <v>216964.74000000002</v>
      </c>
      <c r="J25">
        <v>314830.22000000003</v>
      </c>
      <c r="K25">
        <v>189396.34</v>
      </c>
      <c r="L25">
        <v>241375.84</v>
      </c>
      <c r="M25">
        <v>149095.03</v>
      </c>
      <c r="N25">
        <v>154877.29999999999</v>
      </c>
      <c r="O25">
        <f t="shared" si="0"/>
        <v>2708585.8599999994</v>
      </c>
    </row>
    <row r="26" spans="1:15" x14ac:dyDescent="0.3">
      <c r="A26" t="s">
        <v>415</v>
      </c>
      <c r="C26">
        <v>1525.6200000000001</v>
      </c>
      <c r="D26">
        <v>2929.5699999999997</v>
      </c>
      <c r="E26">
        <v>1293.47</v>
      </c>
      <c r="F26">
        <v>2896.08</v>
      </c>
      <c r="G26">
        <v>3293.9100000000003</v>
      </c>
      <c r="H26">
        <v>0.01</v>
      </c>
      <c r="I26">
        <v>0</v>
      </c>
      <c r="J26">
        <v>652.95000000000005</v>
      </c>
      <c r="K26">
        <v>1174.21</v>
      </c>
      <c r="L26">
        <v>0</v>
      </c>
      <c r="M26">
        <v>146</v>
      </c>
      <c r="N26">
        <v>0</v>
      </c>
      <c r="O26">
        <f t="shared" si="0"/>
        <v>13911.82</v>
      </c>
    </row>
    <row r="27" spans="1:15" x14ac:dyDescent="0.3">
      <c r="A27" t="s">
        <v>416</v>
      </c>
      <c r="C27">
        <v>98960.609999999986</v>
      </c>
      <c r="D27">
        <v>415606.08999999997</v>
      </c>
      <c r="E27">
        <v>110638.36</v>
      </c>
      <c r="F27">
        <v>181466.65000000002</v>
      </c>
      <c r="G27">
        <v>17643.539999999997</v>
      </c>
      <c r="H27">
        <v>247553.17</v>
      </c>
      <c r="I27">
        <v>455983.24999999994</v>
      </c>
      <c r="J27">
        <v>29050.43</v>
      </c>
      <c r="K27">
        <v>58796.990000000005</v>
      </c>
      <c r="L27">
        <v>8720.7800000000007</v>
      </c>
      <c r="M27">
        <v>526.73</v>
      </c>
      <c r="N27">
        <v>119775.87000000001</v>
      </c>
      <c r="O27">
        <f t="shared" si="0"/>
        <v>1744722.47</v>
      </c>
    </row>
    <row r="28" spans="1:15" x14ac:dyDescent="0.3">
      <c r="A28" t="s">
        <v>417</v>
      </c>
      <c r="C28">
        <v>5985.0899999999992</v>
      </c>
      <c r="D28">
        <v>9351.64</v>
      </c>
      <c r="E28">
        <v>13782.65</v>
      </c>
      <c r="F28">
        <v>636.41999999999996</v>
      </c>
      <c r="G28">
        <v>5584.41</v>
      </c>
      <c r="H28">
        <v>9167.41</v>
      </c>
      <c r="I28">
        <v>37632.350000000006</v>
      </c>
      <c r="J28">
        <v>17269.54</v>
      </c>
      <c r="K28">
        <v>5913.78</v>
      </c>
      <c r="L28">
        <v>16047.64</v>
      </c>
      <c r="M28">
        <v>14374.029999999999</v>
      </c>
      <c r="N28">
        <v>2334.13</v>
      </c>
      <c r="O28">
        <f t="shared" si="0"/>
        <v>138079.09000000003</v>
      </c>
    </row>
    <row r="29" spans="1:15" x14ac:dyDescent="0.3">
      <c r="A29" t="s">
        <v>418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f t="shared" si="0"/>
        <v>0</v>
      </c>
    </row>
    <row r="30" spans="1:15" x14ac:dyDescent="0.3">
      <c r="A30" t="s">
        <v>384</v>
      </c>
      <c r="C30">
        <v>5892.85</v>
      </c>
      <c r="D30">
        <v>4.43</v>
      </c>
      <c r="E30">
        <v>318.95</v>
      </c>
      <c r="F30">
        <v>41.35</v>
      </c>
      <c r="G30">
        <v>0</v>
      </c>
      <c r="H30">
        <v>10.34</v>
      </c>
      <c r="I30">
        <v>0</v>
      </c>
      <c r="J30">
        <v>0</v>
      </c>
      <c r="K30">
        <v>39.869999999999997</v>
      </c>
      <c r="L30">
        <v>0</v>
      </c>
      <c r="M30">
        <v>0</v>
      </c>
      <c r="N30">
        <v>0</v>
      </c>
      <c r="O30">
        <f t="shared" si="0"/>
        <v>6307.7900000000009</v>
      </c>
    </row>
    <row r="31" spans="1:15" x14ac:dyDescent="0.3">
      <c r="A31" t="s">
        <v>419</v>
      </c>
      <c r="C31">
        <v>0</v>
      </c>
      <c r="D31">
        <v>0</v>
      </c>
      <c r="E31">
        <v>0</v>
      </c>
      <c r="F31">
        <v>23157.5</v>
      </c>
      <c r="G31">
        <v>18251.22</v>
      </c>
      <c r="H31">
        <v>9263.14</v>
      </c>
      <c r="I31">
        <v>4545.32</v>
      </c>
      <c r="J31">
        <v>18238.32</v>
      </c>
      <c r="K31">
        <v>34496.449999999997</v>
      </c>
      <c r="L31">
        <v>9090.68</v>
      </c>
      <c r="M31">
        <v>11517.25</v>
      </c>
      <c r="N31">
        <v>32321.599999999999</v>
      </c>
      <c r="O31">
        <f t="shared" si="0"/>
        <v>160881.48000000001</v>
      </c>
    </row>
    <row r="32" spans="1:15" x14ac:dyDescent="0.3">
      <c r="A32" t="s">
        <v>420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f t="shared" si="0"/>
        <v>0</v>
      </c>
    </row>
    <row r="33" spans="1:15" x14ac:dyDescent="0.3">
      <c r="A33" t="s">
        <v>421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0"/>
        <v>0</v>
      </c>
    </row>
    <row r="34" spans="1:15" x14ac:dyDescent="0.3">
      <c r="A34" t="s">
        <v>422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0"/>
        <v>0</v>
      </c>
    </row>
    <row r="35" spans="1:15" x14ac:dyDescent="0.3">
      <c r="A35" t="s">
        <v>423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0"/>
        <v>0</v>
      </c>
    </row>
    <row r="36" spans="1:15" x14ac:dyDescent="0.3">
      <c r="C36">
        <f>SUM(C22:C35)</f>
        <v>568617.59</v>
      </c>
      <c r="D36">
        <f t="shared" ref="D36:O36" si="2">SUM(D22:D35)</f>
        <v>796273.95000000007</v>
      </c>
      <c r="E36">
        <f t="shared" si="2"/>
        <v>482124.12999999995</v>
      </c>
      <c r="F36">
        <f t="shared" si="2"/>
        <v>621435.40000000014</v>
      </c>
      <c r="G36">
        <f t="shared" si="2"/>
        <v>430046.70999999996</v>
      </c>
      <c r="H36">
        <f t="shared" si="2"/>
        <v>612102.4800000001</v>
      </c>
      <c r="I36">
        <f t="shared" si="2"/>
        <v>869862.64999999991</v>
      </c>
      <c r="J36">
        <f t="shared" si="2"/>
        <v>519743.31000000006</v>
      </c>
      <c r="K36">
        <f t="shared" si="2"/>
        <v>490708.76</v>
      </c>
      <c r="L36">
        <f t="shared" si="2"/>
        <v>384682.46</v>
      </c>
      <c r="M36">
        <f t="shared" si="2"/>
        <v>289139.80999999994</v>
      </c>
      <c r="N36">
        <f t="shared" si="2"/>
        <v>443932.14</v>
      </c>
      <c r="O36" s="89">
        <f t="shared" si="2"/>
        <v>6508669.3899999997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YEAR</vt:lpstr>
      <vt:lpstr>TY IS</vt:lpstr>
      <vt:lpstr>NY IS</vt:lpstr>
      <vt:lpstr>DataSource</vt:lpstr>
      <vt:lpstr>REFERENCE</vt:lpstr>
      <vt:lpstr>SPECIAL ACCOUNTS</vt:lpstr>
      <vt:lpstr>SUBGOUP BAL WITH ACCT</vt:lpstr>
      <vt:lpstr>Sheet1</vt:lpstr>
      <vt:lpstr>'NY IS'!Print_Area</vt:lpstr>
      <vt:lpstr>'TY 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